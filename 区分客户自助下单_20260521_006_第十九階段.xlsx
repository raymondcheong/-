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订单列表" sheetId="1" r:id="rId1"/>
    <sheet name="客戶屬性1" sheetId="2" r:id="rId2"/>
    <sheet name="客戶編碼" sheetId="3" r:id="rId3"/>
    <sheet name="物料編碼" sheetId="4" r:id="rId4"/>
  </sheets>
  <definedNames>
    <definedName name="_xlnm._FilterDatabase" localSheetId="0" hidden="1">订单列表!$A$2:$AA$1252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<sst xmlns="http://schemas.openxmlformats.org/spreadsheetml/2006/main" count="20089" uniqueCount="4060">
  <si>
    <t>id</t>
  </si>
  <si>
    <t>salesOrgId_name</t>
  </si>
  <si>
    <t>agentId_name</t>
  </si>
  <si>
    <t>saleDepartmentId_name</t>
  </si>
  <si>
    <t>corpContactUserName</t>
  </si>
  <si>
    <t>productName</t>
  </si>
  <si>
    <t>subQty</t>
  </si>
  <si>
    <t>qty</t>
  </si>
  <si>
    <t>qtyName</t>
  </si>
  <si>
    <t>payMoney</t>
  </si>
  <si>
    <t>reserveid_reservecust_code</t>
  </si>
  <si>
    <t>reserveid_reservecust_name</t>
  </si>
  <si>
    <t>orderDefineCharacter!erpOrderNumber</t>
  </si>
  <si>
    <t>orderDefineCharacter!erpPoStatus</t>
  </si>
  <si>
    <t>orderDefineCharacter!needDeliveryDate</t>
  </si>
  <si>
    <t>orderDetails_createDate</t>
  </si>
  <si>
    <t>creatorId</t>
  </si>
  <si>
    <t>cCreator</t>
  </si>
  <si>
    <t>creator</t>
  </si>
  <si>
    <t>createTime</t>
  </si>
  <si>
    <t>主体ID</t>
  </si>
  <si>
    <t>销售组织</t>
  </si>
  <si>
    <t>客戶編碼</t>
  </si>
  <si>
    <t>客户</t>
  </si>
  <si>
    <t>客名</t>
  </si>
  <si>
    <t>销售部门</t>
  </si>
  <si>
    <t>销售业务员</t>
  </si>
  <si>
    <t>商品名称</t>
  </si>
  <si>
    <t>销售数量</t>
  </si>
  <si>
    <t>数量</t>
  </si>
  <si>
    <t>主计量</t>
  </si>
  <si>
    <t>合计含税金额</t>
  </si>
  <si>
    <t>线索客户编码</t>
  </si>
  <si>
    <t>线索客户名称</t>
  </si>
  <si>
    <t>ERP订单号</t>
  </si>
  <si>
    <t>ERP订单状态</t>
  </si>
  <si>
    <t>要求送货日期</t>
  </si>
  <si>
    <t>创建时间</t>
  </si>
  <si>
    <t>创建人</t>
  </si>
  <si>
    <t>商品編碼</t>
  </si>
  <si>
    <t>小類編碼</t>
  </si>
  <si>
    <t>小類</t>
  </si>
  <si>
    <t>客戶屬性</t>
  </si>
  <si>
    <t>訂單總金額</t>
  </si>
  <si>
    <t>2588256797291708421</t>
  </si>
  <si>
    <t>香港事业部</t>
  </si>
  <si>
    <t>NFT00.000168</t>
  </si>
  <si>
    <t>明記凍肉</t>
  </si>
  <si>
    <t>明記</t>
  </si>
  <si>
    <t>分销业务冻品水产部销售部</t>
  </si>
  <si>
    <t>凌靖翔</t>
  </si>
  <si>
    <t>遼寧欣城琵琶腿130-150G|10KG(5KG*2)</t>
  </si>
  <si>
    <t>千克</t>
  </si>
  <si>
    <t>14796327</t>
  </si>
  <si>
    <t>已登记</t>
  </si>
  <si>
    <t>2387140048816439304</t>
  </si>
  <si>
    <t>2588253747864928264</t>
  </si>
  <si>
    <t>NFT00.003177</t>
  </si>
  <si>
    <t>翎凰凍肉有限公司</t>
  </si>
  <si>
    <t>翎凰</t>
  </si>
  <si>
    <t>至尊梅肉|25KG</t>
  </si>
  <si>
    <t>14797265</t>
  </si>
  <si>
    <t>2485989227956797442</t>
  </si>
  <si>
    <t>金鷹面精肉|25KG</t>
  </si>
  <si>
    <t>2588227608717033474</t>
  </si>
  <si>
    <t>NFT00.000185</t>
  </si>
  <si>
    <t>萬駿貿易公司</t>
  </si>
  <si>
    <t>萬駿</t>
  </si>
  <si>
    <t>岑美玉</t>
  </si>
  <si>
    <t>14796239</t>
  </si>
  <si>
    <t>2489640319525584898</t>
  </si>
  <si>
    <t>2586807400471199744</t>
  </si>
  <si>
    <t>NFT00.000230</t>
  </si>
  <si>
    <t>恆輝貿易公司</t>
  </si>
  <si>
    <t>恆輝</t>
  </si>
  <si>
    <t>遼寧欣城帶骨雞全腿 280-300G|15KG</t>
  </si>
  <si>
    <t>14796981</t>
  </si>
  <si>
    <t>2460695736053923847</t>
  </si>
  <si>
    <t>遼寧銘川帶皮腿扒|15KG (250克+/塊)</t>
  </si>
  <si>
    <t>2586800004514447366</t>
  </si>
  <si>
    <t>14796079</t>
  </si>
  <si>
    <t>2393862608937549832</t>
  </si>
  <si>
    <t>許先生</t>
  </si>
  <si>
    <t>2586783279934865417</t>
  </si>
  <si>
    <t>14796067</t>
  </si>
  <si>
    <t>2586779474593841159</t>
  </si>
  <si>
    <t>NFT00.000337</t>
  </si>
  <si>
    <t>新城發食品有限公司</t>
  </si>
  <si>
    <t>新城發</t>
  </si>
  <si>
    <t>许至邦</t>
  </si>
  <si>
    <t>14796066</t>
  </si>
  <si>
    <t>2387140160485589002</t>
  </si>
  <si>
    <t>2586778452368556034</t>
  </si>
  <si>
    <t>山東鴨胸肉|10KG(200-220克/塊)</t>
  </si>
  <si>
    <t>14796068</t>
  </si>
  <si>
    <t>已输入</t>
  </si>
  <si>
    <t>2586236015178940424</t>
  </si>
  <si>
    <t>NFT00.000357</t>
  </si>
  <si>
    <t>三明有限公司</t>
  </si>
  <si>
    <t>三明</t>
  </si>
  <si>
    <t>张淑燕</t>
  </si>
  <si>
    <t>金鷹梅肉|25KG</t>
  </si>
  <si>
    <t>14796814</t>
  </si>
  <si>
    <t>2460735601940365319</t>
  </si>
  <si>
    <t>2586171985806491649</t>
  </si>
  <si>
    <t>NFT00.002474</t>
  </si>
  <si>
    <t>明記冷凍食品有限公司</t>
  </si>
  <si>
    <t>明記冷凍</t>
  </si>
  <si>
    <t>14796679</t>
  </si>
  <si>
    <t>2387140615752122374</t>
  </si>
  <si>
    <t>明記(荃灣)</t>
  </si>
  <si>
    <t>華王樂雞肉腸｜10.88KG(340.2g*32)</t>
  </si>
  <si>
    <t>包</t>
  </si>
  <si>
    <t>2586128950257254404</t>
  </si>
  <si>
    <t>NFT00.000229</t>
  </si>
  <si>
    <t>駿利貿易公司</t>
  </si>
  <si>
    <t>駿利</t>
  </si>
  <si>
    <t>遼寧銘川帶皮腿扒|15KG (300克+/塊)</t>
  </si>
  <si>
    <t>14796597</t>
  </si>
  <si>
    <t>2387140091766112280</t>
  </si>
  <si>
    <t>2586128220089745415</t>
  </si>
  <si>
    <t>中國紅布腸|20KG</t>
  </si>
  <si>
    <t>14796598</t>
  </si>
  <si>
    <t>2586091618378448898</t>
  </si>
  <si>
    <t>14795522</t>
  </si>
  <si>
    <t>2586086404311220225</t>
  </si>
  <si>
    <t>NFT00.000169</t>
  </si>
  <si>
    <t>福源食品有限公司</t>
  </si>
  <si>
    <t>福源</t>
  </si>
  <si>
    <t>罗展勤</t>
  </si>
  <si>
    <t>14795519</t>
  </si>
  <si>
    <t>2393853151419564039</t>
  </si>
  <si>
    <t>2586079686982369289</t>
  </si>
  <si>
    <t>NFT00.000091</t>
  </si>
  <si>
    <t>恆昌凍肉食品有限公司</t>
  </si>
  <si>
    <t>恆昌</t>
  </si>
  <si>
    <t>谭小君</t>
  </si>
  <si>
    <t>高峰網裝羊肩卷肉| 18KG</t>
  </si>
  <si>
    <t>14795699</t>
  </si>
  <si>
    <t>2393844802003140621</t>
  </si>
  <si>
    <t>2586076448577028103</t>
  </si>
  <si>
    <t>NFT00.000774</t>
  </si>
  <si>
    <t>新昌</t>
  </si>
  <si>
    <t>分销业务冻品水产部</t>
  </si>
  <si>
    <t>14795691</t>
  </si>
  <si>
    <t>2387140254974869510</t>
  </si>
  <si>
    <t>遼寧欣城帶骨雞全腿 300-320G|15KG</t>
  </si>
  <si>
    <t>2586075091344293888</t>
  </si>
  <si>
    <t>14795686</t>
  </si>
  <si>
    <t>華英全淨膛鴨|12.8KG (1.6KG/只)</t>
  </si>
  <si>
    <t>2586069688298504201</t>
  </si>
  <si>
    <t>NFT00.002819</t>
  </si>
  <si>
    <t>信希食品有限公司</t>
  </si>
  <si>
    <t>信希</t>
  </si>
  <si>
    <t>遼寧欣城帶骨雞全腿 200-220G|15KG</t>
  </si>
  <si>
    <t>14795673</t>
  </si>
  <si>
    <t>2495576969351004165</t>
  </si>
  <si>
    <t>2586056038869368839</t>
  </si>
  <si>
    <t>NFT00.002547</t>
  </si>
  <si>
    <t>先進食品國際有限公司</t>
  </si>
  <si>
    <t>先進</t>
  </si>
  <si>
    <t>高峰法式羊排 8 支骨|20KG</t>
  </si>
  <si>
    <t>14795409</t>
  </si>
  <si>
    <t>2393969562213154818</t>
  </si>
  <si>
    <t>先進凍肉公司</t>
  </si>
  <si>
    <t>2586041341491281923</t>
  </si>
  <si>
    <t>14795365</t>
  </si>
  <si>
    <t>2586041255615004677</t>
  </si>
  <si>
    <t>遼寧欣城雞翅尖IQF|10KG</t>
  </si>
  <si>
    <t>14795634</t>
  </si>
  <si>
    <t>2586017203798147081</t>
  </si>
  <si>
    <t>NFT00.003034</t>
  </si>
  <si>
    <t>豪氣有限公司</t>
  </si>
  <si>
    <t>豪氣</t>
  </si>
  <si>
    <t>萧景新</t>
  </si>
  <si>
    <t>中國三號肉|25KG (7-10條)</t>
  </si>
  <si>
    <t>14795601</t>
  </si>
  <si>
    <t>2454793274168180740</t>
  </si>
  <si>
    <t>2586008588070682633</t>
  </si>
  <si>
    <t>精品面精肉|25KG</t>
  </si>
  <si>
    <t>14795244</t>
  </si>
  <si>
    <t>2585993031722205193</t>
  </si>
  <si>
    <t>14795565</t>
  </si>
  <si>
    <t>已关闭</t>
  </si>
  <si>
    <t>2585360803923230721</t>
  </si>
  <si>
    <t>14793355</t>
  </si>
  <si>
    <t>2585342936882348033</t>
  </si>
  <si>
    <t>15MYKD.KSH05</t>
  </si>
  <si>
    <t>佳城興業有限公司火炭</t>
  </si>
  <si>
    <t>佳城興業</t>
  </si>
  <si>
    <t>河南去皮上腿肉|12KG</t>
  </si>
  <si>
    <t>14794596</t>
  </si>
  <si>
    <t>2387139902787551241</t>
  </si>
  <si>
    <t>佳城興業有限公司/火炭</t>
  </si>
  <si>
    <t>2585342644824571911</t>
  </si>
  <si>
    <t>14793322</t>
  </si>
  <si>
    <t>2585336485818400776</t>
  </si>
  <si>
    <t>NFT00.003074</t>
  </si>
  <si>
    <t>信隆(亞洲)有限公司</t>
  </si>
  <si>
    <t>信隆</t>
  </si>
  <si>
    <t>華英煙熏鴨胸肉|10KG (240-260G/塊)日文包裝</t>
  </si>
  <si>
    <t>14793316</t>
  </si>
  <si>
    <t>2454048363630297094</t>
  </si>
  <si>
    <t xml:space="preserve"> 信隆(亞洲)有限公司</t>
  </si>
  <si>
    <t>2585334673342201858</t>
  </si>
  <si>
    <t>華英全淨膛鴨|11.2KG (1.4KG/只)</t>
  </si>
  <si>
    <t>14794576</t>
  </si>
  <si>
    <t>2585333049844563974</t>
  </si>
  <si>
    <t>14793315</t>
  </si>
  <si>
    <t>2585297985731559425</t>
  </si>
  <si>
    <t>14794492</t>
  </si>
  <si>
    <t>2585290426612187141</t>
  </si>
  <si>
    <t>14793212</t>
  </si>
  <si>
    <t>2585283022065500168</t>
  </si>
  <si>
    <t>14793202</t>
  </si>
  <si>
    <t>2585261255171244041</t>
  </si>
  <si>
    <t>NFT00.000759</t>
  </si>
  <si>
    <t>天恆食品有限公司</t>
  </si>
  <si>
    <t>天恆</t>
  </si>
  <si>
    <t>高峰法式小切羊排 |10KG</t>
  </si>
  <si>
    <t>14794324</t>
  </si>
  <si>
    <t>2393884607760039945</t>
  </si>
  <si>
    <t>梁先生</t>
  </si>
  <si>
    <t>2584644240192569351</t>
  </si>
  <si>
    <t>14794052</t>
  </si>
  <si>
    <t>2584639232237633544</t>
  </si>
  <si>
    <t>NFT00.002481</t>
  </si>
  <si>
    <t>啟興食品貿易公司(大埔道)</t>
  </si>
  <si>
    <t>啟興</t>
  </si>
  <si>
    <t>14793055</t>
  </si>
  <si>
    <t>2393966169188990985</t>
  </si>
  <si>
    <t>陳先生</t>
  </si>
  <si>
    <t>2584620669388980224</t>
  </si>
  <si>
    <t>14794009</t>
  </si>
  <si>
    <t>2584581971733643267</t>
  </si>
  <si>
    <t>NFT00.000140</t>
  </si>
  <si>
    <t>聯合林記食品有限公司</t>
  </si>
  <si>
    <t>聯合林記</t>
  </si>
  <si>
    <t>莫艺生</t>
  </si>
  <si>
    <t>華英煙熏鴨胸肉|10KG (220-240G/塊)日文包裝</t>
  </si>
  <si>
    <t>14792939</t>
  </si>
  <si>
    <t>2496264121168691208</t>
  </si>
  <si>
    <t>山東全淨膛鴨|12.8KG (1.6KG/只)</t>
  </si>
  <si>
    <t>2584571474833571847</t>
  </si>
  <si>
    <t>14793896</t>
  </si>
  <si>
    <t>2584567721032155136</t>
  </si>
  <si>
    <t>14792923</t>
  </si>
  <si>
    <t>2584563640813223937</t>
  </si>
  <si>
    <t>優質梅肉|25KG</t>
  </si>
  <si>
    <t>14792904</t>
  </si>
  <si>
    <t>2584557138255806468</t>
  </si>
  <si>
    <t>14792898</t>
  </si>
  <si>
    <t>2584544012812681221</t>
  </si>
  <si>
    <t>14793826</t>
  </si>
  <si>
    <t>2584530131501449222</t>
  </si>
  <si>
    <t>14793784</t>
  </si>
  <si>
    <t>2584528903140802560</t>
  </si>
  <si>
    <t>14792872</t>
  </si>
  <si>
    <t>2583974757847269381</t>
  </si>
  <si>
    <t>14792777</t>
  </si>
  <si>
    <t>2583932632808030211</t>
  </si>
  <si>
    <t>八合里牛筋丸(業務裝)</t>
  </si>
  <si>
    <t>14792718</t>
  </si>
  <si>
    <t>八合里牛肉丸(業務裝)</t>
  </si>
  <si>
    <t>2583916286185570306</t>
  </si>
  <si>
    <t>14792716</t>
  </si>
  <si>
    <t>2583891572943749123</t>
  </si>
  <si>
    <t>高峰柱裝羊卷肉|20KG</t>
  </si>
  <si>
    <t>14792263</t>
  </si>
  <si>
    <t>2583858097945575433</t>
  </si>
  <si>
    <t>14792657</t>
  </si>
  <si>
    <t>2583826194928500744</t>
  </si>
  <si>
    <t>14791504</t>
  </si>
  <si>
    <t>2583807683642523653</t>
  </si>
  <si>
    <t>遼寧欣城翅根|10KG(60克以上/只)</t>
  </si>
  <si>
    <t>14792172</t>
  </si>
  <si>
    <t>2583794824487370758</t>
  </si>
  <si>
    <t>14792158</t>
  </si>
  <si>
    <t>2583787377014079495</t>
  </si>
  <si>
    <t>14791328</t>
  </si>
  <si>
    <t>2583233489441652738</t>
  </si>
  <si>
    <t>14791883</t>
  </si>
  <si>
    <t>2583230783612256257</t>
  </si>
  <si>
    <t>高峰四號肉 25KG</t>
  </si>
  <si>
    <t>14791881</t>
  </si>
  <si>
    <t>2583212607310659589</t>
  </si>
  <si>
    <t>華英鴨胸肉|10KG 220-240G/塊)</t>
  </si>
  <si>
    <t>14791162</t>
  </si>
  <si>
    <t>2393862875225522194</t>
  </si>
  <si>
    <t>2583112087919132681</t>
  </si>
  <si>
    <t>NFT00.002551</t>
  </si>
  <si>
    <t>溢利食品(香港)有限公司</t>
  </si>
  <si>
    <t>溢利</t>
  </si>
  <si>
    <t>14791017</t>
  </si>
  <si>
    <t>2471768556880003081</t>
  </si>
  <si>
    <t>2583108617562488834</t>
  </si>
  <si>
    <t>山東帶骨鴨腿|10KG（220-240G/只）</t>
  </si>
  <si>
    <t>14790988</t>
  </si>
  <si>
    <t>金鷹寸骨|10KG (1K*10包)</t>
  </si>
  <si>
    <t>2583107011244720130</t>
  </si>
  <si>
    <t>遼寧欣城帶皮上腿肉|12KG</t>
  </si>
  <si>
    <t>14791735</t>
  </si>
  <si>
    <t>遼寧嘉士德去皮上腿肉|12KG</t>
  </si>
  <si>
    <t>2583097931683856393</t>
  </si>
  <si>
    <t>NFT00.003035</t>
  </si>
  <si>
    <t>三寶食品集團有限公司</t>
  </si>
  <si>
    <t>三寶</t>
  </si>
  <si>
    <t>黄佩连</t>
  </si>
  <si>
    <t>中國金鯧魚(300-400G)|10KG(黃帶)</t>
  </si>
  <si>
    <t>14791716</t>
  </si>
  <si>
    <t>2490274093489717255</t>
  </si>
  <si>
    <t>2583085691027062789</t>
  </si>
  <si>
    <t>14790925</t>
  </si>
  <si>
    <t>2583070581332115457</t>
  </si>
  <si>
    <t>14790858</t>
  </si>
  <si>
    <t>2583066011509981186</t>
  </si>
  <si>
    <t>14790841</t>
  </si>
  <si>
    <t>2583054999190765575</t>
  </si>
  <si>
    <t>14789558</t>
  </si>
  <si>
    <t>2583030990346649606</t>
  </si>
  <si>
    <t>14789499</t>
  </si>
  <si>
    <t>2581617413507252230</t>
  </si>
  <si>
    <t>14789364</t>
  </si>
  <si>
    <t>2581598996710555652</t>
  </si>
  <si>
    <t>14790599</t>
  </si>
  <si>
    <t>2581556656922951682</t>
  </si>
  <si>
    <t>14790562</t>
  </si>
  <si>
    <t>2581555669080473608</t>
  </si>
  <si>
    <t>遼寧欣城帶骨雞全腿 240-260G|15KG</t>
  </si>
  <si>
    <t>14790563</t>
  </si>
  <si>
    <t>2581528155519975427</t>
  </si>
  <si>
    <t>NFT00.001114</t>
  </si>
  <si>
    <t>天后肉食有限公司</t>
  </si>
  <si>
    <t>天后肉食</t>
  </si>
  <si>
    <t>14790564</t>
  </si>
  <si>
    <t>2387140280744673287</t>
  </si>
  <si>
    <t>2581046062597799937</t>
  </si>
  <si>
    <t>14790424</t>
  </si>
  <si>
    <t>2581028126814371843</t>
  </si>
  <si>
    <t>14789236</t>
  </si>
  <si>
    <t>2581021546950164481</t>
  </si>
  <si>
    <t>2581026022280396800</t>
  </si>
  <si>
    <t>14789233</t>
  </si>
  <si>
    <t>2580988793503875073</t>
  </si>
  <si>
    <t>14789154</t>
  </si>
  <si>
    <t>2580883601187930121</t>
  </si>
  <si>
    <t>14788933</t>
  </si>
  <si>
    <t>2580879151601811457</t>
  </si>
  <si>
    <t>14788925</t>
  </si>
  <si>
    <t>2580877717059665924</t>
  </si>
  <si>
    <t>14788924</t>
  </si>
  <si>
    <t>2580876325513330690</t>
  </si>
  <si>
    <t>14789921</t>
  </si>
  <si>
    <t>2580876222434115589</t>
  </si>
  <si>
    <t>14788922</t>
  </si>
  <si>
    <t>2580872099265511431</t>
  </si>
  <si>
    <t>14788909</t>
  </si>
  <si>
    <t>2580852780479545348</t>
  </si>
  <si>
    <t>14789852</t>
  </si>
  <si>
    <t>2580815568905961479</t>
  </si>
  <si>
    <t>14788787</t>
  </si>
  <si>
    <t>2580311116384043008</t>
  </si>
  <si>
    <t>華英全淨膛鴨|13.6KG (1.7KG/只)</t>
  </si>
  <si>
    <t>14788757</t>
  </si>
  <si>
    <t>2580303076228333576</t>
  </si>
  <si>
    <t>NFT00.002854</t>
  </si>
  <si>
    <t>新柏霖有限公司</t>
  </si>
  <si>
    <t>新柏霖</t>
  </si>
  <si>
    <t>溫氏黃油中3雞|24.5KG (1.3-1.4kg/只,共18只)(抄碼)-停用</t>
  </si>
  <si>
    <t>开立</t>
  </si>
  <si>
    <t>2562335467095195663</t>
  </si>
  <si>
    <t>運興泰有限公司</t>
  </si>
  <si>
    <t>2580259018430742529</t>
  </si>
  <si>
    <t>伊美佳12支骨法式羊排|20KG</t>
  </si>
  <si>
    <t>14788695</t>
  </si>
  <si>
    <t>2580232355273768964</t>
  </si>
  <si>
    <t>14788292</t>
  </si>
  <si>
    <t>2393863201643036677</t>
  </si>
  <si>
    <t>2580219779609526279</t>
  </si>
  <si>
    <t>14788269</t>
  </si>
  <si>
    <t>2580157073110073347</t>
  </si>
  <si>
    <t>14788240</t>
  </si>
  <si>
    <t>2580121596680208389</t>
  </si>
  <si>
    <t>NFT00.000116</t>
  </si>
  <si>
    <t>新協興凍肉食品公司</t>
  </si>
  <si>
    <t>新協興</t>
  </si>
  <si>
    <t>14788176</t>
  </si>
  <si>
    <t>2387139997276831755</t>
  </si>
  <si>
    <t>溫氏黃油中1雞|22KG (1.6-1.7kg/只)/共13只(抄码)-停用</t>
  </si>
  <si>
    <t>2580082117317754887</t>
  </si>
  <si>
    <t>15MYKD.80036688</t>
  </si>
  <si>
    <t>美亞食品貿易有限公司</t>
  </si>
  <si>
    <t>美亞</t>
  </si>
  <si>
    <t>遼寧欣城帶皮腿扒|15KG (250-300/塊)</t>
  </si>
  <si>
    <t>14788043</t>
  </si>
  <si>
    <t>2471774913431601159</t>
  </si>
  <si>
    <t>2580077410033598467</t>
  </si>
  <si>
    <t>華英全淨膛鴨|12KG (1.5KG/只)</t>
  </si>
  <si>
    <t>14788021</t>
  </si>
  <si>
    <t>2580074979105177600</t>
  </si>
  <si>
    <t>14788003</t>
  </si>
  <si>
    <t>2579520052127596544</t>
  </si>
  <si>
    <t>華英鴨胸肉|10KG 200-220G/塊)</t>
  </si>
  <si>
    <t>14787864</t>
  </si>
  <si>
    <t>2579510500143398921</t>
  </si>
  <si>
    <t>14787856</t>
  </si>
  <si>
    <t>2579458977692647424</t>
  </si>
  <si>
    <t>山東煙熏鴨胸肉|10KG (200-220G/塊)日文包裝</t>
  </si>
  <si>
    <t>14786983</t>
  </si>
  <si>
    <t>2579410324303118340</t>
  </si>
  <si>
    <t>14787788</t>
  </si>
  <si>
    <t>2579408382977900548</t>
  </si>
  <si>
    <t>14786921</t>
  </si>
  <si>
    <t>2579369152769687552</t>
  </si>
  <si>
    <t>14787733</t>
  </si>
  <si>
    <t>2579356972219367427</t>
  </si>
  <si>
    <t>14786829</t>
  </si>
  <si>
    <t>2579354455368531977</t>
  </si>
  <si>
    <t>14786831</t>
  </si>
  <si>
    <t>2578797819017035780</t>
  </si>
  <si>
    <t>14786688</t>
  </si>
  <si>
    <t>2578780063645302784</t>
  </si>
  <si>
    <t>14786585</t>
  </si>
  <si>
    <t>2578777478074990600</t>
  </si>
  <si>
    <t>14786584</t>
  </si>
  <si>
    <t>2578659263372066818</t>
  </si>
  <si>
    <t>14786079</t>
  </si>
  <si>
    <t>2578653070052294656</t>
  </si>
  <si>
    <t>14785352</t>
  </si>
  <si>
    <t>2578640511567921157</t>
  </si>
  <si>
    <t>14786059</t>
  </si>
  <si>
    <t>2578597579074830341</t>
  </si>
  <si>
    <t>14785169</t>
  </si>
  <si>
    <t>2578071505687543815</t>
  </si>
  <si>
    <t>14785148</t>
  </si>
  <si>
    <t>2577992667290927105</t>
  </si>
  <si>
    <t>14784925</t>
  </si>
  <si>
    <t>2577956675464986626</t>
  </si>
  <si>
    <t>14784911</t>
  </si>
  <si>
    <t>2577948652443009028</t>
  </si>
  <si>
    <t>14784545</t>
  </si>
  <si>
    <t>2577918098068733955</t>
  </si>
  <si>
    <t>14784875</t>
  </si>
  <si>
    <t>2577914679251697665</t>
  </si>
  <si>
    <t>14784866</t>
  </si>
  <si>
    <t>2577858492512600067</t>
  </si>
  <si>
    <t>14784788</t>
  </si>
  <si>
    <t>2577856181797126151</t>
  </si>
  <si>
    <t>14784118</t>
  </si>
  <si>
    <t>2577830171475181574</t>
  </si>
  <si>
    <t>高峰法式羊排 12 支骨|20KG</t>
  </si>
  <si>
    <t>14784767</t>
  </si>
  <si>
    <t>2576409903122874371</t>
  </si>
  <si>
    <t>14783527</t>
  </si>
  <si>
    <t>2576388952249335814</t>
  </si>
  <si>
    <t>14783502</t>
  </si>
  <si>
    <t>2575881175445798919</t>
  </si>
  <si>
    <t>NFT00.001511</t>
  </si>
  <si>
    <t>福永行貿易有限公司</t>
  </si>
  <si>
    <t>福永行</t>
  </si>
  <si>
    <t>14783926</t>
  </si>
  <si>
    <t>2393952442473512966</t>
  </si>
  <si>
    <t>2575868977761746950</t>
  </si>
  <si>
    <t>14783389</t>
  </si>
  <si>
    <t>2575800481623310339</t>
  </si>
  <si>
    <t>NFT00.000154</t>
  </si>
  <si>
    <t>利寶凍肉有限公司</t>
  </si>
  <si>
    <t>利寶</t>
  </si>
  <si>
    <t>凍墨魚頭U1/2-A |12KG(紅帶,有皮餅裝,6*2k)</t>
  </si>
  <si>
    <t>14783279</t>
  </si>
  <si>
    <t>2387140040226504710</t>
  </si>
  <si>
    <t>凍墨魚頭U1-A |12KG(紅帶,有皮餅裝,6*2k))</t>
  </si>
  <si>
    <t>2575779745521205253</t>
  </si>
  <si>
    <t>14783632</t>
  </si>
  <si>
    <t>2575729047704174597</t>
  </si>
  <si>
    <t>14783587</t>
  </si>
  <si>
    <t>2575727424229605376</t>
  </si>
  <si>
    <t>14783073</t>
  </si>
  <si>
    <t>2575706224247963655</t>
  </si>
  <si>
    <t>14782523</t>
  </si>
  <si>
    <t>2575697213406576647</t>
  </si>
  <si>
    <t>14783030</t>
  </si>
  <si>
    <t>2575693519757770753</t>
  </si>
  <si>
    <t>14783028</t>
  </si>
  <si>
    <t>2575656849326997510</t>
  </si>
  <si>
    <t>14782983</t>
  </si>
  <si>
    <t>2575635657935290371</t>
  </si>
  <si>
    <t>14782219</t>
  </si>
  <si>
    <t>2575156863594135553</t>
  </si>
  <si>
    <t>山東IQF鴨小胸|10KG(1K*10)</t>
  </si>
  <si>
    <t>14782930</t>
  </si>
  <si>
    <t>2575051980469698568</t>
  </si>
  <si>
    <t>14782754</t>
  </si>
  <si>
    <t>2575046895251488773</t>
  </si>
  <si>
    <t>14782620</t>
  </si>
  <si>
    <t>2575045675480776704</t>
  </si>
  <si>
    <t>14781758</t>
  </si>
  <si>
    <t>2575044799284379649</t>
  </si>
  <si>
    <t>14782618</t>
  </si>
  <si>
    <t>2575023839867043847</t>
  </si>
  <si>
    <t>14781757</t>
  </si>
  <si>
    <t>2574964019562545183</t>
  </si>
  <si>
    <t>14780489</t>
  </si>
  <si>
    <t>2574952921343983624</t>
  </si>
  <si>
    <t>14781667</t>
  </si>
  <si>
    <t>2574942450236784641</t>
  </si>
  <si>
    <t>14780441</t>
  </si>
  <si>
    <t>2574935698525126661</t>
  </si>
  <si>
    <t>14781599</t>
  </si>
  <si>
    <t>2574917505066729481</t>
  </si>
  <si>
    <t>14781511</t>
  </si>
  <si>
    <t>2574916465684643843</t>
  </si>
  <si>
    <t>14780295</t>
  </si>
  <si>
    <t>2574902369578909704</t>
  </si>
  <si>
    <t>14780258</t>
  </si>
  <si>
    <t>2574873696377241602</t>
  </si>
  <si>
    <t>14780176</t>
  </si>
  <si>
    <t>2574135949867876361</t>
  </si>
  <si>
    <t>14781266</t>
  </si>
  <si>
    <t>2573633541750390792</t>
  </si>
  <si>
    <t>14781133</t>
  </si>
  <si>
    <t>2573616817147740163</t>
  </si>
  <si>
    <t>現沽-推廣(酒飲部)</t>
  </si>
  <si>
    <t>分销业务销售发展部产品市场部</t>
  </si>
  <si>
    <t>黄蕊</t>
  </si>
  <si>
    <t>有度安溪鐵觀音原味茶（陳香型）_400ml*15</t>
  </si>
  <si>
    <t>箱</t>
  </si>
  <si>
    <t>2549647566767128582</t>
  </si>
  <si>
    <t>2573570637682442246</t>
  </si>
  <si>
    <t>14780877</t>
  </si>
  <si>
    <t>2573557941759115267</t>
  </si>
  <si>
    <t>14780003</t>
  </si>
  <si>
    <t>山東鴨胸肉|10KG(220-240克/塊)</t>
  </si>
  <si>
    <t>2573485940927365125</t>
  </si>
  <si>
    <t>14780610</t>
  </si>
  <si>
    <t>2573484746903388164</t>
  </si>
  <si>
    <t>14779924</t>
  </si>
  <si>
    <t>2573469413870141443</t>
  </si>
  <si>
    <t>NFT00.000385</t>
  </si>
  <si>
    <t>誠信凍肉有限公司</t>
  </si>
  <si>
    <t>誠信</t>
  </si>
  <si>
    <t>李华兴</t>
  </si>
  <si>
    <t>14780586</t>
  </si>
  <si>
    <t>2387140220615131145</t>
  </si>
  <si>
    <t>2573457465271123972</t>
  </si>
  <si>
    <t>14778548</t>
  </si>
  <si>
    <t>2573449193164111872</t>
  </si>
  <si>
    <t>14778536</t>
  </si>
  <si>
    <t>2573448583301824520</t>
  </si>
  <si>
    <t>14779859</t>
  </si>
  <si>
    <t>2573433834361061384</t>
  </si>
  <si>
    <t>14779822</t>
  </si>
  <si>
    <t>2573427744097435656</t>
  </si>
  <si>
    <t>高峰去脂羊西冷|20KG</t>
  </si>
  <si>
    <t>14778460</t>
  </si>
  <si>
    <t>2573419729688461313</t>
  </si>
  <si>
    <t>14778447</t>
  </si>
  <si>
    <t>2573404422448087045</t>
  </si>
  <si>
    <t>14778402</t>
  </si>
  <si>
    <t>2572879414235758592</t>
  </si>
  <si>
    <t>14778327</t>
  </si>
  <si>
    <t>2572855121900732417</t>
  </si>
  <si>
    <t>伊美佳4支骨法式羊排|20KG</t>
  </si>
  <si>
    <t>14779565</t>
  </si>
  <si>
    <t>遼寧欣城帶骨雞全腿 220-240G|15KG</t>
  </si>
  <si>
    <t>2572850354463965186</t>
  </si>
  <si>
    <t>14778316</t>
  </si>
  <si>
    <t>2572833518192164867</t>
  </si>
  <si>
    <t>14778270</t>
  </si>
  <si>
    <t>2572821999112945664</t>
  </si>
  <si>
    <t>14779294</t>
  </si>
  <si>
    <t>2572809354706157569</t>
  </si>
  <si>
    <t>14778247</t>
  </si>
  <si>
    <t>2572770725793366019</t>
  </si>
  <si>
    <t>14779129</t>
  </si>
  <si>
    <t>2572732895698354185</t>
  </si>
  <si>
    <t>14779041</t>
  </si>
  <si>
    <t>2572730954373136391</t>
  </si>
  <si>
    <t>14779038</t>
  </si>
  <si>
    <t>2572722312922005506</t>
  </si>
  <si>
    <t>14778151</t>
  </si>
  <si>
    <t>2572717004319358981</t>
  </si>
  <si>
    <t>14778139</t>
  </si>
  <si>
    <t>2572702470150029320</t>
  </si>
  <si>
    <t>14778105</t>
  </si>
  <si>
    <t>2572689035515396098</t>
  </si>
  <si>
    <t>14778882</t>
  </si>
  <si>
    <t>2572681167112241156</t>
  </si>
  <si>
    <t>14778856</t>
  </si>
  <si>
    <t>2572675935865143296</t>
  </si>
  <si>
    <t>中國梅肉|25KG</t>
  </si>
  <si>
    <t>14778034</t>
  </si>
  <si>
    <t>2572670249328443399</t>
  </si>
  <si>
    <t>14777997</t>
  </si>
  <si>
    <t>2572667045259771905</t>
  </si>
  <si>
    <t>14777965</t>
  </si>
  <si>
    <t>2572650148881498120</t>
  </si>
  <si>
    <t>14778830</t>
  </si>
  <si>
    <t>2572633888135315459</t>
  </si>
  <si>
    <t>14777864</t>
  </si>
  <si>
    <t>2571220543247220736</t>
  </si>
  <si>
    <t>14777775</t>
  </si>
  <si>
    <t>2571207117179453440</t>
  </si>
  <si>
    <t>14777774</t>
  </si>
  <si>
    <t>2571197943106240520</t>
  </si>
  <si>
    <t>14777753</t>
  </si>
  <si>
    <t>2571170524058091529</t>
  </si>
  <si>
    <t>14777468</t>
  </si>
  <si>
    <t>2571165859700539394</t>
  </si>
  <si>
    <t>14777466</t>
  </si>
  <si>
    <t>2570643634650087429</t>
  </si>
  <si>
    <t>14777354</t>
  </si>
  <si>
    <t>2570566548553990146</t>
  </si>
  <si>
    <t>14776497</t>
  </si>
  <si>
    <t>2570539318461333505</t>
  </si>
  <si>
    <t>14776363</t>
  </si>
  <si>
    <t>2570508935862681601</t>
  </si>
  <si>
    <t>14776344</t>
  </si>
  <si>
    <t>2570508368950067205</t>
  </si>
  <si>
    <t>14776346</t>
  </si>
  <si>
    <t>山東全淨膛鴨|11.2KG (1.4KG/只)</t>
  </si>
  <si>
    <t>2570502553564348420</t>
  </si>
  <si>
    <t>14776970</t>
  </si>
  <si>
    <t>2570497966516207616</t>
  </si>
  <si>
    <t>14776277</t>
  </si>
  <si>
    <t>2570470762216423430</t>
  </si>
  <si>
    <t>14776831</t>
  </si>
  <si>
    <t>2570426369411383296</t>
  </si>
  <si>
    <t>14776727</t>
  </si>
  <si>
    <t>2570410168794742793</t>
  </si>
  <si>
    <t>14776080</t>
  </si>
  <si>
    <t>2569791109411635207</t>
  </si>
  <si>
    <t>14775180</t>
  </si>
  <si>
    <t>2569779177992486918</t>
  </si>
  <si>
    <t>14775825</t>
  </si>
  <si>
    <t>2569747232002670596</t>
  </si>
  <si>
    <t>14775755</t>
  </si>
  <si>
    <t>2569692685941080064</t>
  </si>
  <si>
    <t>14775607</t>
  </si>
  <si>
    <t>2569691199859326982</t>
  </si>
  <si>
    <t>14774969</t>
  </si>
  <si>
    <t>2569054058640834563</t>
  </si>
  <si>
    <t>14774691</t>
  </si>
  <si>
    <t>2569029826435350537</t>
  </si>
  <si>
    <t>NFT00.000232</t>
  </si>
  <si>
    <t>興利號食品有限公司</t>
  </si>
  <si>
    <t>興利號</t>
  </si>
  <si>
    <t>14774631</t>
  </si>
  <si>
    <t>2393863639729700869</t>
  </si>
  <si>
    <t>2569023839274008577</t>
  </si>
  <si>
    <t>14774383</t>
  </si>
  <si>
    <t>2569023512833425410</t>
  </si>
  <si>
    <t>14774382</t>
  </si>
  <si>
    <t>2569023212208783363</t>
  </si>
  <si>
    <t>14774628</t>
  </si>
  <si>
    <t>2569019372484952068</t>
  </si>
  <si>
    <t>14774615</t>
  </si>
  <si>
    <t>2569015773302358018</t>
  </si>
  <si>
    <t>14774603</t>
  </si>
  <si>
    <t>2569006393093783555</t>
  </si>
  <si>
    <t>14774574</t>
  </si>
  <si>
    <t>2568990828132302852</t>
  </si>
  <si>
    <t>14774347</t>
  </si>
  <si>
    <t>2568977238878846982</t>
  </si>
  <si>
    <t>14773515</t>
  </si>
  <si>
    <t>2568971071282741250</t>
  </si>
  <si>
    <t>14774274</t>
  </si>
  <si>
    <t>2568953272938266632</t>
  </si>
  <si>
    <t>NFT00.000273</t>
  </si>
  <si>
    <t>皇品有限公司</t>
  </si>
  <si>
    <t>皇品</t>
  </si>
  <si>
    <t>遼寧欣城去皮雞胸肉|12KG</t>
  </si>
  <si>
    <t>14773371</t>
  </si>
  <si>
    <t>2387140126125850625</t>
  </si>
  <si>
    <t>2568950360950439941</t>
  </si>
  <si>
    <t>14773358</t>
  </si>
  <si>
    <t>2568929624848334855</t>
  </si>
  <si>
    <t>遼寧嘉士德帶骨雞全腿 160-180G|15KG</t>
  </si>
  <si>
    <t>14773329</t>
  </si>
  <si>
    <t>2568924161673003015</t>
  </si>
  <si>
    <t>14774234</t>
  </si>
  <si>
    <t>2568322007235035145</t>
  </si>
  <si>
    <t>NFT00.000090</t>
  </si>
  <si>
    <t>姚氏食品有限公司</t>
  </si>
  <si>
    <t>姚氏</t>
  </si>
  <si>
    <t>14774033</t>
  </si>
  <si>
    <t>2393843779800924164</t>
  </si>
  <si>
    <t>2568264437516468232</t>
  </si>
  <si>
    <t>14772995</t>
  </si>
  <si>
    <t>2568259412381663239</t>
  </si>
  <si>
    <t>14772993</t>
  </si>
  <si>
    <t>2568241880325160964</t>
  </si>
  <si>
    <t>14773785</t>
  </si>
  <si>
    <t>2567647946477666306</t>
  </si>
  <si>
    <t>14772564</t>
  </si>
  <si>
    <t>2567623224668979205</t>
  </si>
  <si>
    <t>14771531</t>
  </si>
  <si>
    <t>2567585712401547267</t>
  </si>
  <si>
    <t>14772381</t>
  </si>
  <si>
    <t>2567582242091040776</t>
  </si>
  <si>
    <t>14772379</t>
  </si>
  <si>
    <t>2567536388997120005</t>
  </si>
  <si>
    <t>14771450</t>
  </si>
  <si>
    <t>2567534464851771393</t>
  </si>
  <si>
    <t>14772281</t>
  </si>
  <si>
    <t>2567524741045813252</t>
  </si>
  <si>
    <t>14772235</t>
  </si>
  <si>
    <t>2567521502640472066</t>
  </si>
  <si>
    <t>14771395</t>
  </si>
  <si>
    <t>遼寧盛佳康雞骨架|15KG</t>
  </si>
  <si>
    <t>2567519741703880710</t>
  </si>
  <si>
    <t>14772214</t>
  </si>
  <si>
    <t>2567516932818337799</t>
  </si>
  <si>
    <t>14772206</t>
  </si>
  <si>
    <t>山東帶骨鴨腿|10KG（200-220G/只）</t>
  </si>
  <si>
    <t>2567512835396468737</t>
  </si>
  <si>
    <t>14771359</t>
  </si>
  <si>
    <t>2567508557609041929</t>
  </si>
  <si>
    <t>14772191</t>
  </si>
  <si>
    <t>2567497631212240896</t>
  </si>
  <si>
    <t>14772177</t>
  </si>
  <si>
    <t>2567497459436617728</t>
  </si>
  <si>
    <t>14771297</t>
  </si>
  <si>
    <t>2567480691861225476</t>
  </si>
  <si>
    <t>14772117</t>
  </si>
  <si>
    <t>2567476448433537025</t>
  </si>
  <si>
    <t>14771218</t>
  </si>
  <si>
    <t>2567467325923000327</t>
  </si>
  <si>
    <t>14771213</t>
  </si>
  <si>
    <t>2567462850567077893</t>
  </si>
  <si>
    <t>14771974</t>
  </si>
  <si>
    <t>2567393993651388419</t>
  </si>
  <si>
    <t>14771949</t>
  </si>
  <si>
    <t>2566024019366117376</t>
  </si>
  <si>
    <t>14770925</t>
  </si>
  <si>
    <t>2566020411593588738</t>
  </si>
  <si>
    <t>14770923</t>
  </si>
  <si>
    <t>2566011280493117448</t>
  </si>
  <si>
    <t>14770921</t>
  </si>
  <si>
    <t>2566003283240943623</t>
  </si>
  <si>
    <t>14770901</t>
  </si>
  <si>
    <t>2565990372569251845</t>
  </si>
  <si>
    <t>14771795</t>
  </si>
  <si>
    <t>遼寧盛佳康去皮雞胸肉|12KG</t>
  </si>
  <si>
    <t>2565971440376479751</t>
  </si>
  <si>
    <t>14771757</t>
  </si>
  <si>
    <t>2564601156830494726</t>
  </si>
  <si>
    <t>華英帶骨鴨腿|10KG (260-280G/只)</t>
  </si>
  <si>
    <t>14770582</t>
  </si>
  <si>
    <t>2564585334170976257</t>
  </si>
  <si>
    <t>14770313</t>
  </si>
  <si>
    <t>2564571882310336514</t>
  </si>
  <si>
    <t>14769365</t>
  </si>
  <si>
    <t>2564564331757830148</t>
  </si>
  <si>
    <t>14769346</t>
  </si>
  <si>
    <t>2564563215066333187</t>
  </si>
  <si>
    <t>14769344</t>
  </si>
  <si>
    <t>2564554633721675781</t>
  </si>
  <si>
    <t>14770231</t>
  </si>
  <si>
    <t>2564548698076872712</t>
  </si>
  <si>
    <t>遼寧盛佳康帶骨雞全腿 240-260G|15KG</t>
  </si>
  <si>
    <t>14770201</t>
  </si>
  <si>
    <t>2564537264896999429</t>
  </si>
  <si>
    <t>14770168</t>
  </si>
  <si>
    <t>2564528013514375174</t>
  </si>
  <si>
    <t>14770140</t>
  </si>
  <si>
    <t>2564523177404268549</t>
  </si>
  <si>
    <t>NFT00.003421</t>
  </si>
  <si>
    <t>峻星貿易有限公司</t>
  </si>
  <si>
    <t>峻星</t>
  </si>
  <si>
    <t>14770081</t>
  </si>
  <si>
    <t>2486002696974237709</t>
  </si>
  <si>
    <t>馮先生</t>
  </si>
  <si>
    <t>2564517138657181705</t>
  </si>
  <si>
    <t>14769248</t>
  </si>
  <si>
    <t>2564499769809436672</t>
  </si>
  <si>
    <t>NFT00.000283</t>
  </si>
  <si>
    <t>國威夏門豬肉</t>
  </si>
  <si>
    <t>國威</t>
  </si>
  <si>
    <t>14769207</t>
  </si>
  <si>
    <t>2387140126125850636</t>
  </si>
  <si>
    <t>華英煙熏鴨胸肉|10KG (200-220G/塊)日文包裝</t>
  </si>
  <si>
    <t>越南Dai Thanh鯰魚柳|10KG(300-400克/塊),IQF–D</t>
  </si>
  <si>
    <t>2564492416848494596</t>
  </si>
  <si>
    <t>14769195</t>
  </si>
  <si>
    <t>2563951130689142789</t>
  </si>
  <si>
    <t>14769067</t>
  </si>
  <si>
    <t>2563838903195795459</t>
  </si>
  <si>
    <t>14768866</t>
  </si>
  <si>
    <t>2563825846495215623</t>
  </si>
  <si>
    <t>14768529</t>
  </si>
  <si>
    <t>2563825700466327559</t>
  </si>
  <si>
    <t>14768818</t>
  </si>
  <si>
    <t>2563823140665819139</t>
  </si>
  <si>
    <t>14768811</t>
  </si>
  <si>
    <t>2563807094665904130</t>
  </si>
  <si>
    <t>14768463</t>
  </si>
  <si>
    <t>2563787312046538754</t>
  </si>
  <si>
    <t>14768765</t>
  </si>
  <si>
    <t>2563772640438255617</t>
  </si>
  <si>
    <t>14768732</t>
  </si>
  <si>
    <t>2393843023886680072</t>
  </si>
  <si>
    <t>2563212181565865992</t>
  </si>
  <si>
    <t>14768563</t>
  </si>
  <si>
    <t>華英帶骨鴨腿|10KG (220-240G/只)</t>
  </si>
  <si>
    <t>2563103965571973123</t>
  </si>
  <si>
    <t>14767769</t>
  </si>
  <si>
    <t>2563071985243389958</t>
  </si>
  <si>
    <t>遼寧欣城小雞胸肉 IQF|10KG</t>
  </si>
  <si>
    <t>14767688</t>
  </si>
  <si>
    <t>2563071117662093321</t>
  </si>
  <si>
    <t>14767687</t>
  </si>
  <si>
    <t>2563060199853129732</t>
  </si>
  <si>
    <t>14767078</t>
  </si>
  <si>
    <t>2563036190985945096</t>
  </si>
  <si>
    <t>14767602</t>
  </si>
  <si>
    <t>2563034275432628231</t>
  </si>
  <si>
    <t>14767050</t>
  </si>
  <si>
    <t>2563023194414907401</t>
  </si>
  <si>
    <t>14766558</t>
  </si>
  <si>
    <t>2563018143535464448</t>
  </si>
  <si>
    <t>14767015</t>
  </si>
  <si>
    <t>2563006899311083528</t>
  </si>
  <si>
    <t>14766493</t>
  </si>
  <si>
    <t>2562480405037973513</t>
  </si>
  <si>
    <t>NFT00.002160</t>
  </si>
  <si>
    <t>鴻興食品供應有限公司</t>
  </si>
  <si>
    <t>鴻興</t>
  </si>
  <si>
    <t>14766835</t>
  </si>
  <si>
    <t>2393960826249674765</t>
  </si>
  <si>
    <t>遼寧欣城帶骨雞全腿 400-420G|15KG</t>
  </si>
  <si>
    <t>2562467356929425417</t>
  </si>
  <si>
    <t>14766348</t>
  </si>
  <si>
    <t>2562457014648176642</t>
  </si>
  <si>
    <t>14766335</t>
  </si>
  <si>
    <t>2562450366036705281</t>
  </si>
  <si>
    <t>14766771</t>
  </si>
  <si>
    <t>2562449816280891396</t>
  </si>
  <si>
    <t>華英帶骨鴨腿|10KG (200-220G/只)</t>
  </si>
  <si>
    <t>14766769</t>
  </si>
  <si>
    <t>2562449111906254849</t>
  </si>
  <si>
    <t>14766317</t>
  </si>
  <si>
    <t>2562435952128557057</t>
  </si>
  <si>
    <t>14766280</t>
  </si>
  <si>
    <t>2562340268845039622</t>
  </si>
  <si>
    <t>14766193</t>
  </si>
  <si>
    <t>2562335587330686984</t>
  </si>
  <si>
    <t>14766186</t>
  </si>
  <si>
    <t>2562329471297257480</t>
  </si>
  <si>
    <t>14765509</t>
  </si>
  <si>
    <t>山東煙熏鴨胸肉|10KG (220-240G/塊)日文包裝</t>
  </si>
  <si>
    <t>2562321267909722115</t>
  </si>
  <si>
    <t>14766165</t>
  </si>
  <si>
    <t>2562318562080325633</t>
  </si>
  <si>
    <t>14765460</t>
  </si>
  <si>
    <t>2562302713651003400</t>
  </si>
  <si>
    <t>14765402</t>
  </si>
  <si>
    <t>2562301777348132866</t>
  </si>
  <si>
    <t>NFT00.001901</t>
  </si>
  <si>
    <t>福偉集團有限公司</t>
  </si>
  <si>
    <t>福偉</t>
  </si>
  <si>
    <t>中國金鯧魚(200-300G)|10KG(黃帶)</t>
  </si>
  <si>
    <t>14766141</t>
  </si>
  <si>
    <t>2393955345871405062</t>
  </si>
  <si>
    <t>2562291125831335944</t>
  </si>
  <si>
    <t>14766117</t>
  </si>
  <si>
    <t>2562289029887295496</t>
  </si>
  <si>
    <t>14766116</t>
  </si>
  <si>
    <t>2562284683380391936</t>
  </si>
  <si>
    <t>14766106</t>
  </si>
  <si>
    <t>2562282922443800585</t>
  </si>
  <si>
    <t>至尊梅肉|25KG(14-15條)</t>
  </si>
  <si>
    <t>14766101</t>
  </si>
  <si>
    <t>2562276986796900353</t>
  </si>
  <si>
    <t>14765286</t>
  </si>
  <si>
    <t>2560842141304619014</t>
  </si>
  <si>
    <t>14765267</t>
  </si>
  <si>
    <t>2560841076152729605</t>
  </si>
  <si>
    <t>14765265</t>
  </si>
  <si>
    <t>2560834736778903552</t>
  </si>
  <si>
    <t>14765066</t>
  </si>
  <si>
    <t>2560103355403730948</t>
  </si>
  <si>
    <t>14764603</t>
  </si>
  <si>
    <t>2560100967401914369</t>
  </si>
  <si>
    <t>14764339</t>
  </si>
  <si>
    <t>2560065344943161352</t>
  </si>
  <si>
    <t>14763539</t>
  </si>
  <si>
    <t>2560043397660278786</t>
  </si>
  <si>
    <t>14764098</t>
  </si>
  <si>
    <t>2560015875518758919</t>
  </si>
  <si>
    <t>遼寧盛佳康帶骨雞全腿 260-280G|15KG</t>
  </si>
  <si>
    <t>14763467</t>
  </si>
  <si>
    <t>2559468731044986883</t>
  </si>
  <si>
    <t>NFT00.003501</t>
  </si>
  <si>
    <t>明記海鮮食品有限公司</t>
  </si>
  <si>
    <t>明記海鮮</t>
  </si>
  <si>
    <t>14763741</t>
  </si>
  <si>
    <t>2486714020867866643</t>
  </si>
  <si>
    <t>2559435857365303303</t>
  </si>
  <si>
    <t>14763732</t>
  </si>
  <si>
    <t>2559435178760470528</t>
  </si>
  <si>
    <t>14763730</t>
  </si>
  <si>
    <t>2559357259454873602</t>
  </si>
  <si>
    <t>14763224</t>
  </si>
  <si>
    <t>2559308846592425984</t>
  </si>
  <si>
    <t>14762458</t>
  </si>
  <si>
    <t>2559288634476331012</t>
  </si>
  <si>
    <t>14762993</t>
  </si>
  <si>
    <t>2558775540503281664</t>
  </si>
  <si>
    <t>14762387</t>
  </si>
  <si>
    <t>2558713211928969217</t>
  </si>
  <si>
    <t>14762936</t>
  </si>
  <si>
    <t>2558653889840676869</t>
  </si>
  <si>
    <t>14762774</t>
  </si>
  <si>
    <t>2558623833668452360</t>
  </si>
  <si>
    <t>14762722</t>
  </si>
  <si>
    <t>2558614573710049284</t>
  </si>
  <si>
    <t>14762706</t>
  </si>
  <si>
    <t>2558612666753482761</t>
  </si>
  <si>
    <t>14762701</t>
  </si>
  <si>
    <t>2558606215703691264</t>
  </si>
  <si>
    <t>14762211</t>
  </si>
  <si>
    <t>2558576442990395399</t>
  </si>
  <si>
    <t>14762159</t>
  </si>
  <si>
    <t>2557874911614861318</t>
  </si>
  <si>
    <t>14761644</t>
  </si>
  <si>
    <t>2557866630935216133</t>
  </si>
  <si>
    <t>14761035</t>
  </si>
  <si>
    <t>2557854072450842628</t>
  </si>
  <si>
    <t>14760965</t>
  </si>
  <si>
    <t>2557851512650334217</t>
  </si>
  <si>
    <t>14760963</t>
  </si>
  <si>
    <t>2557829994846879748</t>
  </si>
  <si>
    <t>14760540</t>
  </si>
  <si>
    <t>2557829058544009221</t>
  </si>
  <si>
    <t>14760921</t>
  </si>
  <si>
    <t>2557808365391577096</t>
  </si>
  <si>
    <t>14760859</t>
  </si>
  <si>
    <t>2557804903665238025</t>
  </si>
  <si>
    <t>14760870</t>
  </si>
  <si>
    <t>2557266409238298633</t>
  </si>
  <si>
    <t>14760710</t>
  </si>
  <si>
    <t>2557247872176750601</t>
  </si>
  <si>
    <t>14760684</t>
  </si>
  <si>
    <t>2557242262949462019</t>
  </si>
  <si>
    <t>14760265</t>
  </si>
  <si>
    <t>2557207104329875457</t>
  </si>
  <si>
    <t>14760157</t>
  </si>
  <si>
    <t>2557132208690167809</t>
  </si>
  <si>
    <t>14760092</t>
  </si>
  <si>
    <t>2557099077312446466</t>
  </si>
  <si>
    <t>14759273</t>
  </si>
  <si>
    <t>2557095546866630662</t>
  </si>
  <si>
    <t>14760024</t>
  </si>
  <si>
    <t>2557074716275245057</t>
  </si>
  <si>
    <t>14759180</t>
  </si>
  <si>
    <t>2555659893918400514</t>
  </si>
  <si>
    <t>14759833</t>
  </si>
  <si>
    <t>2555659198133698569</t>
  </si>
  <si>
    <t>14758896</t>
  </si>
  <si>
    <t>2555652858744668163</t>
  </si>
  <si>
    <t>14759936</t>
  </si>
  <si>
    <t>2555644320366985222</t>
  </si>
  <si>
    <t>14759823</t>
  </si>
  <si>
    <t>2555608577649147911</t>
  </si>
  <si>
    <t>14759810</t>
  </si>
  <si>
    <t>2555605476682760201</t>
  </si>
  <si>
    <t>14758868</t>
  </si>
  <si>
    <t>2555575300225236993</t>
  </si>
  <si>
    <t>14758869</t>
  </si>
  <si>
    <t>2555056932049649670</t>
  </si>
  <si>
    <t>14758729</t>
  </si>
  <si>
    <t>2554995187582500871</t>
  </si>
  <si>
    <t>14758395</t>
  </si>
  <si>
    <t>2554993856142639113</t>
  </si>
  <si>
    <t>14758389</t>
  </si>
  <si>
    <t>2554984390052020243</t>
  </si>
  <si>
    <t>14758623</t>
  </si>
  <si>
    <t>2554936698717863939</t>
  </si>
  <si>
    <t>14758564</t>
  </si>
  <si>
    <t>2554923229717725187</t>
  </si>
  <si>
    <t>遼寧欣城小雞胸肉|12KG (2KG*6)</t>
  </si>
  <si>
    <t>14757539</t>
  </si>
  <si>
    <t>2490274265288409088</t>
  </si>
  <si>
    <t>2554892469144649731</t>
  </si>
  <si>
    <t>14757465</t>
  </si>
  <si>
    <t>2554888277256568836</t>
  </si>
  <si>
    <t>14758196</t>
  </si>
  <si>
    <t>2554851718494945283</t>
  </si>
  <si>
    <t>14758142</t>
  </si>
  <si>
    <t>2554849768579792903</t>
  </si>
  <si>
    <t>14758141</t>
  </si>
  <si>
    <t>2554819755348328453</t>
  </si>
  <si>
    <t>14757248</t>
  </si>
  <si>
    <t>2554305931248140290</t>
  </si>
  <si>
    <t>14758053</t>
  </si>
  <si>
    <t>2554185843962544131</t>
  </si>
  <si>
    <t>14756907</t>
  </si>
  <si>
    <t>2554173568928710660</t>
  </si>
  <si>
    <t>14756895</t>
  </si>
  <si>
    <t>2393966779074347012</t>
  </si>
  <si>
    <t>黃生</t>
  </si>
  <si>
    <t>2554110338437480450</t>
  </si>
  <si>
    <t>14755485</t>
  </si>
  <si>
    <t>2554104686243217417</t>
  </si>
  <si>
    <t>14756731</t>
  </si>
  <si>
    <t>2554097805722910727</t>
  </si>
  <si>
    <t>14755424</t>
  </si>
  <si>
    <t>2554097384798814213</t>
  </si>
  <si>
    <t>14755422</t>
  </si>
  <si>
    <t>2553552284746776579</t>
  </si>
  <si>
    <t>14756616</t>
  </si>
  <si>
    <t>2553519831956586502</t>
  </si>
  <si>
    <t>14755266</t>
  </si>
  <si>
    <t>2553505237675016193</t>
  </si>
  <si>
    <t>14756530</t>
  </si>
  <si>
    <t>2553462665959178242</t>
  </si>
  <si>
    <t>14755194</t>
  </si>
  <si>
    <t>2553450536971534341</t>
  </si>
  <si>
    <t>中國金鯧魚(200-300G)|10KG(藍帶)</t>
  </si>
  <si>
    <t>14756417</t>
  </si>
  <si>
    <t>2553430926150860806</t>
  </si>
  <si>
    <t>14755164</t>
  </si>
  <si>
    <t>2553429551761326089</t>
  </si>
  <si>
    <t>14756358</t>
  </si>
  <si>
    <t>2553399821997703171</t>
  </si>
  <si>
    <t>14755113</t>
  </si>
  <si>
    <t>2553383982158315524</t>
  </si>
  <si>
    <t>14756175</t>
  </si>
  <si>
    <t>2553383088787816449</t>
  </si>
  <si>
    <t>14756181</t>
  </si>
  <si>
    <t>2553370152346320903</t>
  </si>
  <si>
    <t>NFT00.000270</t>
  </si>
  <si>
    <t>永進食品有限公司</t>
  </si>
  <si>
    <t>永進</t>
  </si>
  <si>
    <t>14756173</t>
  </si>
  <si>
    <t>2393869403575812100</t>
  </si>
  <si>
    <t>胡先生</t>
  </si>
  <si>
    <t>2553334151947747328</t>
  </si>
  <si>
    <t>14756041</t>
  </si>
  <si>
    <t>2552813095088029703</t>
  </si>
  <si>
    <t>華潤膳食管理部</t>
  </si>
  <si>
    <t>分销业务销售发展部销售部</t>
  </si>
  <si>
    <t>黎文欣</t>
  </si>
  <si>
    <t>高富牌特級珍珠米(綠袋)|25KG</t>
  </si>
  <si>
    <t>14755797</t>
  </si>
  <si>
    <t>2523869439344508931</t>
  </si>
  <si>
    <t>2552772688053010436</t>
  </si>
  <si>
    <t>14754956</t>
  </si>
  <si>
    <t>2552688987713044488</t>
  </si>
  <si>
    <t>14753466</t>
  </si>
  <si>
    <t>2552643710185111560</t>
  </si>
  <si>
    <t>14754661</t>
  </si>
  <si>
    <t>2552639037260693511</t>
  </si>
  <si>
    <t>14754655</t>
  </si>
  <si>
    <t>2552134309866635265</t>
  </si>
  <si>
    <t>14753256</t>
  </si>
  <si>
    <t>2552131698543820806</t>
  </si>
  <si>
    <t>14754326</t>
  </si>
  <si>
    <t>2552045172132675584</t>
  </si>
  <si>
    <t>14754177</t>
  </si>
  <si>
    <t>2551951327097257989</t>
  </si>
  <si>
    <t>14753939</t>
  </si>
  <si>
    <t>2551944197434245127</t>
  </si>
  <si>
    <t>NFT00.000881</t>
  </si>
  <si>
    <t>明興食品有限公司(元朗)</t>
  </si>
  <si>
    <t>明興</t>
  </si>
  <si>
    <t>14752993</t>
  </si>
  <si>
    <t>2393949075219152898</t>
  </si>
  <si>
    <t>2551923719047479304</t>
  </si>
  <si>
    <t>14752954</t>
  </si>
  <si>
    <t>2551915859240026115</t>
  </si>
  <si>
    <t>NFT00.001991</t>
  </si>
  <si>
    <t>昭楠貿易有限公司</t>
  </si>
  <si>
    <t>昭楠</t>
  </si>
  <si>
    <t>14752957</t>
  </si>
  <si>
    <t>2393956436793098240</t>
  </si>
  <si>
    <t xml:space="preserve"> 昭楠貿易有限公司</t>
  </si>
  <si>
    <t>2551911306591993856</t>
  </si>
  <si>
    <t>14752959</t>
  </si>
  <si>
    <t>2551911272232255489</t>
  </si>
  <si>
    <t>14752958</t>
  </si>
  <si>
    <t>2551908832690831362</t>
  </si>
  <si>
    <t>14753755</t>
  </si>
  <si>
    <t>2551908282935017480</t>
  </si>
  <si>
    <t>14753752</t>
  </si>
  <si>
    <t>2551905920685703171</t>
  </si>
  <si>
    <t>14752924</t>
  </si>
  <si>
    <t>2551905628627927046</t>
  </si>
  <si>
    <t>NFT00.000362</t>
  </si>
  <si>
    <t>三興行貿易有限公司</t>
  </si>
  <si>
    <t>三興行</t>
  </si>
  <si>
    <t>14753747</t>
  </si>
  <si>
    <t>2387140194845327369</t>
  </si>
  <si>
    <t>2551905319390281730</t>
  </si>
  <si>
    <t>14753745</t>
  </si>
  <si>
    <t>2551896884091813888</t>
  </si>
  <si>
    <t>14752913</t>
  </si>
  <si>
    <t>2551884720727130118</t>
  </si>
  <si>
    <t>14753696</t>
  </si>
  <si>
    <t>2551873837280002051</t>
  </si>
  <si>
    <t>14753621</t>
  </si>
  <si>
    <t>2550455347038388226</t>
  </si>
  <si>
    <t>14752627</t>
  </si>
  <si>
    <t>2550435607351394311</t>
  </si>
  <si>
    <t>14751442</t>
  </si>
  <si>
    <t>2550435555811786755</t>
  </si>
  <si>
    <t>NFT00.000135</t>
  </si>
  <si>
    <t>同榮泰凍肉食品有限公司</t>
  </si>
  <si>
    <t>同榮泰</t>
  </si>
  <si>
    <t>14752619</t>
  </si>
  <si>
    <t>2387140641521926159</t>
  </si>
  <si>
    <t>2550408549057429506</t>
  </si>
  <si>
    <t>14751405</t>
  </si>
  <si>
    <t>2550402029314375687</t>
  </si>
  <si>
    <t>14752573</t>
  </si>
  <si>
    <t>2549819502882717700</t>
  </si>
  <si>
    <t>14751281</t>
  </si>
  <si>
    <t>2549796851242500103</t>
  </si>
  <si>
    <t>14752012</t>
  </si>
  <si>
    <t>2549757045485600774</t>
  </si>
  <si>
    <t>14751086</t>
  </si>
  <si>
    <t>2549005391831760904</t>
  </si>
  <si>
    <t>14750461</t>
  </si>
  <si>
    <t>2548984209070358535</t>
  </si>
  <si>
    <t>14749278</t>
  </si>
  <si>
    <t>2548978127396667401</t>
  </si>
  <si>
    <t>14750429</t>
  </si>
  <si>
    <t>2548977122374320132</t>
  </si>
  <si>
    <t>14750421</t>
  </si>
  <si>
    <t>2548976701467525121</t>
  </si>
  <si>
    <t>14750427</t>
  </si>
  <si>
    <t>2548968326263996419</t>
  </si>
  <si>
    <t>14749239</t>
  </si>
  <si>
    <t>2548956515121233925</t>
  </si>
  <si>
    <t>14749198</t>
  </si>
  <si>
    <t>2548908316998238212</t>
  </si>
  <si>
    <t>14749102</t>
  </si>
  <si>
    <t>2548907337728393217</t>
  </si>
  <si>
    <t>西班牙Ready純鮮蘋果汁(接骨木花)_500ml</t>
  </si>
  <si>
    <t>瓶</t>
  </si>
  <si>
    <t>14750267</t>
  </si>
  <si>
    <t>西班牙Ready純鮮橙汁含果肉_500ml</t>
  </si>
  <si>
    <t>2548907019900813321</t>
  </si>
  <si>
    <t>14750265</t>
  </si>
  <si>
    <t>2548906358475849731</t>
  </si>
  <si>
    <t>遼寧欣城琵琶腿130-150G|10KG(10KG*1)</t>
  </si>
  <si>
    <t>14750261</t>
  </si>
  <si>
    <t>2548900981194096647</t>
  </si>
  <si>
    <t>14749077</t>
  </si>
  <si>
    <t>2548416139498618884</t>
  </si>
  <si>
    <t>14749047</t>
  </si>
  <si>
    <t>2548407850229039110</t>
  </si>
  <si>
    <t>14749048</t>
  </si>
  <si>
    <t>2548356765870718978</t>
  </si>
  <si>
    <t>14748981</t>
  </si>
  <si>
    <t>2548259021004996616</t>
  </si>
  <si>
    <t>14749785</t>
  </si>
  <si>
    <t>2548214379114921991</t>
  </si>
  <si>
    <t>14749610</t>
  </si>
  <si>
    <t>2548190275775758344</t>
  </si>
  <si>
    <t>河南華英凍鴨舌(無鬚)|10KG</t>
  </si>
  <si>
    <t>14748529</t>
  </si>
  <si>
    <t>2548185989381095432</t>
  </si>
  <si>
    <t>14748517</t>
  </si>
  <si>
    <t>2548174538998284290</t>
  </si>
  <si>
    <t>14748642</t>
  </si>
  <si>
    <t>2548172778078994441</t>
  </si>
  <si>
    <t>14748458</t>
  </si>
  <si>
    <t>2547491501759266821</t>
  </si>
  <si>
    <t>14747033</t>
  </si>
  <si>
    <t>2547485428675510276</t>
  </si>
  <si>
    <t>14747014</t>
  </si>
  <si>
    <t>2547473394177146888</t>
  </si>
  <si>
    <t>14747993</t>
  </si>
  <si>
    <t>2547464864389398534</t>
  </si>
  <si>
    <t>14747980</t>
  </si>
  <si>
    <t>2547428537556008969</t>
  </si>
  <si>
    <t>14747815</t>
  </si>
  <si>
    <t>2547425007075590149</t>
  </si>
  <si>
    <t>14746873</t>
  </si>
  <si>
    <t>2547420686355791873</t>
  </si>
  <si>
    <t>14746862</t>
  </si>
  <si>
    <t>2545281620843692036</t>
  </si>
  <si>
    <t>14745026</t>
  </si>
  <si>
    <t>2545218184176730119</t>
  </si>
  <si>
    <t>14744995</t>
  </si>
  <si>
    <t>2545184795100971013</t>
  </si>
  <si>
    <t>14743518</t>
  </si>
  <si>
    <t>2545184769331167236</t>
  </si>
  <si>
    <t>14743516</t>
  </si>
  <si>
    <t>2545170226571902977</t>
  </si>
  <si>
    <t>14744845</t>
  </si>
  <si>
    <t>2544547172846141449</t>
  </si>
  <si>
    <t>14744334</t>
  </si>
  <si>
    <t>2544537784047632387</t>
  </si>
  <si>
    <t>14744307</t>
  </si>
  <si>
    <t>2544516489582477313</t>
  </si>
  <si>
    <t>14744261</t>
  </si>
  <si>
    <t>2544515544706973696</t>
  </si>
  <si>
    <t>14744259</t>
  </si>
  <si>
    <t>2544493159337426949</t>
  </si>
  <si>
    <t>14744202</t>
  </si>
  <si>
    <t>2544482851398615046</t>
  </si>
  <si>
    <t>14744136</t>
  </si>
  <si>
    <t>2544474338790735880</t>
  </si>
  <si>
    <t>14742998</t>
  </si>
  <si>
    <t>2544467552742408201</t>
  </si>
  <si>
    <t>NFT00.000359</t>
  </si>
  <si>
    <t>泰怡國際有限公司</t>
  </si>
  <si>
    <t>泰怡</t>
  </si>
  <si>
    <t>14744083</t>
  </si>
  <si>
    <t>2387140186255392776</t>
  </si>
  <si>
    <t>2544462819688448005</t>
  </si>
  <si>
    <t>14744068</t>
  </si>
  <si>
    <t>2544461514001088521</t>
  </si>
  <si>
    <t>14742953</t>
  </si>
  <si>
    <t>2544045924375592967</t>
  </si>
  <si>
    <t>15MYKD.SWT01</t>
  </si>
  <si>
    <t>新華凍肉超級市場(葵芳)</t>
  </si>
  <si>
    <t>新華</t>
  </si>
  <si>
    <t>14743984</t>
  </si>
  <si>
    <t>2387139919967420424</t>
  </si>
  <si>
    <t>2543957302037708803</t>
  </si>
  <si>
    <t>14743932</t>
  </si>
  <si>
    <t>2543924428340723721</t>
  </si>
  <si>
    <t>14742821</t>
  </si>
  <si>
    <t>2543922736123609095</t>
  </si>
  <si>
    <t>14742820</t>
  </si>
  <si>
    <t>2543921628039348226</t>
  </si>
  <si>
    <t>14743898</t>
  </si>
  <si>
    <t>2543899259849670659</t>
  </si>
  <si>
    <t>14743865</t>
  </si>
  <si>
    <t>2543886409307521029</t>
  </si>
  <si>
    <t>14742782</t>
  </si>
  <si>
    <t>2543857401098403842</t>
  </si>
  <si>
    <t>14742738</t>
  </si>
  <si>
    <t>2543853716016463875</t>
  </si>
  <si>
    <t>14743784</t>
  </si>
  <si>
    <t>2543772292009164801</t>
  </si>
  <si>
    <t>14742644</t>
  </si>
  <si>
    <t>2543739547195801603</t>
  </si>
  <si>
    <t>14743563</t>
  </si>
  <si>
    <t>2543727426780790787</t>
  </si>
  <si>
    <t>14742528</t>
  </si>
  <si>
    <t>2543725768923414531</t>
  </si>
  <si>
    <t>14742577</t>
  </si>
  <si>
    <t>2543706321328799753</t>
  </si>
  <si>
    <t>14741539</t>
  </si>
  <si>
    <t>2543697714214338564</t>
  </si>
  <si>
    <t>14741526</t>
  </si>
  <si>
    <t>2543155173945507841</t>
  </si>
  <si>
    <t>14741408</t>
  </si>
  <si>
    <t>2543140450780315654</t>
  </si>
  <si>
    <t>14742274</t>
  </si>
  <si>
    <t>2543136396331188229</t>
  </si>
  <si>
    <t>14742273</t>
  </si>
  <si>
    <t>2543036778871259139</t>
  </si>
  <si>
    <t>14742089</t>
  </si>
  <si>
    <t>2543035696546840585</t>
  </si>
  <si>
    <t>14741278</t>
  </si>
  <si>
    <t>2543029142419406851</t>
  </si>
  <si>
    <t>14742055</t>
  </si>
  <si>
    <t>2543027828159414275</t>
  </si>
  <si>
    <t>14742052</t>
  </si>
  <si>
    <t>2542964735089836033</t>
  </si>
  <si>
    <t>14741156</t>
  </si>
  <si>
    <t>2542957605444124679</t>
  </si>
  <si>
    <t>14741155</t>
  </si>
  <si>
    <t>2542535332856856579</t>
  </si>
  <si>
    <t>14741783</t>
  </si>
  <si>
    <t>2542291464613789701</t>
  </si>
  <si>
    <t>14740484</t>
  </si>
  <si>
    <t>2542290708699545607</t>
  </si>
  <si>
    <t>14740744</t>
  </si>
  <si>
    <t>2542274044219097091</t>
  </si>
  <si>
    <t>14740719</t>
  </si>
  <si>
    <t>2542245147679129606</t>
  </si>
  <si>
    <t>14740272</t>
  </si>
  <si>
    <t>2542220528926588935</t>
  </si>
  <si>
    <t>14740186</t>
  </si>
  <si>
    <t>2542202636100173831</t>
  </si>
  <si>
    <t>14740184</t>
  </si>
  <si>
    <t>2541733806052737026</t>
  </si>
  <si>
    <t>14740163</t>
  </si>
  <si>
    <t>2541659778003763202</t>
  </si>
  <si>
    <t>14740631</t>
  </si>
  <si>
    <t>2541638973174841352</t>
  </si>
  <si>
    <t>14739384</t>
  </si>
  <si>
    <t>2541543272713551880</t>
  </si>
  <si>
    <t>14739768</t>
  </si>
  <si>
    <t>2541519890911592448</t>
  </si>
  <si>
    <t>14739190</t>
  </si>
  <si>
    <t>2541519298206105605</t>
  </si>
  <si>
    <t>14739189</t>
  </si>
  <si>
    <t>2541519263846367237</t>
  </si>
  <si>
    <t>14739191</t>
  </si>
  <si>
    <t>2541518757047566341</t>
  </si>
  <si>
    <t>14739697</t>
  </si>
  <si>
    <t>2541491415285760003</t>
  </si>
  <si>
    <t>14739147</t>
  </si>
  <si>
    <t>2541489130355818504</t>
  </si>
  <si>
    <t>14738538</t>
  </si>
  <si>
    <t>2541488322901966856</t>
  </si>
  <si>
    <t>14739145</t>
  </si>
  <si>
    <t>2541465413553750021</t>
  </si>
  <si>
    <t>14739092</t>
  </si>
  <si>
    <t>2540051733658206214</t>
  </si>
  <si>
    <t>NFT00.000268</t>
  </si>
  <si>
    <t>再豐有限公司</t>
  </si>
  <si>
    <t>再豐</t>
  </si>
  <si>
    <t>14738996</t>
  </si>
  <si>
    <t>2393867883157389316</t>
  </si>
  <si>
    <t>2540023910860062729</t>
  </si>
  <si>
    <t>14738207</t>
  </si>
  <si>
    <t>2539399156319911937</t>
  </si>
  <si>
    <t>14737481</t>
  </si>
  <si>
    <t>2539350648959270914</t>
  </si>
  <si>
    <t>14737917</t>
  </si>
  <si>
    <t>2539345769876422661</t>
  </si>
  <si>
    <t>14737393</t>
  </si>
  <si>
    <t>2539339756929548292</t>
  </si>
  <si>
    <t>14737386</t>
  </si>
  <si>
    <t>2539320283547828228</t>
  </si>
  <si>
    <t>14737343</t>
  </si>
  <si>
    <t>2539313506089435136</t>
  </si>
  <si>
    <t>14737317</t>
  </si>
  <si>
    <t>2539267068903030787</t>
  </si>
  <si>
    <t>NFT00.002279</t>
  </si>
  <si>
    <t>祥興食品公司</t>
  </si>
  <si>
    <t>祥興</t>
  </si>
  <si>
    <t>14737789</t>
  </si>
  <si>
    <t>2387140538442711052</t>
  </si>
  <si>
    <t>2539259114623598599</t>
  </si>
  <si>
    <t>NFT00.000165</t>
  </si>
  <si>
    <t>富景凍肉有限公司</t>
  </si>
  <si>
    <t>富景</t>
  </si>
  <si>
    <t>14737119</t>
  </si>
  <si>
    <t>2393987317607956485</t>
  </si>
  <si>
    <t>2538670008312004608</t>
  </si>
  <si>
    <t>14736956</t>
  </si>
  <si>
    <t>2538530456234622984</t>
  </si>
  <si>
    <t>14736812</t>
  </si>
  <si>
    <t>2538528892873867265</t>
  </si>
  <si>
    <t>14736257</t>
  </si>
  <si>
    <t>2538517648642146305</t>
  </si>
  <si>
    <t>14736192</t>
  </si>
  <si>
    <t>2538511927753048072</t>
  </si>
  <si>
    <t>14736783</t>
  </si>
  <si>
    <t>2538010979940171781</t>
  </si>
  <si>
    <t>14736044</t>
  </si>
  <si>
    <t>2537946186070884361</t>
  </si>
  <si>
    <t>14735987</t>
  </si>
  <si>
    <t>2537868696263589893</t>
  </si>
  <si>
    <t>14735482</t>
  </si>
  <si>
    <t>2537848089010503688</t>
  </si>
  <si>
    <t>14735853</t>
  </si>
  <si>
    <t>2537837763909124103</t>
  </si>
  <si>
    <t>14735835</t>
  </si>
  <si>
    <t>2537836149008760837</t>
  </si>
  <si>
    <t>14735834</t>
  </si>
  <si>
    <t>2537821632011960327</t>
  </si>
  <si>
    <t>14735803</t>
  </si>
  <si>
    <t>2537818264757600263</t>
  </si>
  <si>
    <t>14735797</t>
  </si>
  <si>
    <t>2537779618641870856</t>
  </si>
  <si>
    <t>14735739</t>
  </si>
  <si>
    <t>2537777977971703815</t>
  </si>
  <si>
    <t>14735737</t>
  </si>
  <si>
    <t>2537777857705279489</t>
  </si>
  <si>
    <t>14735736</t>
  </si>
  <si>
    <t>2537771930657751047</t>
  </si>
  <si>
    <t>NFT00.002110</t>
  </si>
  <si>
    <t>溢豐貿易</t>
  </si>
  <si>
    <t>溢豐</t>
  </si>
  <si>
    <t>14735215</t>
  </si>
  <si>
    <t>2387140461133299722</t>
  </si>
  <si>
    <t>2537239397662720008</t>
  </si>
  <si>
    <t>14735170</t>
  </si>
  <si>
    <t>2537121054126505992</t>
  </si>
  <si>
    <t>NFT00.002962</t>
  </si>
  <si>
    <t>英豐(香港)貿易有限公司</t>
  </si>
  <si>
    <t>英豐</t>
  </si>
  <si>
    <t>14734434</t>
  </si>
  <si>
    <t>2333903465338634255</t>
  </si>
  <si>
    <t>2537115376187080713</t>
  </si>
  <si>
    <t>NFT00.000239</t>
  </si>
  <si>
    <t>東浩冷凍食品公司</t>
  </si>
  <si>
    <t>東浩</t>
  </si>
  <si>
    <t>遼寧盛佳康帶皮腿扒|15KG (250克+/塊)</t>
  </si>
  <si>
    <t>14734428</t>
  </si>
  <si>
    <t>2387140100356046861</t>
  </si>
  <si>
    <t>2537094837653471233</t>
  </si>
  <si>
    <t>14734403</t>
  </si>
  <si>
    <t>2537093798264045570</t>
  </si>
  <si>
    <t>14734822</t>
  </si>
  <si>
    <t>2537088429562265605</t>
  </si>
  <si>
    <t>14734789</t>
  </si>
  <si>
    <t>2537063226694172672</t>
  </si>
  <si>
    <t>14734705</t>
  </si>
  <si>
    <t>2537062917449187336</t>
  </si>
  <si>
    <t>15MYKD.80010851</t>
  </si>
  <si>
    <t>再興燒臘飯店有限公司</t>
  </si>
  <si>
    <t>再興</t>
  </si>
  <si>
    <t>14734707</t>
  </si>
  <si>
    <t>2387140229205065734</t>
  </si>
  <si>
    <t>再興燒臘飯店</t>
  </si>
  <si>
    <t>2537037396760854532</t>
  </si>
  <si>
    <t>14734331</t>
  </si>
  <si>
    <t>2536681704749268999</t>
  </si>
  <si>
    <t>14733510</t>
  </si>
  <si>
    <t>2536576014194049031</t>
  </si>
  <si>
    <t>14733508</t>
  </si>
  <si>
    <t>2536541353807970312</t>
  </si>
  <si>
    <t>14733505</t>
  </si>
  <si>
    <t>2536486232197693446</t>
  </si>
  <si>
    <t>14733411</t>
  </si>
  <si>
    <t>挪威煙燻三文魚500g裝|7.5KG (500g*15包/箱)</t>
  </si>
  <si>
    <t>2536476551341408256</t>
  </si>
  <si>
    <t>14733402</t>
  </si>
  <si>
    <t>2536471612129017858</t>
  </si>
  <si>
    <t>14733387</t>
  </si>
  <si>
    <t>2536441598897553409</t>
  </si>
  <si>
    <t>14733333</t>
  </si>
  <si>
    <t>2536383144392654855</t>
  </si>
  <si>
    <t>NFT00.000079</t>
  </si>
  <si>
    <t>明興凍肉食品有限公司</t>
  </si>
  <si>
    <t>14733218</t>
  </si>
  <si>
    <t>2393827957141405701</t>
  </si>
  <si>
    <t>2536368936633499656</t>
  </si>
  <si>
    <t>14733192</t>
  </si>
  <si>
    <t>2536336887587536896</t>
  </si>
  <si>
    <t>14733818</t>
  </si>
  <si>
    <t>2536322447914827789</t>
  </si>
  <si>
    <t>14733805</t>
  </si>
  <si>
    <t>2536320755690373125</t>
  </si>
  <si>
    <t>14733803</t>
  </si>
  <si>
    <t>2536312105626238981</t>
  </si>
  <si>
    <t>14733078</t>
  </si>
  <si>
    <t>2536298842774568968</t>
  </si>
  <si>
    <t>14733013</t>
  </si>
  <si>
    <t>2536298404687904768</t>
  </si>
  <si>
    <t>14733014</t>
  </si>
  <si>
    <t>2534962171635302401</t>
  </si>
  <si>
    <t>14732995</t>
  </si>
  <si>
    <t>2534960917512192006</t>
  </si>
  <si>
    <t>14733598</t>
  </si>
  <si>
    <t>2534919479667720198</t>
  </si>
  <si>
    <t>14732928</t>
  </si>
  <si>
    <t>2534878488499847171</t>
  </si>
  <si>
    <t>14732520</t>
  </si>
  <si>
    <t>2534877105513037826</t>
  </si>
  <si>
    <t>14732507</t>
  </si>
  <si>
    <t>2534851455968346117</t>
  </si>
  <si>
    <t>14732470</t>
  </si>
  <si>
    <t>2534839155182010376</t>
  </si>
  <si>
    <t>14732775</t>
  </si>
  <si>
    <t>2534839017743056898</t>
  </si>
  <si>
    <t>14732467</t>
  </si>
  <si>
    <t>2534835710618238985</t>
  </si>
  <si>
    <t>NFT00.001922</t>
  </si>
  <si>
    <t>新江公司</t>
  </si>
  <si>
    <t>新江</t>
  </si>
  <si>
    <t>14732471</t>
  </si>
  <si>
    <t>2387140401003757570</t>
  </si>
  <si>
    <t>2534822928802906113</t>
  </si>
  <si>
    <t>14732469</t>
  </si>
  <si>
    <t>2534821219398582279</t>
  </si>
  <si>
    <t>14732472</t>
  </si>
  <si>
    <t>2534253244340764678</t>
  </si>
  <si>
    <t>14732304</t>
  </si>
  <si>
    <t>2534218180227760129</t>
  </si>
  <si>
    <t>14731448</t>
  </si>
  <si>
    <t>2534186062462320644</t>
  </si>
  <si>
    <t>15MYKD.WHS03</t>
  </si>
  <si>
    <t>榮興燒臘(單回公司)</t>
  </si>
  <si>
    <t>榮興</t>
  </si>
  <si>
    <t>14731433</t>
  </si>
  <si>
    <t>2387139937147289609</t>
  </si>
  <si>
    <t>2534169277730127878</t>
  </si>
  <si>
    <t>14731326</t>
  </si>
  <si>
    <t>2534161735767556099</t>
  </si>
  <si>
    <t>NFT00.000209</t>
  </si>
  <si>
    <t>裕豐優質食材專門店</t>
  </si>
  <si>
    <t>裕豐</t>
  </si>
  <si>
    <t>14732139</t>
  </si>
  <si>
    <t>2461434444659032065</t>
  </si>
  <si>
    <t>2534154150855311367</t>
  </si>
  <si>
    <t>14731271</t>
  </si>
  <si>
    <t>2534151049881583625</t>
  </si>
  <si>
    <t>遼寧欣城帶骨雞全腿 260-280G|15KG</t>
  </si>
  <si>
    <t>14732113</t>
  </si>
  <si>
    <t>2534145217315995649</t>
  </si>
  <si>
    <t>凍粟米粒|15KG(1KG*15)</t>
  </si>
  <si>
    <t>14732110</t>
  </si>
  <si>
    <t>2534142863681257472</t>
  </si>
  <si>
    <t>14731239</t>
  </si>
  <si>
    <t>2534137589461417993</t>
  </si>
  <si>
    <t>14731204</t>
  </si>
  <si>
    <t>2534136739057893379</t>
  </si>
  <si>
    <t>14731201</t>
  </si>
  <si>
    <t>2534134780552806409</t>
  </si>
  <si>
    <t>14732090</t>
  </si>
  <si>
    <t>2534134522854768644</t>
  </si>
  <si>
    <t>14731196</t>
  </si>
  <si>
    <t>2534133139867959297</t>
  </si>
  <si>
    <t>14731189</t>
  </si>
  <si>
    <t>2534133019608875015</t>
  </si>
  <si>
    <t>14732084</t>
  </si>
  <si>
    <t>2534125099696521220</t>
  </si>
  <si>
    <t>14732076</t>
  </si>
  <si>
    <t>2534122505528934406</t>
  </si>
  <si>
    <t>14731171</t>
  </si>
  <si>
    <t>2534112601341689859</t>
  </si>
  <si>
    <t>14731138</t>
  </si>
  <si>
    <t>2534109955634495495</t>
  </si>
  <si>
    <t>14731132</t>
  </si>
  <si>
    <t>2534108409453608965</t>
  </si>
  <si>
    <t>14731127</t>
  </si>
  <si>
    <t>2534108400856334337</t>
  </si>
  <si>
    <t>14731126</t>
  </si>
  <si>
    <t>2534107550452809734</t>
  </si>
  <si>
    <t>14731123</t>
  </si>
  <si>
    <t>2534104509623304194</t>
  </si>
  <si>
    <t>14732025</t>
  </si>
  <si>
    <t>2534100128756662280</t>
  </si>
  <si>
    <t>14732008</t>
  </si>
  <si>
    <t>2534093531686895620</t>
  </si>
  <si>
    <t>14731110</t>
  </si>
  <si>
    <t>2534060494798454787</t>
  </si>
  <si>
    <t>14731919</t>
  </si>
  <si>
    <t>2533524946736381957</t>
  </si>
  <si>
    <t>14731795</t>
  </si>
  <si>
    <t>2533492244848050184</t>
  </si>
  <si>
    <t>14730912</t>
  </si>
  <si>
    <t>2533469026262188034</t>
  </si>
  <si>
    <t>NFT00.000758</t>
  </si>
  <si>
    <t>啟如凍肉</t>
  </si>
  <si>
    <t>啟如</t>
  </si>
  <si>
    <t>14730834</t>
  </si>
  <si>
    <t>2333903181870792717</t>
  </si>
  <si>
    <t>華英全淨膛鴨|14.4KG (1.8KG/只)</t>
  </si>
  <si>
    <t>2533402024772370434</t>
  </si>
  <si>
    <t>14730744</t>
  </si>
  <si>
    <t>2533393340341157892</t>
  </si>
  <si>
    <t>14730715</t>
  </si>
  <si>
    <t>2533382963707510789</t>
  </si>
  <si>
    <t>14730462</t>
  </si>
  <si>
    <t>2533343106411003909</t>
  </si>
  <si>
    <t>14730591</t>
  </si>
  <si>
    <t>2533323246482227200</t>
  </si>
  <si>
    <t>14729534</t>
  </si>
  <si>
    <t>2533299658521837568</t>
  </si>
  <si>
    <t>14730283</t>
  </si>
  <si>
    <t>2532648163522641925</t>
  </si>
  <si>
    <t>14730069</t>
  </si>
  <si>
    <t>2532647854277656576</t>
  </si>
  <si>
    <t>14730064</t>
  </si>
  <si>
    <t>2532647691076239361</t>
  </si>
  <si>
    <t>14730061</t>
  </si>
  <si>
    <t>2532638182011305989</t>
  </si>
  <si>
    <t>14730023</t>
  </si>
  <si>
    <t>2532578980182097926</t>
  </si>
  <si>
    <t>14729791</t>
  </si>
  <si>
    <t>2532023220003930120</t>
  </si>
  <si>
    <t>14729627</t>
  </si>
  <si>
    <t>2532018237841866756</t>
  </si>
  <si>
    <t>14728854</t>
  </si>
  <si>
    <t>2532017129747644421</t>
  </si>
  <si>
    <t>14728853</t>
  </si>
  <si>
    <t>2532000327828242440</t>
  </si>
  <si>
    <t>14728823</t>
  </si>
  <si>
    <t>2531982555260911616</t>
  </si>
  <si>
    <t>14728741</t>
  </si>
  <si>
    <t>2531950136847761416</t>
  </si>
  <si>
    <t>14728655</t>
  </si>
  <si>
    <t>2531948513342783488</t>
  </si>
  <si>
    <t>14728654</t>
  </si>
  <si>
    <t>2531904515697803269</t>
  </si>
  <si>
    <t>14728605</t>
  </si>
  <si>
    <t>2531899963032469513</t>
  </si>
  <si>
    <t>14728598</t>
  </si>
  <si>
    <t>2531899481996132353</t>
  </si>
  <si>
    <t>NFT00.002220</t>
  </si>
  <si>
    <t>新田食品貿易有限公司</t>
  </si>
  <si>
    <t>新田</t>
  </si>
  <si>
    <t>14728597</t>
  </si>
  <si>
    <t>2387140512672907269</t>
  </si>
  <si>
    <t>新田食品有限公司</t>
  </si>
  <si>
    <t>2531871590478512133</t>
  </si>
  <si>
    <t>14728569</t>
  </si>
  <si>
    <t>2531866359215685639</t>
  </si>
  <si>
    <t>14728260</t>
  </si>
  <si>
    <t>2531865611891376129</t>
  </si>
  <si>
    <t>14728565</t>
  </si>
  <si>
    <t>2531852417751842820</t>
  </si>
  <si>
    <t>14727539</t>
  </si>
  <si>
    <t>2531848775612235779</t>
  </si>
  <si>
    <t>14728198</t>
  </si>
  <si>
    <t>2531834688126844933</t>
  </si>
  <si>
    <t>14727522</t>
  </si>
  <si>
    <t>2531822748117762055</t>
  </si>
  <si>
    <t>14728133</t>
  </si>
  <si>
    <t>2531330759606665223</t>
  </si>
  <si>
    <t>14728098</t>
  </si>
  <si>
    <t>2531300325475745795</t>
  </si>
  <si>
    <t>江中猴姑梨杷甘| 125ML*4*27</t>
  </si>
  <si>
    <t>14728067</t>
  </si>
  <si>
    <t>2531195433784442881</t>
  </si>
  <si>
    <t>14727023</t>
  </si>
  <si>
    <t>2531165119905267713</t>
  </si>
  <si>
    <t>14726558</t>
  </si>
  <si>
    <t>2531163401911009287</t>
  </si>
  <si>
    <t>14726949</t>
  </si>
  <si>
    <t>2531162319579250695</t>
  </si>
  <si>
    <t>14726559</t>
  </si>
  <si>
    <t>2531161091218604040</t>
  </si>
  <si>
    <t>14726928</t>
  </si>
  <si>
    <t>2531152741809520641</t>
  </si>
  <si>
    <t>14726539</t>
  </si>
  <si>
    <t>2531112085641756675</t>
  </si>
  <si>
    <t>14726326</t>
  </si>
  <si>
    <t>2531088128314179587</t>
  </si>
  <si>
    <t>14726224</t>
  </si>
  <si>
    <t>2529680177912348672</t>
  </si>
  <si>
    <t>14726098</t>
  </si>
  <si>
    <t>2529666811966783491</t>
  </si>
  <si>
    <t>14726097</t>
  </si>
  <si>
    <t>2529632538127761417</t>
  </si>
  <si>
    <t>14726040</t>
  </si>
  <si>
    <t>2528316293860294663</t>
  </si>
  <si>
    <t>14725002</t>
  </si>
  <si>
    <t>2528281556164804614</t>
  </si>
  <si>
    <t>14725584</t>
  </si>
  <si>
    <t>2528196318243848196</t>
  </si>
  <si>
    <t>14724634</t>
  </si>
  <si>
    <t>2528186792006385666</t>
  </si>
  <si>
    <t>14724314</t>
  </si>
  <si>
    <t>2528183725407076353</t>
  </si>
  <si>
    <t>14724311</t>
  </si>
  <si>
    <t>2528182986672701440</t>
  </si>
  <si>
    <t>14724313</t>
  </si>
  <si>
    <t>遼寧欣城帶骨雞全腿 320-340G|15KG</t>
  </si>
  <si>
    <t>2528181663815434241</t>
  </si>
  <si>
    <t>14724614</t>
  </si>
  <si>
    <t>2528181131239489543</t>
  </si>
  <si>
    <t>14724610</t>
  </si>
  <si>
    <t>2528142674109661193</t>
  </si>
  <si>
    <t>14723512</t>
  </si>
  <si>
    <t>2527619143366082569</t>
  </si>
  <si>
    <t>14723419</t>
  </si>
  <si>
    <t>2527618387444498435</t>
  </si>
  <si>
    <t>14723420</t>
  </si>
  <si>
    <t>2527608904164048897</t>
  </si>
  <si>
    <t>14723407</t>
  </si>
  <si>
    <t>2527606636421316614</t>
  </si>
  <si>
    <t>14723881</t>
  </si>
  <si>
    <t>2527604841124986880</t>
  </si>
  <si>
    <t>14723882</t>
  </si>
  <si>
    <t>2527484796789063683</t>
  </si>
  <si>
    <t>14723072</t>
  </si>
  <si>
    <t>2527480561943969792</t>
  </si>
  <si>
    <t>14723734</t>
  </si>
  <si>
    <t>2527445411931619335</t>
  </si>
  <si>
    <t>14723659</t>
  </si>
  <si>
    <t>2527439553603567622</t>
  </si>
  <si>
    <t>14723624</t>
  </si>
  <si>
    <t>2527438462681874435</t>
  </si>
  <si>
    <t>14722959</t>
  </si>
  <si>
    <t>2527434081815232512</t>
  </si>
  <si>
    <t>14722940</t>
  </si>
  <si>
    <t>2527400289005207554</t>
  </si>
  <si>
    <t>14722841</t>
  </si>
  <si>
    <t>2527397858061058052</t>
  </si>
  <si>
    <t>14723566</t>
  </si>
  <si>
    <t>2526872265733177346</t>
  </si>
  <si>
    <t>14721492</t>
  </si>
  <si>
    <t>2526839898859634696</t>
  </si>
  <si>
    <t>14722604</t>
  </si>
  <si>
    <t>2526825983165595654</t>
  </si>
  <si>
    <t>14722541</t>
  </si>
  <si>
    <t>2526821954486272004</t>
  </si>
  <si>
    <t>14722601</t>
  </si>
  <si>
    <t>2526726657751908360</t>
  </si>
  <si>
    <t>14722218</t>
  </si>
  <si>
    <t>2526716564571422724</t>
  </si>
  <si>
    <t>14721260</t>
  </si>
  <si>
    <t>2526709056968589317</t>
  </si>
  <si>
    <t>14721249</t>
  </si>
  <si>
    <t>2526706754873458689</t>
  </si>
  <si>
    <t>华润(集团)有限公司</t>
  </si>
  <si>
    <t>分销业务鲜肉部销售部</t>
  </si>
  <si>
    <t>李北侦</t>
  </si>
  <si>
    <t>金豐年優質一等五常大米|5KG*4</t>
  </si>
  <si>
    <t>2523869782941892612</t>
  </si>
  <si>
    <t>2526697228628656135</t>
  </si>
  <si>
    <t>14721201</t>
  </si>
  <si>
    <t>2526693552143990792</t>
  </si>
  <si>
    <t>14721206</t>
  </si>
  <si>
    <t>2526691292983853059</t>
  </si>
  <si>
    <t>14722151</t>
  </si>
  <si>
    <t>2526650095657549826</t>
  </si>
  <si>
    <t>14722033</t>
  </si>
  <si>
    <t>2526646616734040064</t>
  </si>
  <si>
    <t>14721123</t>
  </si>
  <si>
    <t>2526638198605479939</t>
  </si>
  <si>
    <t>14722012</t>
  </si>
  <si>
    <t>2526621834772742151</t>
  </si>
  <si>
    <t>14722010</t>
  </si>
  <si>
    <t>2526075686731382786</t>
  </si>
  <si>
    <t>14721773</t>
  </si>
  <si>
    <t>2526042383562309632</t>
  </si>
  <si>
    <t>14721682</t>
  </si>
  <si>
    <t>2526004278605119489</t>
  </si>
  <si>
    <t>14720896</t>
  </si>
  <si>
    <t>2525981575407992839</t>
  </si>
  <si>
    <t>14721566</t>
  </si>
  <si>
    <t>2525979342024998921</t>
  </si>
  <si>
    <t>14720792</t>
  </si>
  <si>
    <t>2525970245291606016</t>
  </si>
  <si>
    <t>14720548</t>
  </si>
  <si>
    <t>2525963983229288452</t>
  </si>
  <si>
    <t>14720525</t>
  </si>
  <si>
    <t>2525962170745749505</t>
  </si>
  <si>
    <t>14720523</t>
  </si>
  <si>
    <t>2525947104007815171</t>
  </si>
  <si>
    <t>14720668</t>
  </si>
  <si>
    <t>2525929554764103689</t>
  </si>
  <si>
    <t>14720444</t>
  </si>
  <si>
    <t>2524490706360205312</t>
  </si>
  <si>
    <t>14720175</t>
  </si>
  <si>
    <t>2524475253067874310</t>
  </si>
  <si>
    <t>14720176</t>
  </si>
  <si>
    <t>2524468149191966725</t>
  </si>
  <si>
    <t>14719305</t>
  </si>
  <si>
    <t>2524432011337138183</t>
  </si>
  <si>
    <t>14720116</t>
  </si>
  <si>
    <t>2524431521718206473</t>
  </si>
  <si>
    <t>14719289</t>
  </si>
  <si>
    <t>2524417915261812737</t>
  </si>
  <si>
    <t>14719261</t>
  </si>
  <si>
    <t>2524408131318972422</t>
  </si>
  <si>
    <t>14720041</t>
  </si>
  <si>
    <t>2524387970742484992</t>
  </si>
  <si>
    <t>14719230</t>
  </si>
  <si>
    <t>2523910336026771460</t>
  </si>
  <si>
    <t>裕發行(香港)有限公司</t>
  </si>
  <si>
    <t>安卡拉光身通心粉 | 5KG*2</t>
  </si>
  <si>
    <t>2387139928557355013</t>
  </si>
  <si>
    <t>裕發行</t>
  </si>
  <si>
    <t>2523903730367070214</t>
  </si>
  <si>
    <t>香港嶺秀集團有限公司</t>
  </si>
  <si>
    <t>DMS虚拟员工</t>
  </si>
  <si>
    <t>佳樂牌功夫花刀面（番茄牛肉味） |200g*40</t>
  </si>
  <si>
    <t>2523901754678444036</t>
  </si>
  <si>
    <t>alexis</t>
  </si>
  <si>
    <t>2523899117564854276</t>
  </si>
  <si>
    <t>江中猴姑健消轻饮| 125ML*4*27</t>
  </si>
  <si>
    <t>14719946</t>
  </si>
  <si>
    <t>2523830750275436545</t>
  </si>
  <si>
    <t>14718452</t>
  </si>
  <si>
    <t>2523807205272059913</t>
  </si>
  <si>
    <t>14718341</t>
  </si>
  <si>
    <t>2523805556004618242</t>
  </si>
  <si>
    <t>14719039</t>
  </si>
  <si>
    <t>2523771780374462466</t>
  </si>
  <si>
    <t>14719008</t>
  </si>
  <si>
    <t>2523754385756913666</t>
  </si>
  <si>
    <t>14718972</t>
  </si>
  <si>
    <t>2523752367129624580</t>
  </si>
  <si>
    <t>14718965</t>
  </si>
  <si>
    <t>2523751533905969153</t>
  </si>
  <si>
    <t>14718262</t>
  </si>
  <si>
    <t>2523743734238019589</t>
  </si>
  <si>
    <t>14718946</t>
  </si>
  <si>
    <t>2523730170731298822</t>
  </si>
  <si>
    <t>14718899</t>
  </si>
  <si>
    <t>2523729732644634626</t>
  </si>
  <si>
    <t>14718898</t>
  </si>
  <si>
    <t>2523711985839767559</t>
  </si>
  <si>
    <t>14718078</t>
  </si>
  <si>
    <t>2523705921345945602</t>
  </si>
  <si>
    <t>14718838</t>
  </si>
  <si>
    <t>2523664131314155520</t>
  </si>
  <si>
    <t>14717928</t>
  </si>
  <si>
    <t>2523655257911721993</t>
  </si>
  <si>
    <t>14718703</t>
  </si>
  <si>
    <t>2523062346273783816</t>
  </si>
  <si>
    <t>14717555</t>
  </si>
  <si>
    <t>2523023365143265285</t>
  </si>
  <si>
    <t>14717554</t>
  </si>
  <si>
    <t>2523008538916159490</t>
  </si>
  <si>
    <t>14717658</t>
  </si>
  <si>
    <t>2522990388391706629</t>
  </si>
  <si>
    <t>14717304</t>
  </si>
  <si>
    <t>2522982236536438789</t>
  </si>
  <si>
    <t>14717267</t>
  </si>
  <si>
    <t>2522924787053887491</t>
  </si>
  <si>
    <t>14717144</t>
  </si>
  <si>
    <t>2522394650657947650</t>
  </si>
  <si>
    <t>14716988</t>
  </si>
  <si>
    <t>2522338231960207363</t>
  </si>
  <si>
    <t>14716252</t>
  </si>
  <si>
    <t>2522266162416320517</t>
  </si>
  <si>
    <t>14716627</t>
  </si>
  <si>
    <t>2522244352565051393</t>
  </si>
  <si>
    <t>14716589</t>
  </si>
  <si>
    <t>2522243287413161993</t>
  </si>
  <si>
    <t>14716590</t>
  </si>
  <si>
    <t>2522242634578132996</t>
  </si>
  <si>
    <t>14716095</t>
  </si>
  <si>
    <t>2522232678851280901</t>
  </si>
  <si>
    <t>14716068</t>
  </si>
  <si>
    <t>2522214408060403714</t>
  </si>
  <si>
    <t>NFT00.000070</t>
  </si>
  <si>
    <t>14715444</t>
  </si>
  <si>
    <t>2485914632964800519</t>
  </si>
  <si>
    <t>運興泰</t>
  </si>
  <si>
    <t>2522192031280791560</t>
  </si>
  <si>
    <t>14715423</t>
  </si>
  <si>
    <t>2522168993076215814</t>
  </si>
  <si>
    <t>14715980</t>
  </si>
  <si>
    <t>2521503367627276294</t>
  </si>
  <si>
    <t>14715656</t>
  </si>
  <si>
    <t>2521501271683235842</t>
  </si>
  <si>
    <t>14714834</t>
  </si>
  <si>
    <t>2521478551313580033</t>
  </si>
  <si>
    <t>14714766</t>
  </si>
  <si>
    <t>2521459679219941379</t>
  </si>
  <si>
    <t>14715606</t>
  </si>
  <si>
    <t>2520893602530328582</t>
  </si>
  <si>
    <t>14713455</t>
  </si>
  <si>
    <t>2520782388647165958</t>
  </si>
  <si>
    <t>14714071</t>
  </si>
  <si>
    <t>2520773309086302214</t>
  </si>
  <si>
    <t>14714054</t>
  </si>
  <si>
    <t>2520758517218934786</t>
  </si>
  <si>
    <t>14713981</t>
  </si>
  <si>
    <t>2520740212068319236</t>
  </si>
  <si>
    <t>14713118</t>
  </si>
  <si>
    <t>2520734860539068419</t>
  </si>
  <si>
    <t>14713818</t>
  </si>
  <si>
    <t>2520734542711488520</t>
  </si>
  <si>
    <t>14713816</t>
  </si>
  <si>
    <t>2520733030890340359</t>
  </si>
  <si>
    <t>14713106</t>
  </si>
  <si>
    <t>2520731596371263492</t>
  </si>
  <si>
    <t>14713105</t>
  </si>
  <si>
    <t>2520713763667050501</t>
  </si>
  <si>
    <t>14713104</t>
  </si>
  <si>
    <t>2519292223981355009</t>
  </si>
  <si>
    <t>14712809</t>
  </si>
  <si>
    <t>2519240770273148933</t>
  </si>
  <si>
    <t>14712737</t>
  </si>
  <si>
    <t>2519239387286339592</t>
  </si>
  <si>
    <t>14712738</t>
  </si>
  <si>
    <t>2518714215865253892</t>
  </si>
  <si>
    <t>14712613</t>
  </si>
  <si>
    <t>2518636399655124993</t>
  </si>
  <si>
    <t>14711510</t>
  </si>
  <si>
    <t>2518570652295757833</t>
  </si>
  <si>
    <t>14711385</t>
  </si>
  <si>
    <t>2518569698813018117</t>
  </si>
  <si>
    <t>14712033</t>
  </si>
  <si>
    <t>2518568633661128705</t>
  </si>
  <si>
    <t>14712032</t>
  </si>
  <si>
    <t>2518567035933294595</t>
  </si>
  <si>
    <t>14711380</t>
  </si>
  <si>
    <t>2518548189616799745</t>
  </si>
  <si>
    <t>14711952</t>
  </si>
  <si>
    <t>2518520392588460034</t>
  </si>
  <si>
    <t>14711279</t>
  </si>
  <si>
    <t>2518481420055216128</t>
  </si>
  <si>
    <t>14711196</t>
  </si>
  <si>
    <t>2518468157196206084</t>
  </si>
  <si>
    <t>14711192</t>
  </si>
  <si>
    <t>2517902484233519104</t>
  </si>
  <si>
    <t>14710431</t>
  </si>
  <si>
    <t>2517786288180953096</t>
  </si>
  <si>
    <t>14710232</t>
  </si>
  <si>
    <t>2517159678222270471</t>
  </si>
  <si>
    <t>14709803</t>
  </si>
  <si>
    <t>2517096722591645701</t>
  </si>
  <si>
    <t>14709704</t>
  </si>
  <si>
    <t>2517082978703638529</t>
  </si>
  <si>
    <t>14709684</t>
  </si>
  <si>
    <t>2517063831739432962</t>
  </si>
  <si>
    <t>14709667</t>
  </si>
  <si>
    <t>2517037795647684617</t>
  </si>
  <si>
    <t>14709390</t>
  </si>
  <si>
    <t>2517000120194564099</t>
  </si>
  <si>
    <t>14709362</t>
  </si>
  <si>
    <t>2516377753656229893</t>
  </si>
  <si>
    <t>14708957</t>
  </si>
  <si>
    <t>2516316327041302532</t>
  </si>
  <si>
    <t>14707986</t>
  </si>
  <si>
    <t>2516309523805765640</t>
  </si>
  <si>
    <t>14708853</t>
  </si>
  <si>
    <t>2516308458653876229</t>
  </si>
  <si>
    <t>14707971</t>
  </si>
  <si>
    <t>2515705153192984581</t>
  </si>
  <si>
    <t>14707482</t>
  </si>
  <si>
    <t>2515571502400667650</t>
  </si>
  <si>
    <t>14707293</t>
  </si>
  <si>
    <t>2515525297142497280</t>
  </si>
  <si>
    <t>14706999</t>
  </si>
  <si>
    <t>2515509148047638534</t>
  </si>
  <si>
    <t>14706972</t>
  </si>
  <si>
    <t>2515493522956615681</t>
  </si>
  <si>
    <t>14706953</t>
  </si>
  <si>
    <t>2393862265340166144</t>
  </si>
  <si>
    <t>許太</t>
  </si>
  <si>
    <t>2514100905580691463</t>
  </si>
  <si>
    <t>14705988</t>
  </si>
  <si>
    <t>2514084327006928900</t>
  </si>
  <si>
    <t>14705982</t>
  </si>
  <si>
    <t>2514072077778026505</t>
  </si>
  <si>
    <t>14705983</t>
  </si>
  <si>
    <t>2513573139999358977</t>
  </si>
  <si>
    <t>NFT00.000127</t>
  </si>
  <si>
    <t>龍華食品有限公司</t>
  </si>
  <si>
    <t>龍華</t>
  </si>
  <si>
    <t>14705984</t>
  </si>
  <si>
    <t>2387140014456700936</t>
  </si>
  <si>
    <t>2513513397004271621</t>
  </si>
  <si>
    <t>14705985</t>
  </si>
  <si>
    <t>2513473969204494339</t>
  </si>
  <si>
    <t>14705810</t>
  </si>
  <si>
    <t>2513381240860573697</t>
  </si>
  <si>
    <t>14705285</t>
  </si>
  <si>
    <t>2513374901506670599</t>
  </si>
  <si>
    <t>14705600</t>
  </si>
  <si>
    <t>2513347774493229063</t>
  </si>
  <si>
    <t>14705208</t>
  </si>
  <si>
    <t>2513346760863121411</t>
  </si>
  <si>
    <t>14705574</t>
  </si>
  <si>
    <t>2513323233032273929</t>
  </si>
  <si>
    <t>14704447</t>
  </si>
  <si>
    <t>2513317950222499840</t>
  </si>
  <si>
    <t>14705038</t>
  </si>
  <si>
    <t>2513313182826627081</t>
  </si>
  <si>
    <t>14704412</t>
  </si>
  <si>
    <t>2513312057545195525</t>
  </si>
  <si>
    <t>14705034</t>
  </si>
  <si>
    <t>2513303733898575880</t>
  </si>
  <si>
    <t>14705000</t>
  </si>
  <si>
    <t>2513300194827698183</t>
  </si>
  <si>
    <t>14704377</t>
  </si>
  <si>
    <t>2513286107352793091</t>
  </si>
  <si>
    <t>14704368</t>
  </si>
  <si>
    <t>2513276366349139972</t>
  </si>
  <si>
    <t>14704916</t>
  </si>
  <si>
    <t>2513267510144401408</t>
  </si>
  <si>
    <t>14704841</t>
  </si>
  <si>
    <t>2512586225234214921</t>
  </si>
  <si>
    <t>14703878</t>
  </si>
  <si>
    <t>2511951841404125191</t>
  </si>
  <si>
    <t>聯友江西米線|2kg*12</t>
  </si>
  <si>
    <t>14702257</t>
  </si>
  <si>
    <t>2511948912212312071</t>
  </si>
  <si>
    <t>14702981</t>
  </si>
  <si>
    <t>2511900585240297475</t>
  </si>
  <si>
    <t>14702985</t>
  </si>
  <si>
    <t>2511848367027912713</t>
  </si>
  <si>
    <t>14702730</t>
  </si>
  <si>
    <t>2511819736775917577</t>
  </si>
  <si>
    <t>14702622</t>
  </si>
  <si>
    <t>2511795066507886592</t>
  </si>
  <si>
    <t>14701854</t>
  </si>
  <si>
    <t>2507530928469835777</t>
  </si>
  <si>
    <t>14701074</t>
  </si>
  <si>
    <t>2507460817423695881</t>
  </si>
  <si>
    <t>14700001</t>
  </si>
  <si>
    <t>2507452974811840520</t>
  </si>
  <si>
    <t>14700965</t>
  </si>
  <si>
    <t>2507452270437203972</t>
  </si>
  <si>
    <t>14700966</t>
  </si>
  <si>
    <t>2507451377085579264</t>
  </si>
  <si>
    <t>14699999</t>
  </si>
  <si>
    <t>2507431122019811330</t>
  </si>
  <si>
    <t>14699780</t>
  </si>
  <si>
    <t>2507423279407955968</t>
  </si>
  <si>
    <t>14699760</t>
  </si>
  <si>
    <t>2507413452524355589</t>
  </si>
  <si>
    <t>14699746</t>
  </si>
  <si>
    <t>2507411760307240969</t>
  </si>
  <si>
    <t>14699738</t>
  </si>
  <si>
    <t>2507409320765816834</t>
  </si>
  <si>
    <t>14699728</t>
  </si>
  <si>
    <t>2507395267631251456</t>
  </si>
  <si>
    <t>14699675</t>
  </si>
  <si>
    <t>2507386342690783232</t>
  </si>
  <si>
    <t>14699654</t>
  </si>
  <si>
    <t>2507380467175522311</t>
  </si>
  <si>
    <t>14698543</t>
  </si>
  <si>
    <t>2507380149347942409</t>
  </si>
  <si>
    <t>14699638</t>
  </si>
  <si>
    <t>2507378955347034120</t>
  </si>
  <si>
    <t>14699657</t>
  </si>
  <si>
    <t>2507377838655537152</t>
  </si>
  <si>
    <t>14698539</t>
  </si>
  <si>
    <t>2507373346118172678</t>
  </si>
  <si>
    <t>14699612</t>
  </si>
  <si>
    <t>2507367367525269504</t>
  </si>
  <si>
    <t>14699575</t>
  </si>
  <si>
    <t>2507366568661352449</t>
  </si>
  <si>
    <t>14698489</t>
  </si>
  <si>
    <t>2507357695258918913</t>
  </si>
  <si>
    <t>14698478</t>
  </si>
  <si>
    <t>2507357420381011970</t>
  </si>
  <si>
    <t>14698475</t>
  </si>
  <si>
    <t>2507348735955566595</t>
  </si>
  <si>
    <t>14698446</t>
  </si>
  <si>
    <t>2507346803220283394</t>
  </si>
  <si>
    <t>14698437</t>
  </si>
  <si>
    <t>2507337423011708930</t>
  </si>
  <si>
    <t>14698407</t>
  </si>
  <si>
    <t>2506836604056764425</t>
  </si>
  <si>
    <t>14698325</t>
  </si>
  <si>
    <t>2506772128007716865</t>
  </si>
  <si>
    <t>14699196</t>
  </si>
  <si>
    <t>2506715460207640577</t>
  </si>
  <si>
    <t>14699028</t>
  </si>
  <si>
    <t>2506689338218119176</t>
  </si>
  <si>
    <t>14698834</t>
  </si>
  <si>
    <t>2506682449090576393</t>
  </si>
  <si>
    <t>14698042</t>
  </si>
  <si>
    <t>2506675697400414213</t>
  </si>
  <si>
    <t>14698031</t>
  </si>
  <si>
    <t>2506661042973573129</t>
  </si>
  <si>
    <t>14698649</t>
  </si>
  <si>
    <t>2506646251104632837</t>
  </si>
  <si>
    <t>14698630</t>
  </si>
  <si>
    <t>2506640143662710786</t>
  </si>
  <si>
    <t>14698592</t>
  </si>
  <si>
    <t>2506634663282868228</t>
  </si>
  <si>
    <t>NFT00.000109</t>
  </si>
  <si>
    <t>施培記凍肉超級市場有限公司</t>
  </si>
  <si>
    <t>施培記</t>
  </si>
  <si>
    <t>14697990</t>
  </si>
  <si>
    <t>2393848572984426497</t>
  </si>
  <si>
    <t>施培記凍肉超級市場</t>
  </si>
  <si>
    <t>2506623522137702408</t>
  </si>
  <si>
    <t>14697537</t>
  </si>
  <si>
    <t>2506618488437604360</t>
  </si>
  <si>
    <t>14697975</t>
  </si>
  <si>
    <t>2506609855551766537</t>
  </si>
  <si>
    <t>14697963</t>
  </si>
  <si>
    <t>2506606874844463105</t>
  </si>
  <si>
    <t>14697957</t>
  </si>
  <si>
    <t>2506599023645818886</t>
  </si>
  <si>
    <t>14697405</t>
  </si>
  <si>
    <t>2506590244731092993</t>
  </si>
  <si>
    <t>14697958</t>
  </si>
  <si>
    <t>2506589291249926145</t>
  </si>
  <si>
    <t>14697410</t>
  </si>
  <si>
    <t>2506582204553887751</t>
  </si>
  <si>
    <t>14697959</t>
  </si>
  <si>
    <t>2506554570734305285</t>
  </si>
  <si>
    <t>2506553359551954952</t>
  </si>
  <si>
    <t>2506552964416536578</t>
  </si>
  <si>
    <t>2506038676441006084</t>
  </si>
  <si>
    <t>14697275</t>
  </si>
  <si>
    <t>2506035704325210115</t>
  </si>
  <si>
    <t>14697276</t>
  </si>
  <si>
    <t>2505979105246183426</t>
  </si>
  <si>
    <t>14697672</t>
  </si>
  <si>
    <t>2505965687766777856</t>
  </si>
  <si>
    <t>14697161</t>
  </si>
  <si>
    <t>2505950457812746245</t>
  </si>
  <si>
    <t>14696991</t>
  </si>
  <si>
    <t>2505947485695377412</t>
  </si>
  <si>
    <t>14696990</t>
  </si>
  <si>
    <t>2505931937913765892</t>
  </si>
  <si>
    <t>14696973</t>
  </si>
  <si>
    <t>2505912696461852679</t>
  </si>
  <si>
    <t>14696542</t>
  </si>
  <si>
    <t>2505909019969847302</t>
  </si>
  <si>
    <t>14696804</t>
  </si>
  <si>
    <t>2505894855166132229</t>
  </si>
  <si>
    <t>14696730</t>
  </si>
  <si>
    <t>2505882683228815362</t>
  </si>
  <si>
    <t>14696491</t>
  </si>
  <si>
    <t>2505860349398876168</t>
  </si>
  <si>
    <t>14696436</t>
  </si>
  <si>
    <t>2505845145216221184</t>
  </si>
  <si>
    <t>14696393</t>
  </si>
  <si>
    <t>2505317036035932169</t>
  </si>
  <si>
    <t>14696324</t>
  </si>
  <si>
    <t>2505297811763888137</t>
  </si>
  <si>
    <t>14696306</t>
  </si>
  <si>
    <t>2505194440491008009</t>
  </si>
  <si>
    <t>14696049</t>
  </si>
  <si>
    <t>2505161867457462273</t>
  </si>
  <si>
    <t>14695113</t>
  </si>
  <si>
    <t>2505153775740649477</t>
  </si>
  <si>
    <t>14695000</t>
  </si>
  <si>
    <t>2505152890977386498</t>
  </si>
  <si>
    <t>14695873</t>
  </si>
  <si>
    <t>2505113454586101763</t>
  </si>
  <si>
    <t>14694935</t>
  </si>
  <si>
    <t>2503675594024681480</t>
  </si>
  <si>
    <t>14695597</t>
  </si>
  <si>
    <t>2503653208656707593</t>
  </si>
  <si>
    <t>14694564</t>
  </si>
  <si>
    <t>2503629337226903555</t>
  </si>
  <si>
    <t>NFT00.000088</t>
  </si>
  <si>
    <t>瑞興肉食有限公司</t>
  </si>
  <si>
    <t>瑞興</t>
  </si>
  <si>
    <t>14694568</t>
  </si>
  <si>
    <t>2461557203414286339</t>
  </si>
  <si>
    <t>2503618900457947139</t>
  </si>
  <si>
    <t>14694569</t>
  </si>
  <si>
    <t>2503614124452741127</t>
  </si>
  <si>
    <t>14694570</t>
  </si>
  <si>
    <t>2503147373176815624</t>
  </si>
  <si>
    <t>14694468</t>
  </si>
  <si>
    <t>2393883765946449929</t>
  </si>
  <si>
    <t>2503138680164581377</t>
  </si>
  <si>
    <t>14693404</t>
  </si>
  <si>
    <t>2503099029026504713</t>
  </si>
  <si>
    <t>14694412</t>
  </si>
  <si>
    <t>2503053029925191688</t>
  </si>
  <si>
    <t>14694231</t>
  </si>
  <si>
    <t>2503006730177740809</t>
  </si>
  <si>
    <t>14693243</t>
  </si>
  <si>
    <t>2502984782894858243</t>
  </si>
  <si>
    <t>14693164</t>
  </si>
  <si>
    <t>2502972026843561992</t>
  </si>
  <si>
    <t>14693144</t>
  </si>
  <si>
    <t>2502965455542026247</t>
  </si>
  <si>
    <t>14693121</t>
  </si>
  <si>
    <t>2502962844201910273</t>
  </si>
  <si>
    <t>14694010</t>
  </si>
  <si>
    <t>2502938294170419207</t>
  </si>
  <si>
    <t>14693080</t>
  </si>
  <si>
    <t>2502934737937498121</t>
  </si>
  <si>
    <t>14693035</t>
  </si>
  <si>
    <t>2502909870075281408</t>
  </si>
  <si>
    <t>14693853</t>
  </si>
  <si>
    <t>2502897406081761285</t>
  </si>
  <si>
    <t>14692931</t>
  </si>
  <si>
    <t>2502892913545969670</t>
  </si>
  <si>
    <t>14693797</t>
  </si>
  <si>
    <t>2502888738837757961</t>
  </si>
  <si>
    <t>14693798</t>
  </si>
  <si>
    <t>2502350450586550276</t>
  </si>
  <si>
    <t>14693608</t>
  </si>
  <si>
    <t>2502291721202171906</t>
  </si>
  <si>
    <t>14692756</t>
  </si>
  <si>
    <t>2502232407703814153</t>
  </si>
  <si>
    <t>14692662</t>
  </si>
  <si>
    <t>2502231617429831681</t>
  </si>
  <si>
    <t>14692661</t>
  </si>
  <si>
    <t>2502215683102736387</t>
  </si>
  <si>
    <t>14692646</t>
  </si>
  <si>
    <t>2502207788951273473</t>
  </si>
  <si>
    <t>14692626</t>
  </si>
  <si>
    <t>2502184329841475591</t>
  </si>
  <si>
    <t>14692188</t>
  </si>
  <si>
    <t>2502172303933046790</t>
  </si>
  <si>
    <t>14692585</t>
  </si>
  <si>
    <t>2502142934946676740</t>
  </si>
  <si>
    <t>14691535</t>
  </si>
  <si>
    <t>2502141990053871625</t>
  </si>
  <si>
    <t>14691970</t>
  </si>
  <si>
    <t>2502119750711640068</t>
  </si>
  <si>
    <t>14691960</t>
  </si>
  <si>
    <t>2501727216470589448</t>
  </si>
  <si>
    <t>14691917</t>
  </si>
  <si>
    <t>2501490718392975365</t>
  </si>
  <si>
    <t>14691595</t>
  </si>
  <si>
    <t>2501479216470556672</t>
  </si>
  <si>
    <t>14691594</t>
  </si>
  <si>
    <t>2501433294680227848</t>
  </si>
  <si>
    <t>14691150</t>
  </si>
  <si>
    <t>2501429540877238279</t>
  </si>
  <si>
    <t>2501412730376814600</t>
  </si>
  <si>
    <t>14690394</t>
  </si>
  <si>
    <t>2500916240747331593</t>
  </si>
  <si>
    <t>14691075</t>
  </si>
  <si>
    <t>2500866805672181767</t>
  </si>
  <si>
    <t>14690317</t>
  </si>
  <si>
    <t>2500746211582017544</t>
  </si>
  <si>
    <t>14690668</t>
  </si>
  <si>
    <t>2500741014670016518</t>
  </si>
  <si>
    <t>14689420</t>
  </si>
  <si>
    <t>2500701492380958720</t>
  </si>
  <si>
    <t>14689367</t>
  </si>
  <si>
    <t>2500680464222650369</t>
  </si>
  <si>
    <t>14690053</t>
  </si>
  <si>
    <t>2500115796280737795</t>
  </si>
  <si>
    <t>NFT00.001226</t>
  </si>
  <si>
    <t>萬群有限公司</t>
  </si>
  <si>
    <t>萬群</t>
  </si>
  <si>
    <t>14689761</t>
  </si>
  <si>
    <t>2393950741666463747</t>
  </si>
  <si>
    <t>2500077442222784518</t>
  </si>
  <si>
    <t>NFT00.000057</t>
  </si>
  <si>
    <t>大利凍肉有限公司</t>
  </si>
  <si>
    <t>大利</t>
  </si>
  <si>
    <t>14689671</t>
  </si>
  <si>
    <t>2387139945737224205</t>
  </si>
  <si>
    <t>2500067873037221895</t>
  </si>
  <si>
    <t>14689658</t>
  </si>
  <si>
    <t>2499976373052375045</t>
  </si>
  <si>
    <t>14688726</t>
  </si>
  <si>
    <t>2499961546826842112</t>
  </si>
  <si>
    <t>14688688</t>
  </si>
  <si>
    <t>2498519606044917769</t>
  </si>
  <si>
    <t>14688203</t>
  </si>
  <si>
    <t>2498454193694572550</t>
  </si>
  <si>
    <t>14687324</t>
  </si>
  <si>
    <t>2498441746877775874</t>
  </si>
  <si>
    <t>14687323</t>
  </si>
  <si>
    <t>2497820832045727753</t>
  </si>
  <si>
    <t>14687629</t>
  </si>
  <si>
    <t>2497820213570437128</t>
  </si>
  <si>
    <t>14686860</t>
  </si>
  <si>
    <t>2497819723945738244</t>
  </si>
  <si>
    <t>14687623</t>
  </si>
  <si>
    <t>2497767394064203777</t>
  </si>
  <si>
    <t>14686391</t>
  </si>
  <si>
    <t>2497750308682727429</t>
  </si>
  <si>
    <t>14686681</t>
  </si>
  <si>
    <t>2497748564927578121</t>
  </si>
  <si>
    <t>14686326</t>
  </si>
  <si>
    <t>2497707505038655488</t>
  </si>
  <si>
    <t>14686663</t>
  </si>
  <si>
    <t>2497158049872478213</t>
  </si>
  <si>
    <t>14685452</t>
  </si>
  <si>
    <t>2497118330014924808</t>
  </si>
  <si>
    <t>14685949</t>
  </si>
  <si>
    <t>2497108322742697988</t>
  </si>
  <si>
    <t>14685950</t>
  </si>
  <si>
    <t>2497030137156468737</t>
  </si>
  <si>
    <t>14685353</t>
  </si>
  <si>
    <t>2497029054824710152</t>
  </si>
  <si>
    <t>14685795</t>
  </si>
  <si>
    <t>2497002451797278721</t>
  </si>
  <si>
    <t>14685280</t>
  </si>
  <si>
    <t>2496965893035655175</t>
  </si>
  <si>
    <t>14684508</t>
  </si>
  <si>
    <t>2496955318827745288</t>
  </si>
  <si>
    <t>14684470</t>
  </si>
  <si>
    <t>2496346833642061832</t>
  </si>
  <si>
    <t>14684951</t>
  </si>
  <si>
    <t>2496302260471464057</t>
  </si>
  <si>
    <t>14684890</t>
  </si>
  <si>
    <t>2496269532811231234</t>
  </si>
  <si>
    <t>2496264361680044040</t>
  </si>
  <si>
    <t>14684837</t>
  </si>
  <si>
    <t>2496263468326846469</t>
  </si>
  <si>
    <t>14684835</t>
  </si>
  <si>
    <t>2496231170172780549</t>
  </si>
  <si>
    <t>14684760</t>
  </si>
  <si>
    <t>2495821103865790465</t>
  </si>
  <si>
    <t>14683853</t>
  </si>
  <si>
    <t>2495704650131963911</t>
  </si>
  <si>
    <t>14684578</t>
  </si>
  <si>
    <t>2495571420246441990</t>
  </si>
  <si>
    <t>14683592</t>
  </si>
  <si>
    <t>2495550039889805314</t>
  </si>
  <si>
    <t>14683373</t>
  </si>
  <si>
    <t>2495547497269166089</t>
  </si>
  <si>
    <t>14683346</t>
  </si>
  <si>
    <t>2495539920956293126</t>
  </si>
  <si>
    <t>14682461</t>
  </si>
  <si>
    <t>2495516479024791555</t>
  </si>
  <si>
    <t>14682452</t>
  </si>
  <si>
    <t>2494794778480738309</t>
  </si>
  <si>
    <t>14681809</t>
  </si>
  <si>
    <t>2494785475581575175</t>
  </si>
  <si>
    <t>14681542</t>
  </si>
  <si>
    <t>2494690616943312896</t>
  </si>
  <si>
    <t>14681623</t>
  </si>
  <si>
    <t>2493317421409501190</t>
  </si>
  <si>
    <t>14680447</t>
  </si>
  <si>
    <t>2493294675253264387</t>
  </si>
  <si>
    <t>14681036</t>
  </si>
  <si>
    <t>2493293369583206403</t>
  </si>
  <si>
    <t>14680404</t>
  </si>
  <si>
    <t>2493278620674949124</t>
  </si>
  <si>
    <t>14680406</t>
  </si>
  <si>
    <t>2493255754259628040</t>
  </si>
  <si>
    <t>14680410</t>
  </si>
  <si>
    <t>2493253675504893956</t>
  </si>
  <si>
    <t>14680411</t>
  </si>
  <si>
    <t>2492695793612881927</t>
  </si>
  <si>
    <t>14680132</t>
  </si>
  <si>
    <t>2492685923778035719</t>
  </si>
  <si>
    <t>14680901</t>
  </si>
  <si>
    <t>2492672128333643783</t>
  </si>
  <si>
    <t>14680808</t>
  </si>
  <si>
    <t>2492565527254794244</t>
  </si>
  <si>
    <t>14680797</t>
  </si>
  <si>
    <t>2492005059783032840</t>
  </si>
  <si>
    <t>14679721</t>
  </si>
  <si>
    <t>2491231604892499975</t>
  </si>
  <si>
    <t>14677880</t>
  </si>
  <si>
    <t>2491061567137251332</t>
  </si>
  <si>
    <t>NFT00.000128</t>
  </si>
  <si>
    <t>文興食品有限公司</t>
  </si>
  <si>
    <t>文興</t>
  </si>
  <si>
    <t>14677321</t>
  </si>
  <si>
    <t>2393849311718801414</t>
  </si>
  <si>
    <t>2491061163419762689</t>
  </si>
  <si>
    <t>14676544</t>
  </si>
  <si>
    <t>2491037609809674244</t>
  </si>
  <si>
    <t>14676449</t>
  </si>
  <si>
    <t>2490341395622526976</t>
  </si>
  <si>
    <t>14675487</t>
  </si>
  <si>
    <t>2490329318162956289</t>
  </si>
  <si>
    <t>14675486</t>
  </si>
  <si>
    <t>2490317764700930048</t>
  </si>
  <si>
    <t>14675379</t>
  </si>
  <si>
    <t>2490312773960466446</t>
  </si>
  <si>
    <t>14676034</t>
  </si>
  <si>
    <t>2489751181205176323</t>
  </si>
  <si>
    <t>14675028</t>
  </si>
  <si>
    <t>2489751146856972295</t>
  </si>
  <si>
    <t>14675026</t>
  </si>
  <si>
    <t>2489747015086899203</t>
  </si>
  <si>
    <t>14675869</t>
  </si>
  <si>
    <t>2489740418017132551</t>
  </si>
  <si>
    <t>14675002</t>
  </si>
  <si>
    <t>2489601226728538113</t>
  </si>
  <si>
    <t>14674835</t>
  </si>
  <si>
    <t>2488141925678841858</t>
  </si>
  <si>
    <t>14674427</t>
  </si>
  <si>
    <t>2488111388461367296</t>
  </si>
  <si>
    <t>14673449</t>
  </si>
  <si>
    <t>2488095892219363330</t>
  </si>
  <si>
    <t>14674429</t>
  </si>
  <si>
    <t>2487508787369869314</t>
  </si>
  <si>
    <t>14674104</t>
  </si>
  <si>
    <t>2487490207341346817</t>
  </si>
  <si>
    <t>14673056</t>
  </si>
  <si>
    <t>2487416866479800327</t>
  </si>
  <si>
    <t>14672941</t>
  </si>
  <si>
    <t>2487369939678658563</t>
  </si>
  <si>
    <t>14673684</t>
  </si>
  <si>
    <t>2487367534485438464</t>
  </si>
  <si>
    <t>14673686</t>
  </si>
  <si>
    <t>2487366718453186563</t>
  </si>
  <si>
    <t>14672826</t>
  </si>
  <si>
    <t>2487350938743341060</t>
  </si>
  <si>
    <t>14673572</t>
  </si>
  <si>
    <t>2487335717367709704</t>
  </si>
  <si>
    <t>14672767</t>
  </si>
  <si>
    <t>2487314474459463681</t>
  </si>
  <si>
    <t>14672705</t>
  </si>
  <si>
    <t>2487307825850089479</t>
  </si>
  <si>
    <t>14672412</t>
  </si>
  <si>
    <t>2487302878059298825</t>
  </si>
  <si>
    <t>14672396</t>
  </si>
  <si>
    <t>2486656528430923782</t>
  </si>
  <si>
    <t>14672147</t>
  </si>
  <si>
    <t>2486630037072642049</t>
  </si>
  <si>
    <t>14672148</t>
  </si>
  <si>
    <t>2486629032050294787</t>
  </si>
  <si>
    <t>14671109</t>
  </si>
  <si>
    <t>2486628576772227078</t>
  </si>
  <si>
    <t>14671307</t>
  </si>
  <si>
    <t>2486090108138684417</t>
  </si>
  <si>
    <t>14671683</t>
  </si>
  <si>
    <t>2485988798449057799</t>
  </si>
  <si>
    <t>14670819</t>
  </si>
  <si>
    <t>2485312143532490754</t>
  </si>
  <si>
    <t>NFT00.000253</t>
  </si>
  <si>
    <t>德豐凍肉食品有限公司</t>
  </si>
  <si>
    <t>德豐</t>
  </si>
  <si>
    <t>14670347</t>
  </si>
  <si>
    <t>2387140108945981450</t>
  </si>
  <si>
    <t>2485307547916435464</t>
  </si>
  <si>
    <t>14670336</t>
  </si>
  <si>
    <t>2461317698851176457</t>
  </si>
  <si>
    <t>NFT00.001942</t>
  </si>
  <si>
    <t>德利肉食集團(香港)有限公司</t>
  </si>
  <si>
    <t>八合里牛肉丸(零售裝)</t>
  </si>
  <si>
    <t>盒</t>
  </si>
  <si>
    <t>2387140409593692167</t>
  </si>
  <si>
    <t>2460858231847649284</t>
  </si>
  <si>
    <t>NFT00.003084</t>
  </si>
  <si>
    <t>頂好冰上鮮</t>
  </si>
  <si>
    <t>八合里牛筋丸(零售裝)</t>
  </si>
  <si>
    <t>2454794519708696576</t>
  </si>
  <si>
    <t>2460633398891773953</t>
  </si>
  <si>
    <t>NFT00.000303</t>
  </si>
  <si>
    <t>有成拓展有限公司</t>
  </si>
  <si>
    <t>伊美佳原切雙拼羊卷肉(肩腹)|4.54KG(454g*10)</t>
  </si>
  <si>
    <t>2393871078613057536</t>
  </si>
  <si>
    <t>合计</t>
  </si>
  <si>
    <t>客户账号</t>
  </si>
  <si>
    <t>客户名称</t>
  </si>
  <si>
    <t>客戶性質</t>
  </si>
  <si>
    <t>15MYKD.80011410</t>
  </si>
  <si>
    <t>源富食品有限公司</t>
  </si>
  <si>
    <t>加工</t>
  </si>
  <si>
    <t>15MYKD.80011601</t>
  </si>
  <si>
    <t>富记烧腊</t>
  </si>
  <si>
    <t>燒臘</t>
  </si>
  <si>
    <t>15MYKD.80022017</t>
  </si>
  <si>
    <t>金源烧腊茶餐厅有限公司</t>
  </si>
  <si>
    <t>15MYKD.HHD01</t>
  </si>
  <si>
    <t>合兴香港有限公司</t>
  </si>
  <si>
    <t>佳城兴业有限公司/火炭</t>
  </si>
  <si>
    <t>15MYKD.SHT01</t>
  </si>
  <si>
    <t>顺兴冻肉公司</t>
  </si>
  <si>
    <t>凍肉店</t>
  </si>
  <si>
    <t>NFT00.000008</t>
  </si>
  <si>
    <t>金翠烧味餐厅有限公司(深)</t>
  </si>
  <si>
    <t>小餐飲</t>
  </si>
  <si>
    <t>明兴冻肉食品有限公司</t>
  </si>
  <si>
    <t>NFT00.000100</t>
  </si>
  <si>
    <t>赵增记</t>
  </si>
  <si>
    <t>NFT00.000101</t>
  </si>
  <si>
    <t>李圻记</t>
  </si>
  <si>
    <t>NFT00.000126</t>
  </si>
  <si>
    <t>华新鱼翅海产公司</t>
  </si>
  <si>
    <t>NFT00.000151</t>
  </si>
  <si>
    <t>天壹食品有限公司</t>
  </si>
  <si>
    <t>利宝冻肉有限公司</t>
  </si>
  <si>
    <t>NFT00.000155</t>
  </si>
  <si>
    <t>冠环球(郭)有限公司</t>
  </si>
  <si>
    <t>NFT00.000233</t>
  </si>
  <si>
    <t>利丰肉食海产有限公司</t>
  </si>
  <si>
    <t>NFT00.000236</t>
  </si>
  <si>
    <t>富成环球海产有限公司</t>
  </si>
  <si>
    <t>NFT00.000371</t>
  </si>
  <si>
    <t>万事利食品有限公司</t>
  </si>
  <si>
    <t>天恒食品有限公司</t>
  </si>
  <si>
    <t>飛機</t>
  </si>
  <si>
    <t>福永行贸易有限公司</t>
  </si>
  <si>
    <t>NFT00.001643</t>
  </si>
  <si>
    <t>永丰泰有限公司</t>
  </si>
  <si>
    <t>NFT00.001963</t>
  </si>
  <si>
    <t>金兴冻肉公司</t>
  </si>
  <si>
    <t>NFT00.001984</t>
  </si>
  <si>
    <t>星朗食品有限公司</t>
  </si>
  <si>
    <t>溢丰贸易</t>
  </si>
  <si>
    <t>NFT00.002209</t>
  </si>
  <si>
    <t>琪昌烧腊食品有限公司</t>
  </si>
  <si>
    <t>新田食品贸易有限公司</t>
  </si>
  <si>
    <t>NFT00.002224</t>
  </si>
  <si>
    <t>连和康记烧味公司</t>
  </si>
  <si>
    <t>NFT00.002281</t>
  </si>
  <si>
    <t>名人烧味食品有限公司</t>
  </si>
  <si>
    <t>NFT00.002334</t>
  </si>
  <si>
    <t>顺发肉食公司</t>
  </si>
  <si>
    <t>肉檯</t>
  </si>
  <si>
    <t>NFT00.002410</t>
  </si>
  <si>
    <t>富记烧味</t>
  </si>
  <si>
    <t>MING KEE</t>
  </si>
  <si>
    <t>NFT00.002475</t>
  </si>
  <si>
    <t>华富烧腊</t>
  </si>
  <si>
    <t>启兴食品贸易公司(大埔道)</t>
  </si>
  <si>
    <t>先进食品国际有限公司</t>
  </si>
  <si>
    <t>NFT00.002548</t>
  </si>
  <si>
    <t>冠兴冻肉食品有限公司</t>
  </si>
  <si>
    <t>NFT00.002664</t>
  </si>
  <si>
    <t>永富海产</t>
  </si>
  <si>
    <t>15MYKD.YFH02</t>
  </si>
  <si>
    <t>裕发行(香港)有限公司</t>
  </si>
  <si>
    <t>NFT00.001680</t>
  </si>
  <si>
    <t>天天食品市场</t>
  </si>
  <si>
    <t>15MYKD.80011637</t>
  </si>
  <si>
    <t>华润饭堂</t>
  </si>
  <si>
    <t>15MYKD.CRC03</t>
  </si>
  <si>
    <t>华润集团有限公司</t>
  </si>
  <si>
    <t>NFT00.000053</t>
  </si>
  <si>
    <t>佳美航空膳食香港有限公司</t>
  </si>
  <si>
    <t>航空膳食</t>
  </si>
  <si>
    <t>NFT00.000202</t>
  </si>
  <si>
    <t>兆安隆</t>
  </si>
  <si>
    <t>NFT00.000265</t>
  </si>
  <si>
    <t>潮兴卤味店</t>
  </si>
  <si>
    <t>NFT00.000787</t>
  </si>
  <si>
    <t>东华三院黄祖棠</t>
  </si>
  <si>
    <t>社會機構</t>
  </si>
  <si>
    <t>NFT00.000788</t>
  </si>
  <si>
    <t>东华方树泉安老厨房</t>
  </si>
  <si>
    <t>NFT00.000789</t>
  </si>
  <si>
    <t>伍蒋惠芳护理安老院</t>
  </si>
  <si>
    <t>NFT00.000792</t>
  </si>
  <si>
    <t>救世军白普理慈爱长者之家</t>
  </si>
  <si>
    <t>NFT00.000845</t>
  </si>
  <si>
    <t>东华三院方王换娣</t>
  </si>
  <si>
    <t>NFT00.000853</t>
  </si>
  <si>
    <t>东华三院马兴秋</t>
  </si>
  <si>
    <t>NFT00.000875</t>
  </si>
  <si>
    <t>东华三院方树泉长者综合服务中心家务厨房</t>
  </si>
  <si>
    <t>NFT00.001489</t>
  </si>
  <si>
    <t>东华三院姚连生纪念日间活动中心暨宿舍</t>
  </si>
  <si>
    <t>NFT00.001491</t>
  </si>
  <si>
    <t>旅游服务业培训发展中心及中华厨艺学院</t>
  </si>
  <si>
    <t>NFT00.001728</t>
  </si>
  <si>
    <t>Regal Hotels(机场)</t>
  </si>
  <si>
    <t>酒店</t>
  </si>
  <si>
    <t>NFT00.001731</t>
  </si>
  <si>
    <t>Regal Hotel(香港)</t>
  </si>
  <si>
    <t>NFT00.001734</t>
  </si>
  <si>
    <t>Regal Hotel (九龙)</t>
  </si>
  <si>
    <t>NFT00.001736</t>
  </si>
  <si>
    <t>Regal Hotel(富豪东方)</t>
  </si>
  <si>
    <t>NFT00.001737</t>
  </si>
  <si>
    <t>Regal Hotel(丽豪)</t>
  </si>
  <si>
    <t>NFT00.001748</t>
  </si>
  <si>
    <t>盛世环球国际发展有限公司</t>
  </si>
  <si>
    <t>NFT00.001974</t>
  </si>
  <si>
    <t>会所1号(海滨长廊)</t>
  </si>
  <si>
    <t>NFT00.001975</t>
  </si>
  <si>
    <t>会所1号太子东堤</t>
  </si>
  <si>
    <t>NFT00.001976</t>
  </si>
  <si>
    <t>会所1号愉花园</t>
  </si>
  <si>
    <t>NFT00.002155</t>
  </si>
  <si>
    <t>大当家集团有限公司</t>
  </si>
  <si>
    <t>NFT00.002170</t>
  </si>
  <si>
    <t>新森林 (NEW FOREST HOLDING LIMITED)</t>
  </si>
  <si>
    <t>NFT00.002235</t>
  </si>
  <si>
    <t>会所1号 时尚康山</t>
  </si>
  <si>
    <t>NFT00.002236</t>
  </si>
  <si>
    <t>会所1号 尖东荟</t>
  </si>
  <si>
    <t>NFT00.002282</t>
  </si>
  <si>
    <t>海洋公园</t>
  </si>
  <si>
    <t>NFT00.002437</t>
  </si>
  <si>
    <t>EURO GO GO LIMITED</t>
  </si>
  <si>
    <t>NFT00.002459</t>
  </si>
  <si>
    <t>卓思创意有限公司</t>
  </si>
  <si>
    <t>NFT00.002482</t>
  </si>
  <si>
    <t>太子餐厅有限公司</t>
  </si>
  <si>
    <t>NFT00.002627</t>
  </si>
  <si>
    <t>神农氏资源有限公司</t>
  </si>
  <si>
    <t>NFT00.002628</t>
  </si>
  <si>
    <t>歌富有限公司</t>
  </si>
  <si>
    <t>NFT00.002983</t>
  </si>
  <si>
    <t>丰甞亚洲有限公司</t>
  </si>
  <si>
    <t>NFT00.002987</t>
  </si>
  <si>
    <t>东华三院萧旺李满福幼儿园</t>
  </si>
  <si>
    <t>NFT00.003005</t>
  </si>
  <si>
    <t>佳记集团食品有限公司</t>
  </si>
  <si>
    <t>NFT00.003029</t>
  </si>
  <si>
    <t>力嘉食品有限公司</t>
  </si>
  <si>
    <t>NFT00.003082</t>
  </si>
  <si>
    <t>启翔管理有限公司</t>
  </si>
  <si>
    <t>NFT00.003123</t>
  </si>
  <si>
    <t>麒勇有限公司</t>
  </si>
  <si>
    <t>NFT00.003141</t>
  </si>
  <si>
    <t>四维饮食集团有限公司</t>
  </si>
  <si>
    <t>NFT00.003146</t>
  </si>
  <si>
    <t>一峰食品有限公司</t>
  </si>
  <si>
    <t>NFT00.003169</t>
  </si>
  <si>
    <t>喜食家有限公司</t>
  </si>
  <si>
    <t>15MYKD.DFW01</t>
  </si>
  <si>
    <t>大快活快餐有限公司</t>
  </si>
  <si>
    <t>KA餐飲</t>
  </si>
  <si>
    <t>15MYKD.DKL01</t>
  </si>
  <si>
    <t>大家乐(集团)有限公司</t>
  </si>
  <si>
    <t>15MYKD.KTH03</t>
  </si>
  <si>
    <t>国泰航空饮食服务(香港)有限公司</t>
  </si>
  <si>
    <t>15MYKD.SEL01</t>
  </si>
  <si>
    <t>Select Service Partner Hong Kong Limited</t>
  </si>
  <si>
    <t>15MYKD.NKN01</t>
  </si>
  <si>
    <t>南记春卷粉面有限公司</t>
  </si>
  <si>
    <t>15MYKD.THW02</t>
  </si>
  <si>
    <t>太兴环球发展有限公司</t>
  </si>
  <si>
    <t>15MYKD.YMJ00</t>
  </si>
  <si>
    <t>鱼米家控股有限公司</t>
  </si>
  <si>
    <t>NFT00.000051</t>
  </si>
  <si>
    <t>德国汉莎LSG</t>
  </si>
  <si>
    <t>NFT00.002285</t>
  </si>
  <si>
    <t>小厨港作餐饮管理有限公司</t>
  </si>
  <si>
    <t>NFT00.002287</t>
  </si>
  <si>
    <t>喜连有限公司</t>
  </si>
  <si>
    <t>三宝食品集团有限公司</t>
  </si>
  <si>
    <t>NFT00.999900</t>
  </si>
  <si>
    <t>五丰肉类分销(香港)有限公司</t>
  </si>
  <si>
    <t>15MYKD.MSF01</t>
  </si>
  <si>
    <t>美心食品有限公司(供货商:106930)</t>
  </si>
  <si>
    <t>再兴烧腊饭店有限公司</t>
  </si>
  <si>
    <t>15MYKD.80021930</t>
  </si>
  <si>
    <t>福兴食品公司</t>
  </si>
  <si>
    <t>新华冻肉超级市场(葵芳)</t>
  </si>
  <si>
    <t>荣兴烧腊(单回公司)</t>
  </si>
  <si>
    <t>NFT00.000073</t>
  </si>
  <si>
    <t>四眼仔冻肉有限公司</t>
  </si>
  <si>
    <t>NFT00.000082</t>
  </si>
  <si>
    <t>胜记食品有限公司</t>
  </si>
  <si>
    <t>NFT00.000085</t>
  </si>
  <si>
    <t>永利兴食品有限公司</t>
  </si>
  <si>
    <t>文兴食品有限公司</t>
  </si>
  <si>
    <t>同荣泰冻肉食品有限公司</t>
  </si>
  <si>
    <t>万骏贸易公司</t>
  </si>
  <si>
    <t>NFT00.000190</t>
  </si>
  <si>
    <t>捷达食品有限公司</t>
  </si>
  <si>
    <t>裕丰优质食材专门店</t>
  </si>
  <si>
    <t>东浩冷冻食品公司</t>
  </si>
  <si>
    <t>NFT00.000257</t>
  </si>
  <si>
    <t>伟珊冻肉有限公司</t>
  </si>
  <si>
    <t>NFT00.000264</t>
  </si>
  <si>
    <t>光明投资控股有限公司</t>
  </si>
  <si>
    <t>再丰有限公司</t>
  </si>
  <si>
    <t>NFT00.000310</t>
  </si>
  <si>
    <t>宝源冻肉公司</t>
  </si>
  <si>
    <t>NFT00.000382</t>
  </si>
  <si>
    <t>智宝公司</t>
  </si>
  <si>
    <t>启如冻肉</t>
  </si>
  <si>
    <t>NFT00.000819</t>
  </si>
  <si>
    <t>群兴冻肉食品公司</t>
  </si>
  <si>
    <t>NFT00.001290</t>
  </si>
  <si>
    <t>文苑乳猪有限公司</t>
  </si>
  <si>
    <t>NFT00.001648</t>
  </si>
  <si>
    <t>强记中港食品有限公司</t>
  </si>
  <si>
    <t>NFT00.001746</t>
  </si>
  <si>
    <t>金宝食品有限公司(葵涌)</t>
  </si>
  <si>
    <t>NFT00.001892</t>
  </si>
  <si>
    <t>国记食品公司</t>
  </si>
  <si>
    <t>NFT00.001925</t>
  </si>
  <si>
    <t>大利冻肉食品公司</t>
  </si>
  <si>
    <t>NFT00.001941</t>
  </si>
  <si>
    <t>东泰行食品有限公司</t>
  </si>
  <si>
    <t>NFT00.001959</t>
  </si>
  <si>
    <t>佳定贸易(亚洲)有限公司</t>
  </si>
  <si>
    <t>NFT00.002190</t>
  </si>
  <si>
    <t>荟星香港餐饮服务有限公司</t>
  </si>
  <si>
    <t>NFT00.002225</t>
  </si>
  <si>
    <t>德兴隆冻肉公司</t>
  </si>
  <si>
    <t>祥兴食品公司</t>
  </si>
  <si>
    <t>NFT00.002340</t>
  </si>
  <si>
    <t>裕昌腊味什货</t>
  </si>
  <si>
    <t>NFT00.002550</t>
  </si>
  <si>
    <t>伟联食品超级市场</t>
  </si>
  <si>
    <t>英丰(香港)贸易有限公司</t>
  </si>
  <si>
    <t>瑞兴肉食有限公司</t>
  </si>
  <si>
    <t>新协兴冻肉食品公司</t>
  </si>
  <si>
    <t>NFT00.000133</t>
  </si>
  <si>
    <t>启晋贸易有限公司</t>
  </si>
  <si>
    <t>明记冻肉</t>
  </si>
  <si>
    <t>恒辉贸易公司</t>
  </si>
  <si>
    <t>兴利号食品有限公司</t>
  </si>
  <si>
    <t>德丰冻肉食品有限公司</t>
  </si>
  <si>
    <t>NFT00.000258</t>
  </si>
  <si>
    <t>天福冻肉有限公司</t>
  </si>
  <si>
    <t>国威夏门猪肉</t>
  </si>
  <si>
    <t>NFT00.000290</t>
  </si>
  <si>
    <t>协昌食品有限公司</t>
  </si>
  <si>
    <t>NFT00.000297</t>
  </si>
  <si>
    <t>铭键海产冻肉</t>
  </si>
  <si>
    <t>NFT00.000301</t>
  </si>
  <si>
    <t>恒耀食品有限公司</t>
  </si>
  <si>
    <t>NFT00.000343</t>
  </si>
  <si>
    <t>LEE SHU INT`L LTD</t>
  </si>
  <si>
    <t>泰怡国际有限公司</t>
  </si>
  <si>
    <t>三兴行贸易有限公司</t>
  </si>
  <si>
    <t>NFT00.000368</t>
  </si>
  <si>
    <t>新威记冻肉公司</t>
  </si>
  <si>
    <t>NFT00.000877</t>
  </si>
  <si>
    <t>宝生冻肉</t>
  </si>
  <si>
    <t>明兴食品有限公司(元朗)</t>
  </si>
  <si>
    <t>安强冻肉公司</t>
  </si>
  <si>
    <t>NFT00.001624</t>
  </si>
  <si>
    <t>创新企业公司</t>
  </si>
  <si>
    <t>NFT00.001651</t>
  </si>
  <si>
    <t>合德海产公司</t>
  </si>
  <si>
    <t>NFT00.002023</t>
  </si>
  <si>
    <t>泰兴冻肉食品市场有限公司</t>
  </si>
  <si>
    <t>NFT00.002473</t>
  </si>
  <si>
    <t>美丰食品(香港)有限公司</t>
  </si>
  <si>
    <t>NFT00.002662</t>
  </si>
  <si>
    <t>合德冻肉食品有限公司</t>
  </si>
  <si>
    <t>NFT00.002675</t>
  </si>
  <si>
    <t>大昌行澳门食品有限公司</t>
  </si>
  <si>
    <t>NFT00.002886</t>
  </si>
  <si>
    <t>天荣物流贸易有限公司</t>
  </si>
  <si>
    <t>NFT00.002973</t>
  </si>
  <si>
    <t>茂兴环球食品有限公司</t>
  </si>
  <si>
    <t>NFT00.002985</t>
  </si>
  <si>
    <t>澳裕冻肉食品有限公司</t>
  </si>
  <si>
    <t>NFT00.003118</t>
  </si>
  <si>
    <t>世一食品(2022)有限公司</t>
  </si>
  <si>
    <t>NFT00.003160</t>
  </si>
  <si>
    <t>冠迪食品有限公司</t>
  </si>
  <si>
    <t>翎凰冻肉有限公司</t>
  </si>
  <si>
    <t>NFT00.001629</t>
  </si>
  <si>
    <t>嘉俊食品有限公司</t>
  </si>
  <si>
    <t>NFT00.001769</t>
  </si>
  <si>
    <t>怡雅贸易有限公司</t>
  </si>
  <si>
    <t>15JYKD.S011.AISA00</t>
  </si>
  <si>
    <t>亚洲食品有限公司</t>
  </si>
  <si>
    <t>15MYKD.CHS02</t>
  </si>
  <si>
    <t>泽兴食品有限公司</t>
  </si>
  <si>
    <t>NFT00.000058</t>
  </si>
  <si>
    <t>鸿泰企业公司</t>
  </si>
  <si>
    <t>NFT00.000059</t>
  </si>
  <si>
    <t>合益冻肉食品有限公司</t>
  </si>
  <si>
    <t>NFT00.000060</t>
  </si>
  <si>
    <t>新领汇食品有限公司</t>
  </si>
  <si>
    <t>NFT00.000061</t>
  </si>
  <si>
    <t>友兴冻肉(澳门)</t>
  </si>
  <si>
    <t>NFT00.000062</t>
  </si>
  <si>
    <t>郑忠记海产冻肉有限公司</t>
  </si>
  <si>
    <t>NFT00.000065</t>
  </si>
  <si>
    <t>万胜餐饮食品有限公司</t>
  </si>
  <si>
    <t>NFT00.000066</t>
  </si>
  <si>
    <t>得利斯食品有限公司</t>
  </si>
  <si>
    <t>NFT00.000071</t>
  </si>
  <si>
    <t>进浩食品有限公司</t>
  </si>
  <si>
    <t>NFT00.000075</t>
  </si>
  <si>
    <t>南光谷丰配送有限公司</t>
  </si>
  <si>
    <t>NFT00.000086</t>
  </si>
  <si>
    <t>合群食品物流有限公司</t>
  </si>
  <si>
    <t>NFT00.000087</t>
  </si>
  <si>
    <t>合利冻肉有限公司</t>
  </si>
  <si>
    <t>NFT00.000093</t>
  </si>
  <si>
    <t>新兴城有限公司</t>
  </si>
  <si>
    <t>入口商</t>
  </si>
  <si>
    <t>NFT00.000129</t>
  </si>
  <si>
    <t>怡兴冻肉海产有限公司</t>
  </si>
  <si>
    <t>NFT00.000145</t>
  </si>
  <si>
    <t>国丰食品公司</t>
  </si>
  <si>
    <t>NFT00.000271</t>
  </si>
  <si>
    <t>伟斌冻肉食品公司</t>
  </si>
  <si>
    <t>NFT00.000279</t>
  </si>
  <si>
    <t>新花冻肉有限公司</t>
  </si>
  <si>
    <t>NFT00.000342</t>
  </si>
  <si>
    <t>基利行有限公司</t>
  </si>
  <si>
    <t>NFT00.000346</t>
  </si>
  <si>
    <t>满记冻肉有限公司</t>
  </si>
  <si>
    <t>NFT00.000381</t>
  </si>
  <si>
    <t>祥信冻肉食品公司</t>
  </si>
  <si>
    <t>NFT00.000826</t>
  </si>
  <si>
    <t>信二贸易有限公司</t>
  </si>
  <si>
    <t>NFT00.001356</t>
  </si>
  <si>
    <t>盛记冻肉</t>
  </si>
  <si>
    <t>NFT00.001407</t>
  </si>
  <si>
    <t>新丰冻肉(澳门)</t>
  </si>
  <si>
    <t>NFT00.001502</t>
  </si>
  <si>
    <t>曾记环球冻肉有限公司</t>
  </si>
  <si>
    <t>NFT00.001616</t>
  </si>
  <si>
    <t>富兴食品批发市场</t>
  </si>
  <si>
    <t>NFT00.001646</t>
  </si>
  <si>
    <t>正兴香港发展有限公司</t>
  </si>
  <si>
    <t>NFT00.001768</t>
  </si>
  <si>
    <t>永春行贸易公司</t>
  </si>
  <si>
    <t>NFT00.001897</t>
  </si>
  <si>
    <t>新昌冻肉食品公司</t>
  </si>
  <si>
    <t>德利肉食集团(香港)有限公司</t>
  </si>
  <si>
    <t>NFT00.001961</t>
  </si>
  <si>
    <t>安得利澳门饮食服务有限公司</t>
  </si>
  <si>
    <t>NFT00.002817</t>
  </si>
  <si>
    <t>海润餐饮服务有限公司</t>
  </si>
  <si>
    <t>NFT00.002922</t>
  </si>
  <si>
    <t>万里海产冻肉有限公司</t>
  </si>
  <si>
    <t>NFT00.003018</t>
  </si>
  <si>
    <t>伟哥海产冻肉公司</t>
  </si>
  <si>
    <t>NFT00.003040</t>
  </si>
  <si>
    <t>新宏扬国际食品有限公司</t>
  </si>
  <si>
    <t>NFT00.003151</t>
  </si>
  <si>
    <t>景峰优质食材贸易有限公司</t>
  </si>
  <si>
    <t>15MYKD.CHS03</t>
  </si>
  <si>
    <t>泽兴食品有限公司(大埔)</t>
  </si>
  <si>
    <t>大利冻肉有限公司</t>
  </si>
  <si>
    <t>NFT00.000077</t>
  </si>
  <si>
    <t>新森记冻肉食品有限公司</t>
  </si>
  <si>
    <t>NFT00.000099</t>
  </si>
  <si>
    <t>新茂兴食品公司</t>
  </si>
  <si>
    <t>龙华食品有限公司</t>
  </si>
  <si>
    <t>NFT00.000144</t>
  </si>
  <si>
    <t>顺兴环球冻肉公司</t>
  </si>
  <si>
    <t>NFT00.000225</t>
  </si>
  <si>
    <t>新瑞兴烧味有限公司</t>
  </si>
  <si>
    <t>NFT00.000296</t>
  </si>
  <si>
    <t>先明有限公司</t>
  </si>
  <si>
    <t>NFT00.000300</t>
  </si>
  <si>
    <t>广联兴(集团)食品超级市场</t>
  </si>
  <si>
    <t>NFT00.000324</t>
  </si>
  <si>
    <t>志合冻肉枱有限公司</t>
  </si>
  <si>
    <t>NFT00.000369</t>
  </si>
  <si>
    <t>登丰国际有限公司</t>
  </si>
  <si>
    <t>NFT00.000370</t>
  </si>
  <si>
    <t>康宏贸易公司</t>
  </si>
  <si>
    <t>NFT00.000390</t>
  </si>
  <si>
    <t>菁霖食品贸易有限公司</t>
  </si>
  <si>
    <t>NFT00.000764</t>
  </si>
  <si>
    <t>石记冻肉有限公司</t>
  </si>
  <si>
    <t>NFT00.000778</t>
  </si>
  <si>
    <t>新隆源栈冻肉公司</t>
  </si>
  <si>
    <t>NFT00.000807</t>
  </si>
  <si>
    <t>新羊城肉食公司</t>
  </si>
  <si>
    <t>NFT00.001111</t>
  </si>
  <si>
    <t>百好肉食公司(冻肉部)</t>
  </si>
  <si>
    <t>NFT00.001506</t>
  </si>
  <si>
    <t>海宝冻肉食品有限公司</t>
  </si>
  <si>
    <t>NFT00.001553</t>
  </si>
  <si>
    <t>力新贸易有限公司</t>
  </si>
  <si>
    <t>NFT00.001933</t>
  </si>
  <si>
    <t>成记冻肉</t>
  </si>
  <si>
    <t>NFT00.001939</t>
  </si>
  <si>
    <t>潮兴隆贸易公司</t>
  </si>
  <si>
    <t>昭楠贸易有限公司</t>
  </si>
  <si>
    <t>NFT00.002063</t>
  </si>
  <si>
    <t>集兴冻肉海产有限公司</t>
  </si>
  <si>
    <t>NFT00.002096</t>
  </si>
  <si>
    <t>钟绍记冻肉</t>
  </si>
  <si>
    <t>NFT00.002211</t>
  </si>
  <si>
    <t>源泰食品公司</t>
  </si>
  <si>
    <t>NFT00.002280</t>
  </si>
  <si>
    <t>大源肉枱</t>
  </si>
  <si>
    <t>NFT00.002332</t>
  </si>
  <si>
    <t>文宋投资有限公司</t>
  </si>
  <si>
    <t>NFT00.002486</t>
  </si>
  <si>
    <t>朗进国际有限公司</t>
  </si>
  <si>
    <t>NFT00.002648</t>
  </si>
  <si>
    <t>荣发食品制造有限公司</t>
  </si>
  <si>
    <t>NFT00.002709</t>
  </si>
  <si>
    <t>盈开冻肉食品公司</t>
  </si>
  <si>
    <t>NFT00.002710</t>
  </si>
  <si>
    <t>诚信冻肉食品有限公司</t>
  </si>
  <si>
    <t>NFT00.002773</t>
  </si>
  <si>
    <t>海港食品(香港)有限公司</t>
  </si>
  <si>
    <t>NFT00.002791</t>
  </si>
  <si>
    <t>实惠猪肉食品有限公司</t>
  </si>
  <si>
    <t>NFT00.002835</t>
  </si>
  <si>
    <t>你的</t>
  </si>
  <si>
    <t>NFT00.002956</t>
  </si>
  <si>
    <t>民信食品有限公司</t>
  </si>
  <si>
    <t>NFT00.003073</t>
  </si>
  <si>
    <t>兴盟投资有限公司</t>
  </si>
  <si>
    <t>NFT00.003090</t>
  </si>
  <si>
    <t>佳味食品贸易有限公司</t>
  </si>
  <si>
    <t>15LXKD.AP001</t>
  </si>
  <si>
    <t>THE ASIA PROVISIONS CO LTD</t>
  </si>
  <si>
    <t>联合林记食品有限公司</t>
  </si>
  <si>
    <t>15LXKD.KC007</t>
  </si>
  <si>
    <t>锦祥号</t>
  </si>
  <si>
    <t>15LXKD.YW002</t>
  </si>
  <si>
    <t>裕和合记</t>
  </si>
  <si>
    <t>NFT00.000031</t>
  </si>
  <si>
    <t>华丰烧腊有限公司</t>
  </si>
  <si>
    <t>NFT00.000067</t>
  </si>
  <si>
    <t>丰盛冻肉食品有限公司</t>
  </si>
  <si>
    <t>NFT00.000072</t>
  </si>
  <si>
    <t>辉记冻肉有限公司</t>
  </si>
  <si>
    <t>NFT00.000121</t>
  </si>
  <si>
    <t>德祥冻肉</t>
  </si>
  <si>
    <t>NFT00.000136</t>
  </si>
  <si>
    <t>佑生</t>
  </si>
  <si>
    <t>NFT00.000163</t>
  </si>
  <si>
    <t>和富有限公司</t>
  </si>
  <si>
    <t>NFT00.000172</t>
  </si>
  <si>
    <t>雅兴冻肉公司</t>
  </si>
  <si>
    <t>NFT00.000208</t>
  </si>
  <si>
    <t>达兴(添利)冷冻食品公司</t>
  </si>
  <si>
    <t>NFT00.000217</t>
  </si>
  <si>
    <t>志生食品(香港)有限公司</t>
  </si>
  <si>
    <t>NFT00.000242</t>
  </si>
  <si>
    <t>德州食品供应有限公司</t>
  </si>
  <si>
    <t>NFT00.000259</t>
  </si>
  <si>
    <t>华昌贸易(香港)有限公司</t>
  </si>
  <si>
    <t>NFT00.000325</t>
  </si>
  <si>
    <t>祥栈冻肉公司</t>
  </si>
  <si>
    <t>NFT00.000351</t>
  </si>
  <si>
    <t>泰兴冻肉公司(锦田)</t>
  </si>
  <si>
    <t>NFT00.000750</t>
  </si>
  <si>
    <t>建兴冻肉食品有限公司</t>
  </si>
  <si>
    <t>NFT00.000770</t>
  </si>
  <si>
    <t>万宝冻肉公司</t>
  </si>
  <si>
    <t>NFT00.000822</t>
  </si>
  <si>
    <t>源昌源兴牛肉</t>
  </si>
  <si>
    <t>NFT00.001231</t>
  </si>
  <si>
    <t>富亨食品香港有限公司</t>
  </si>
  <si>
    <t>NFT00.001342</t>
  </si>
  <si>
    <t>永盛乳猪</t>
  </si>
  <si>
    <t>NFT00.001660</t>
  </si>
  <si>
    <t>桐兴冻肉公司</t>
  </si>
  <si>
    <t>NFT00.001935</t>
  </si>
  <si>
    <t>永富食品发展有限公司</t>
  </si>
  <si>
    <t>NFT00.001997</t>
  </si>
  <si>
    <t>好运食品贸易公司</t>
  </si>
  <si>
    <t>NFT00.002099</t>
  </si>
  <si>
    <t>忠发食品公司</t>
  </si>
  <si>
    <t>NFT00.002161</t>
  </si>
  <si>
    <t>思恒贸易公司</t>
  </si>
  <si>
    <t>NFT00.002223</t>
  </si>
  <si>
    <t>凤城酒家饮食集团有限公司</t>
  </si>
  <si>
    <t>NFT00.002303</t>
  </si>
  <si>
    <t>文乐园食品贸易有限公司</t>
  </si>
  <si>
    <t>NFT00.002458</t>
  </si>
  <si>
    <t>大埔振兴有限公司</t>
  </si>
  <si>
    <t>NFT00.002655</t>
  </si>
  <si>
    <t>永昌冻肉食品有限公司</t>
  </si>
  <si>
    <t>NFT00.002787</t>
  </si>
  <si>
    <t>玖记(集团)有限公司</t>
  </si>
  <si>
    <t>15MYKD.CPM01</t>
  </si>
  <si>
    <t>卓鹏贸易有限公司</t>
  </si>
  <si>
    <t>15MYKD.MT01</t>
  </si>
  <si>
    <t>满通有限公司</t>
  </si>
  <si>
    <t>NFT00.000132</t>
  </si>
  <si>
    <t>胜兴冻肉粮油有限公司</t>
  </si>
  <si>
    <t>NFT00.000139</t>
  </si>
  <si>
    <t>华丰行贸易(香港)有限公司</t>
  </si>
  <si>
    <t>NFT00.000782</t>
  </si>
  <si>
    <t>中联办</t>
  </si>
  <si>
    <t>NFT00.001212</t>
  </si>
  <si>
    <t>炜记贸易</t>
  </si>
  <si>
    <t>NFT00.002636</t>
  </si>
  <si>
    <t>欣贯有限公司</t>
  </si>
  <si>
    <t>15MYKD.LKK03</t>
  </si>
  <si>
    <t>梁九记父子有限公司</t>
  </si>
  <si>
    <t>NFT00.000068</t>
  </si>
  <si>
    <t>澳洲食品有限公司</t>
  </si>
  <si>
    <t>运兴泰有限公司</t>
  </si>
  <si>
    <t>NFT00.000083</t>
  </si>
  <si>
    <t>东兴肉食海产(国际)有限公司</t>
  </si>
  <si>
    <t>NFT00.000089</t>
  </si>
  <si>
    <t>泰昌冻肉有限公司</t>
  </si>
  <si>
    <t>恒昌冻肉食品有限公司</t>
  </si>
  <si>
    <t>NFT00.000125</t>
  </si>
  <si>
    <t>珠明肉食有限公司</t>
  </si>
  <si>
    <t>NFT00.000137</t>
  </si>
  <si>
    <t>万利食品公司</t>
  </si>
  <si>
    <t>NFT00.000146</t>
  </si>
  <si>
    <t>龙园食品厂</t>
  </si>
  <si>
    <t>NFT00.000159</t>
  </si>
  <si>
    <t>明辉海产冻肉有限公司</t>
  </si>
  <si>
    <t>富景冻肉有限公司</t>
  </si>
  <si>
    <t>NFT00.000173</t>
  </si>
  <si>
    <t>联昌食品有限公司</t>
  </si>
  <si>
    <t>NFT00.000195</t>
  </si>
  <si>
    <t>全发烧腊有限公司</t>
  </si>
  <si>
    <t>NFT00.000275</t>
  </si>
  <si>
    <t>新丰冻肉食品市场有限公司</t>
  </si>
  <si>
    <t>NFT00.000298</t>
  </si>
  <si>
    <t>恒信食品贸易有限公司</t>
  </si>
  <si>
    <t>诚信冻肉有限公司</t>
  </si>
  <si>
    <t>NFT00.001496</t>
  </si>
  <si>
    <t>海丰贸易行国际有限公司</t>
  </si>
  <si>
    <t>NFT00.001893</t>
  </si>
  <si>
    <t>松记海鲜冻肉有限公司</t>
  </si>
  <si>
    <t>福伟集团有限公司</t>
  </si>
  <si>
    <t>NFT00.001996</t>
  </si>
  <si>
    <t>多元食品有限公司</t>
  </si>
  <si>
    <t>NFT00.002107</t>
  </si>
  <si>
    <t>新发冻肉</t>
  </si>
  <si>
    <t>鸿兴食品供应有限公司</t>
  </si>
  <si>
    <t>NFT00.002164</t>
  </si>
  <si>
    <t>大益食品贸易有限公司</t>
  </si>
  <si>
    <t>NFT00.002565</t>
  </si>
  <si>
    <t>城中泰有限公司</t>
  </si>
  <si>
    <t>NFT00.002568</t>
  </si>
  <si>
    <t>豪廷国际有限公司</t>
  </si>
  <si>
    <t>NFT00.002569</t>
  </si>
  <si>
    <t>汇星发展有限公司</t>
  </si>
  <si>
    <t>NFT00.002571</t>
  </si>
  <si>
    <t>利澳餐饮有限公司</t>
  </si>
  <si>
    <t>NFT00.002572</t>
  </si>
  <si>
    <t>生利食品有限公司</t>
  </si>
  <si>
    <t>NFT00.002603</t>
  </si>
  <si>
    <t>骏丰食品有限公司</t>
  </si>
  <si>
    <t>NFT00.002642</t>
  </si>
  <si>
    <t>瑞记冻肉有限公司</t>
  </si>
  <si>
    <t>NFT00.002940</t>
  </si>
  <si>
    <t>宝天食品贸易有限公司</t>
  </si>
  <si>
    <t>NFT00.003003</t>
  </si>
  <si>
    <t>天泰餐饮有限公司</t>
  </si>
  <si>
    <t>NFT00.003009</t>
  </si>
  <si>
    <t>鼓鸣有限公司</t>
  </si>
  <si>
    <t>NFT00.003071</t>
  </si>
  <si>
    <t>骏景国际食品有限公司</t>
  </si>
  <si>
    <t>信隆(亚洲)有限公司</t>
  </si>
  <si>
    <t>NFT00.001189</t>
  </si>
  <si>
    <t>天裕环球有限公司</t>
  </si>
  <si>
    <t>NFT00.000118</t>
  </si>
  <si>
    <t>联盛食品市场</t>
  </si>
  <si>
    <t>NFT00.000152</t>
  </si>
  <si>
    <t>合群企业投资有限公司</t>
  </si>
  <si>
    <t>NFT00.000192</t>
  </si>
  <si>
    <t>雄才肉食公司</t>
  </si>
  <si>
    <t>NFT00.000193</t>
  </si>
  <si>
    <t>永恩行</t>
  </si>
  <si>
    <t>NFT00.000215</t>
  </si>
  <si>
    <t>满兴肉食</t>
  </si>
  <si>
    <t>NFT00.000222</t>
  </si>
  <si>
    <t>二佬卤水烧腊家食品</t>
  </si>
  <si>
    <t>NFT00.000224</t>
  </si>
  <si>
    <t>汉国贸易(国际)有限公司</t>
  </si>
  <si>
    <t>NFT00.000252</t>
  </si>
  <si>
    <t>东兴冻肉食品公司</t>
  </si>
  <si>
    <t>NFT00.000299</t>
  </si>
  <si>
    <t>恒丰冻肉公司</t>
  </si>
  <si>
    <t>NFT00.000323</t>
  </si>
  <si>
    <t>恒诚牛肉</t>
  </si>
  <si>
    <t>NFT00.000341</t>
  </si>
  <si>
    <t>周田记食品</t>
  </si>
  <si>
    <t>NFT00.000766</t>
  </si>
  <si>
    <t>忠记粥店</t>
  </si>
  <si>
    <t>NFT00.000793</t>
  </si>
  <si>
    <t>新兴冻肉公司</t>
  </si>
  <si>
    <t>NFT00.000796</t>
  </si>
  <si>
    <t>新源兴烧腊茶餐厅</t>
  </si>
  <si>
    <t>NFT00.000802</t>
  </si>
  <si>
    <t>明利冻肉公司</t>
  </si>
  <si>
    <t>NFT00.000886</t>
  </si>
  <si>
    <t>三兴冻肉</t>
  </si>
  <si>
    <t>NFT00.000903</t>
  </si>
  <si>
    <t>良兴冻肉公司</t>
  </si>
  <si>
    <t>NFT00.001277</t>
  </si>
  <si>
    <t>三昌肉食公司</t>
  </si>
  <si>
    <t>NFT00.001419</t>
  </si>
  <si>
    <t>耀兴行食品供应有限公司</t>
  </si>
  <si>
    <t>NFT00.001947</t>
  </si>
  <si>
    <t>刘美玲牛羊肉公司</t>
  </si>
  <si>
    <t>NFT00.002151</t>
  </si>
  <si>
    <t>合兴冻肉贸易有限公司</t>
  </si>
  <si>
    <t>NFT00.002391</t>
  </si>
  <si>
    <t>邓兴记冻肉公司</t>
  </si>
  <si>
    <t>NFT00.002508</t>
  </si>
  <si>
    <t>德盛(食品企业)有限公司</t>
  </si>
  <si>
    <t>NFT00.002512</t>
  </si>
  <si>
    <t>铕得食有限公司</t>
  </si>
  <si>
    <t>NFT00.002889</t>
  </si>
  <si>
    <t>满冠集团有限公司</t>
  </si>
  <si>
    <t>NFT00.002921</t>
  </si>
  <si>
    <t>源兴烧烤火锅食品</t>
  </si>
  <si>
    <t>NFT00.003016</t>
  </si>
  <si>
    <t>肖邦贸易(香港)有限公司</t>
  </si>
  <si>
    <t>NFT00.003051</t>
  </si>
  <si>
    <t>联丰食品有限公司</t>
  </si>
  <si>
    <t>NFT00.003075</t>
  </si>
  <si>
    <t>鹤雁食品有限公司</t>
  </si>
  <si>
    <t>NFT00.003081</t>
  </si>
  <si>
    <t>伟俊实业有限公司</t>
  </si>
  <si>
    <t>NFT00.003147</t>
  </si>
  <si>
    <t>琛林食品有限公司</t>
  </si>
  <si>
    <t>NFT00.000338</t>
  </si>
  <si>
    <t>志兴冻肉公司</t>
  </si>
  <si>
    <t>15MYKD.80010112</t>
  </si>
  <si>
    <t>金华肉食公司</t>
  </si>
  <si>
    <t>NFT00.000131</t>
  </si>
  <si>
    <t>新兴冷冻食品有限公司</t>
  </si>
  <si>
    <t>NFT00.000160</t>
  </si>
  <si>
    <t>润河有限公司</t>
  </si>
  <si>
    <t>NFT00.000179</t>
  </si>
  <si>
    <t>和泰冻肉公司</t>
  </si>
  <si>
    <t>NFT00.000181</t>
  </si>
  <si>
    <t>业成贸易公司</t>
  </si>
  <si>
    <t>NFT00.000197</t>
  </si>
  <si>
    <t>BESTER LTD</t>
  </si>
  <si>
    <t>NFT00.000251</t>
  </si>
  <si>
    <t>盛丰冻肉食品公司</t>
  </si>
  <si>
    <t>永进食品有限公司</t>
  </si>
  <si>
    <t>NFT00.000286</t>
  </si>
  <si>
    <t>坤利号</t>
  </si>
  <si>
    <t>NFT00.000335</t>
  </si>
  <si>
    <t>伟成冻肉公司</t>
  </si>
  <si>
    <t>NFT00.000355</t>
  </si>
  <si>
    <t>源隆行环球冻肉有限公司</t>
  </si>
  <si>
    <t>NFT00.000765</t>
  </si>
  <si>
    <t>财记冻肉公司</t>
  </si>
  <si>
    <t>NFT00.000865</t>
  </si>
  <si>
    <t>雅香园食品有限公司</t>
  </si>
  <si>
    <t>NFT00.001635</t>
  </si>
  <si>
    <t>合兴冻肉公司(屯门)</t>
  </si>
  <si>
    <t>NFT00.001649</t>
  </si>
  <si>
    <t>成俊(香港)有限公司</t>
  </si>
  <si>
    <t>NFT00.001775</t>
  </si>
  <si>
    <t>齿留香烧腊集团有限公司</t>
  </si>
  <si>
    <t>NFT00.001899</t>
  </si>
  <si>
    <t>隆沣冻肉公司</t>
  </si>
  <si>
    <t>NFT00.002097</t>
  </si>
  <si>
    <t>明丰冻肉</t>
  </si>
  <si>
    <t>NFT00.002147</t>
  </si>
  <si>
    <t>源记冻肉公司</t>
  </si>
  <si>
    <t>NFT00.002245</t>
  </si>
  <si>
    <t>东韦国际有限公司</t>
  </si>
  <si>
    <t>NFT00.002639</t>
  </si>
  <si>
    <t>生记面家</t>
  </si>
  <si>
    <t>NFT00.002740</t>
  </si>
  <si>
    <t>诚信食品批发有限公司</t>
  </si>
  <si>
    <t>NFT00.002822</t>
  </si>
  <si>
    <t>哲朗食品有限公司</t>
  </si>
  <si>
    <t>NFT00.002847</t>
  </si>
  <si>
    <t>麦吉食品国际有限公司</t>
  </si>
  <si>
    <t>NFT00.002912</t>
  </si>
  <si>
    <t>一峰行有限公司</t>
  </si>
  <si>
    <t>NFT00.002928</t>
  </si>
  <si>
    <t>遨信发展有限公司</t>
  </si>
  <si>
    <t>零售超市</t>
  </si>
  <si>
    <t>NFT00.002934</t>
  </si>
  <si>
    <t>喜爱食材有限公司</t>
  </si>
  <si>
    <t>NFT00.002954</t>
  </si>
  <si>
    <t>永龙饮食集团有限公司</t>
  </si>
  <si>
    <t>NFT00.002957</t>
  </si>
  <si>
    <t>BENTO CATERING LIMITED</t>
  </si>
  <si>
    <t>NFT00.002968</t>
  </si>
  <si>
    <t>城仔记鲜肉店</t>
  </si>
  <si>
    <t>NFT00.002977</t>
  </si>
  <si>
    <t>荣裕饮食集团有限公司</t>
  </si>
  <si>
    <t>豪气有限公司</t>
  </si>
  <si>
    <t>NFT00.003048</t>
  </si>
  <si>
    <t>新港味(香港)饮食连锁有限公司</t>
  </si>
  <si>
    <t>NFT00.003066</t>
  </si>
  <si>
    <t>有运烧腊饭店</t>
  </si>
  <si>
    <t>顶好冰上鲜</t>
  </si>
  <si>
    <t>NFT00.003103</t>
  </si>
  <si>
    <t>鸣丰乳猪冻肉公司</t>
  </si>
  <si>
    <t>NFT00.003164</t>
  </si>
  <si>
    <t>Croizet Exports Ltd</t>
  </si>
  <si>
    <t>15MYKD.KBM01</t>
  </si>
  <si>
    <t>金宝美食</t>
  </si>
  <si>
    <t>NFT00.002786</t>
  </si>
  <si>
    <t>汉彩集团有限公司</t>
  </si>
  <si>
    <t>美亚食品贸易有限公司</t>
  </si>
  <si>
    <t>NFT00.000094</t>
  </si>
  <si>
    <t>万安餐饮有限公司</t>
  </si>
  <si>
    <t>NFT00.000108</t>
  </si>
  <si>
    <t>日升冻肉有限公司</t>
  </si>
  <si>
    <t>施培记冻肉超级市场有限公司</t>
  </si>
  <si>
    <t>NFT00.000178</t>
  </si>
  <si>
    <t>福记冻肉有限公司</t>
  </si>
  <si>
    <t>NFT00.000188</t>
  </si>
  <si>
    <t>全记食品有限公司</t>
  </si>
  <si>
    <t>骏利贸易公司</t>
  </si>
  <si>
    <t>NFT00.000304</t>
  </si>
  <si>
    <t>振兴冻肉有限公司</t>
  </si>
  <si>
    <t>新城发食品有限公司</t>
  </si>
  <si>
    <t>新昌冻肉</t>
  </si>
  <si>
    <t>NFT00.002513</t>
  </si>
  <si>
    <t>广兴贸易公司</t>
  </si>
  <si>
    <t>NFT00.003015</t>
  </si>
  <si>
    <t>岱民食品有限公司</t>
  </si>
  <si>
    <t>NFT00.002927</t>
  </si>
  <si>
    <t>谭仔环球供应管理有限公司</t>
  </si>
  <si>
    <t>NFT00.003225</t>
  </si>
  <si>
    <t>大美食品有限公司</t>
  </si>
  <si>
    <t>NFT00.003221</t>
  </si>
  <si>
    <t>福明食品公司</t>
  </si>
  <si>
    <t>NFT00.003220</t>
  </si>
  <si>
    <t>TOHO FOODS HK CO., LIMITED</t>
  </si>
  <si>
    <t>NFT00.003260</t>
  </si>
  <si>
    <t>万源置业有限公司</t>
  </si>
  <si>
    <t>NFT00.003272</t>
  </si>
  <si>
    <t>小鱼鸭子餐饮有限公司</t>
  </si>
  <si>
    <t>NFT00.003275</t>
  </si>
  <si>
    <t>唐饍饮食及进出口集团有限公司</t>
  </si>
  <si>
    <t>NFT00.003144</t>
  </si>
  <si>
    <t>嘉德丰食品市场</t>
  </si>
  <si>
    <t>NFT00.003201</t>
  </si>
  <si>
    <t>阿壹叉烧皇</t>
  </si>
  <si>
    <t>NFT00.003290</t>
  </si>
  <si>
    <t>百农社国际有限公司</t>
  </si>
  <si>
    <t>NFT00.002008</t>
  </si>
  <si>
    <t>馆一千(威力工业中心H1)</t>
  </si>
  <si>
    <t>NFT00.002848</t>
  </si>
  <si>
    <t>华嫂冰室有限公司</t>
  </si>
  <si>
    <t>NFT00.003263</t>
  </si>
  <si>
    <t>嘉乐国际有限公司</t>
  </si>
  <si>
    <t>NFT00.003282</t>
  </si>
  <si>
    <t>金丰香港食品有限公司</t>
  </si>
  <si>
    <t>NFT00.003283</t>
  </si>
  <si>
    <t>五联食品有限公司</t>
  </si>
  <si>
    <t>NFT00.003312</t>
  </si>
  <si>
    <t>达嘉利有限公司</t>
  </si>
  <si>
    <t>NFT00.003314</t>
  </si>
  <si>
    <t>升和亚洲有限公司</t>
  </si>
  <si>
    <t>NFT00.003316</t>
  </si>
  <si>
    <t>英之杰食品公司</t>
  </si>
  <si>
    <t>NFT00.003325</t>
  </si>
  <si>
    <t>得记烧腊有限公</t>
  </si>
  <si>
    <t>NFT00.0033078</t>
  </si>
  <si>
    <t>志腾餐饮</t>
  </si>
  <si>
    <t>NFT00.003318</t>
  </si>
  <si>
    <t>新长兴肉食公司</t>
  </si>
  <si>
    <t>NFT00.003333</t>
  </si>
  <si>
    <t>大和冻肉</t>
  </si>
  <si>
    <t>NFT00.003347</t>
  </si>
  <si>
    <t>东华三院马李示聘安老院</t>
  </si>
  <si>
    <t>NFT00.003348</t>
  </si>
  <si>
    <t>忠记粥品</t>
  </si>
  <si>
    <t>NFT00.002816</t>
  </si>
  <si>
    <t>彩鸥国际有限公司</t>
  </si>
  <si>
    <t>NFT00.003295</t>
  </si>
  <si>
    <t>甘牌叉燒餐飲有限公司</t>
  </si>
  <si>
    <t>NFT00.003420</t>
  </si>
  <si>
    <t>友義氣酸菜魚潮州打冷有限公司</t>
  </si>
  <si>
    <t>NFT00.003419</t>
  </si>
  <si>
    <t>泰旺餐飲有限公司</t>
  </si>
  <si>
    <t>NFT00.003439</t>
  </si>
  <si>
    <t>洪星凍肉公司</t>
  </si>
  <si>
    <t>NFT00.003460</t>
  </si>
  <si>
    <t>許富記</t>
  </si>
  <si>
    <t>NFT00.003446</t>
  </si>
  <si>
    <t>銀河食品有限公司</t>
  </si>
  <si>
    <t>NFT00.00791</t>
  </si>
  <si>
    <t>東華三院賽馬會復康中心(JCRC)</t>
  </si>
  <si>
    <t>NFT00.03469</t>
  </si>
  <si>
    <t>昌運</t>
  </si>
  <si>
    <t>NFT00.03466</t>
  </si>
  <si>
    <t>鯨軒集團有限公司</t>
  </si>
  <si>
    <t>NFT00.003484</t>
  </si>
  <si>
    <t>寶升凍肉公司</t>
  </si>
  <si>
    <t>NFT00.03521</t>
  </si>
  <si>
    <t>三和飲食集團(瀛火日式放題)</t>
  </si>
  <si>
    <t>NFT00.03527</t>
  </si>
  <si>
    <t>水龍本日式放題</t>
  </si>
  <si>
    <t>NFT00.03529</t>
  </si>
  <si>
    <t>叉燒叔叔</t>
  </si>
  <si>
    <t>NFT00.03501</t>
  </si>
  <si>
    <t>NFT00.000791</t>
  </si>
  <si>
    <t>賽馬會復康中心(東華)</t>
  </si>
  <si>
    <t>NFT00.001891</t>
  </si>
  <si>
    <t>雲和凍肉有限公司</t>
  </si>
  <si>
    <t>NFT00.001958</t>
  </si>
  <si>
    <t>香港電視購物網絡有限公司</t>
  </si>
  <si>
    <t>NFT00.002514</t>
  </si>
  <si>
    <t>德保雪粒有限公司</t>
  </si>
  <si>
    <t>NFT00.003405</t>
  </si>
  <si>
    <t>開源食品有限公司</t>
  </si>
  <si>
    <t>NFT00.003413</t>
  </si>
  <si>
    <t>全民創活空間有限公司(燒肉祭)</t>
  </si>
  <si>
    <t>NFT00.003469</t>
  </si>
  <si>
    <t>NFT00.003491</t>
  </si>
  <si>
    <t>喬梓餅店</t>
  </si>
  <si>
    <t>烘焙</t>
  </si>
  <si>
    <t>NFT00.003493</t>
  </si>
  <si>
    <t>龍珠餅店</t>
  </si>
  <si>
    <t>NFT00.003500</t>
  </si>
  <si>
    <t>百事吉餅店有限公司</t>
  </si>
  <si>
    <t>NFT00.003505</t>
  </si>
  <si>
    <t>盛記肉食</t>
  </si>
  <si>
    <t>NFT00.003507</t>
  </si>
  <si>
    <t>廣順有限公司</t>
  </si>
  <si>
    <t>NFT00.003509</t>
  </si>
  <si>
    <t>利泰集團控股有限公司</t>
  </si>
  <si>
    <t>NFT00.003514</t>
  </si>
  <si>
    <t>富盈企業集團有限公司</t>
  </si>
  <si>
    <t>NFT00.003521</t>
  </si>
  <si>
    <t>三和飲食集團有限公司</t>
  </si>
  <si>
    <t>NFT00.003523</t>
  </si>
  <si>
    <t>煒豐食品發展有限公司</t>
  </si>
  <si>
    <t>NFT00.003527</t>
  </si>
  <si>
    <t>瀧本飲食集團有限公司</t>
  </si>
  <si>
    <t>NFT00.003529</t>
  </si>
  <si>
    <t>NFT00.003533</t>
  </si>
  <si>
    <t>新樂園魚蛋粉(啟田)有限公司</t>
  </si>
  <si>
    <t>NFT00.003544</t>
  </si>
  <si>
    <t>德興燒味餐廳</t>
  </si>
  <si>
    <t>NFT00.003548</t>
  </si>
  <si>
    <t>農信菓菜批發有限公司</t>
  </si>
  <si>
    <t>NFT00.003553</t>
  </si>
  <si>
    <t>德興燒味飯店</t>
  </si>
  <si>
    <t>NFT00.003557</t>
  </si>
  <si>
    <t>德興燒味小廚</t>
  </si>
  <si>
    <t>NFT00.003567</t>
  </si>
  <si>
    <t>冠興凍肉(香港)有限公司</t>
  </si>
  <si>
    <t>NFT00.003568</t>
  </si>
  <si>
    <t>捷興凍肉公司</t>
  </si>
  <si>
    <t>15JYKD.S013.ASIA00</t>
  </si>
  <si>
    <t>亞洲貿易(集團)有限公司</t>
  </si>
  <si>
    <t>15MYKD.CTS00</t>
  </si>
  <si>
    <t>CITYSUPERLTD</t>
  </si>
  <si>
    <t>15MYKD.KBF02</t>
  </si>
  <si>
    <t>佳寶超級市場(香港)有限公司</t>
  </si>
  <si>
    <t>NFT00.002784</t>
  </si>
  <si>
    <t>合天集團有限公司</t>
  </si>
  <si>
    <t>NFT00.002801</t>
  </si>
  <si>
    <t>東朗有限公司</t>
  </si>
  <si>
    <t>NFT00.003479</t>
  </si>
  <si>
    <t>齊惜福有限公司</t>
  </si>
  <si>
    <t>NFT00.003585</t>
  </si>
  <si>
    <t>栢川國際貿易有限公司</t>
  </si>
  <si>
    <t>NFT00.003587</t>
  </si>
  <si>
    <t>百勝餐飲中國控股有限公司</t>
  </si>
  <si>
    <t>NFTZ0.000066</t>
  </si>
  <si>
    <t>客户编码</t>
  </si>
  <si>
    <t>NFT00.003623</t>
  </si>
  <si>
    <t>野火樂園食品公司</t>
  </si>
  <si>
    <t>華豐燒臘有限公司</t>
  </si>
  <si>
    <t>NFT00.000786</t>
  </si>
  <si>
    <t>海皇國際有限公司</t>
  </si>
  <si>
    <t>梁九記父子有限公司</t>
  </si>
  <si>
    <t>佳味食品貿易有限公司</t>
  </si>
  <si>
    <t>興盟投資有限公司</t>
  </si>
  <si>
    <t>實惠豬肉食品有限公司</t>
  </si>
  <si>
    <t>誠信凍肉食品有限公司</t>
  </si>
  <si>
    <t>盈開凍肉食品公司</t>
  </si>
  <si>
    <t>榮發食品製造有限公司</t>
  </si>
  <si>
    <t>EUROGOGOLIMITED</t>
  </si>
  <si>
    <t>文宋投資有限公司</t>
  </si>
  <si>
    <t>集興凍肉海產有限公司</t>
  </si>
  <si>
    <t>潮興隆貿易公司</t>
  </si>
  <si>
    <t>鍾紹記凍肉</t>
  </si>
  <si>
    <t>力新貿易有限公司</t>
  </si>
  <si>
    <t>海寶凍肉食品有限公司</t>
  </si>
  <si>
    <t>百好肉食公司(凍肉部)</t>
  </si>
  <si>
    <t>順興環球凍肉公司</t>
  </si>
  <si>
    <t>隆源棧</t>
  </si>
  <si>
    <t>新瑞興燒味</t>
  </si>
  <si>
    <t>廣聯興(集團)食品超級市場</t>
  </si>
  <si>
    <t>NFT00.002108</t>
  </si>
  <si>
    <t>泰興凍肉野火樂園(天水圍)</t>
  </si>
  <si>
    <t>菁霖食品貿易有限公司</t>
  </si>
  <si>
    <t>康宏貿易公司</t>
  </si>
  <si>
    <t>登豐國際有限公司</t>
  </si>
  <si>
    <t>新茂興食品公司</t>
  </si>
  <si>
    <t>志合凍肉枱有限公司</t>
  </si>
  <si>
    <t>新森記凍肉食品有限公司</t>
  </si>
  <si>
    <t>得記燒臘有限公司</t>
  </si>
  <si>
    <t>NFT00.001246</t>
  </si>
  <si>
    <t>現沽(張淑燕)</t>
  </si>
  <si>
    <t>廣興貿易公司</t>
  </si>
  <si>
    <t>振興凍肉有限公司</t>
  </si>
  <si>
    <t>福記凍肉有限公司</t>
  </si>
  <si>
    <t>全記食品有限公司</t>
  </si>
  <si>
    <t>忠發食品公司</t>
  </si>
  <si>
    <t>鳳城酒家飲食集團有限公司</t>
  </si>
  <si>
    <t>思恆貿易公司</t>
  </si>
  <si>
    <t>大埔振興有限公司</t>
  </si>
  <si>
    <t>永昌凍肉食品有限公司</t>
  </si>
  <si>
    <t>玖記(集團)有限公司</t>
  </si>
  <si>
    <t>忠記粥品</t>
  </si>
  <si>
    <t>日昇凍肉有限公司</t>
  </si>
  <si>
    <t>建興凍肉食品有限公司</t>
  </si>
  <si>
    <t>忠記粥店</t>
  </si>
  <si>
    <t>萬寶凍肉公司</t>
  </si>
  <si>
    <t>永盛乳豬</t>
  </si>
  <si>
    <t>桐興凍肉公司</t>
  </si>
  <si>
    <t>好運食品貿易公司</t>
  </si>
  <si>
    <t>劉美玲牛羊肉公司</t>
  </si>
  <si>
    <t>輝記凍肉有限公司</t>
  </si>
  <si>
    <t>德州食品供應有限公司</t>
  </si>
  <si>
    <t>華昌貿易(香港)有限公司</t>
  </si>
  <si>
    <t>NFT00.000309</t>
  </si>
  <si>
    <t>華利行發展興業有限公司</t>
  </si>
  <si>
    <t>恆誠牛肉</t>
  </si>
  <si>
    <t>雅興凍肉公司</t>
  </si>
  <si>
    <t>達興(添利)冷凍食品公司</t>
  </si>
  <si>
    <t>NFT00.000220</t>
  </si>
  <si>
    <t>和豐貿易公司</t>
  </si>
  <si>
    <t>裕和合記</t>
  </si>
  <si>
    <t>德祥凍肉</t>
  </si>
  <si>
    <t>祐生</t>
  </si>
  <si>
    <t>豐盛凍肉食品有限公司</t>
  </si>
  <si>
    <t>滿冠集團有限公司</t>
  </si>
  <si>
    <t>澳裕凍肉食品有限公司</t>
  </si>
  <si>
    <t>茂興環球食品有限公司</t>
  </si>
  <si>
    <t>NFT00.003280</t>
  </si>
  <si>
    <t>華潤五豐肉類食品(深圳)有限公司</t>
  </si>
  <si>
    <t>泰興凍肉食品市場有限公司</t>
  </si>
  <si>
    <t>NFT00.002226</t>
  </si>
  <si>
    <t>台灣美食有限公司</t>
  </si>
  <si>
    <t>美豐食品(香港)有限公司</t>
  </si>
  <si>
    <t>合德凍肉食品有限公司</t>
  </si>
  <si>
    <t>天榮物流貿易有限公司</t>
  </si>
  <si>
    <t>15MYKD.80025472</t>
  </si>
  <si>
    <t>泉興</t>
  </si>
  <si>
    <t>寶生(樂富)(南山邨)</t>
  </si>
  <si>
    <t>NFT00.001238</t>
  </si>
  <si>
    <t>現沽(凌靖翔)</t>
  </si>
  <si>
    <t>創新企業公司</t>
  </si>
  <si>
    <t>合德海產公司</t>
  </si>
  <si>
    <t>怡雅貿易有限公司</t>
  </si>
  <si>
    <t>LEESHUINT`LLTD</t>
  </si>
  <si>
    <t>新威記凍肉公司</t>
  </si>
  <si>
    <t>協昌食品有限公司</t>
  </si>
  <si>
    <t>銘鍵海產凍肉</t>
  </si>
  <si>
    <t>恆耀食品有限公司</t>
  </si>
  <si>
    <t>15MYKD.80039591</t>
  </si>
  <si>
    <t>永南食品有限公司</t>
  </si>
  <si>
    <t>啟晉貿易有限公司</t>
  </si>
  <si>
    <t>天福凍肉有限公司</t>
  </si>
  <si>
    <t>隆灃凍肉公司</t>
  </si>
  <si>
    <t>華豐行貿易(香港)有限公司</t>
  </si>
  <si>
    <t>新興凍肉公司</t>
  </si>
  <si>
    <t>金華肉食公司</t>
  </si>
  <si>
    <t>潤河有限公司</t>
  </si>
  <si>
    <t>源隆行環球凍肉有限公司</t>
  </si>
  <si>
    <t>和泰凍肉公司</t>
  </si>
  <si>
    <t>業成貿易公司</t>
  </si>
  <si>
    <t>BESTERLTD</t>
  </si>
  <si>
    <t>二佬鹵水燒臘家食品</t>
  </si>
  <si>
    <t>財記凍肉公司</t>
  </si>
  <si>
    <t>15MYKD.HKM04</t>
  </si>
  <si>
    <t>香港美食有限公司</t>
  </si>
  <si>
    <t>新興冷凍食品有限公司</t>
  </si>
  <si>
    <t>NFT00.000080</t>
  </si>
  <si>
    <t>威凱有限公司</t>
  </si>
  <si>
    <t>偉成凍肉公司</t>
  </si>
  <si>
    <t>聯豐食品有限公司</t>
  </si>
  <si>
    <t>景峰優質食材貿易有限公司</t>
  </si>
  <si>
    <t>盛世環球國際發展有限公司</t>
  </si>
  <si>
    <t>安得利澳門飲食服務有限公司</t>
  </si>
  <si>
    <t>NFT00.002244</t>
  </si>
  <si>
    <t>萬樂福實業有限公司</t>
  </si>
  <si>
    <t>海潤餐飲服務有限公司</t>
  </si>
  <si>
    <t>萬里海產凍肉有限公司</t>
  </si>
  <si>
    <t>新宏揚國際食品有限公司</t>
  </si>
  <si>
    <t>偉哥海產凍肉公司</t>
  </si>
  <si>
    <t>唐饍飲食及進出口集團有限公司</t>
  </si>
  <si>
    <t>祥信凍肉食品公司</t>
  </si>
  <si>
    <t>NFT00.000081</t>
  </si>
  <si>
    <t>西佰利貿易有限公司</t>
  </si>
  <si>
    <t>信二貿易有限公司</t>
  </si>
  <si>
    <t>亞洲食品有限公司</t>
  </si>
  <si>
    <t>新豐凍肉(澳門)</t>
  </si>
  <si>
    <t>曾記環球凍肉有限公司</t>
  </si>
  <si>
    <t>富興食品批發市場</t>
  </si>
  <si>
    <t>正興香港發展有限公司</t>
  </si>
  <si>
    <t>進浩食品有限公司</t>
  </si>
  <si>
    <t>南光谷豐配送有限公司</t>
  </si>
  <si>
    <t>合利凍肉有限公司</t>
  </si>
  <si>
    <t>新花凍肉有限公司</t>
  </si>
  <si>
    <t>滿記凍肉有限公司</t>
  </si>
  <si>
    <t>鴻泰企業公司</t>
  </si>
  <si>
    <t>合益凍肉食品有限公司</t>
  </si>
  <si>
    <t>新領匯食品有限公司</t>
  </si>
  <si>
    <t>友興凍肉(澳門)</t>
  </si>
  <si>
    <t>鄭忠記海產凍肉有限公司</t>
  </si>
  <si>
    <t>萬勝餐飲食品有限公司</t>
  </si>
  <si>
    <t>NFT00.003357</t>
  </si>
  <si>
    <t>聯益投資有限公司</t>
  </si>
  <si>
    <t>NFT00.003358</t>
  </si>
  <si>
    <t>華益有限公司</t>
  </si>
  <si>
    <t>NFT00.002172</t>
  </si>
  <si>
    <t>訊基有限公司</t>
  </si>
  <si>
    <t>昌運創建有限公司</t>
  </si>
  <si>
    <t>NFT00.003465</t>
  </si>
  <si>
    <t>櫻之源國際貿易有限公司</t>
  </si>
  <si>
    <t>澤興食品有限公司(大埔)</t>
  </si>
  <si>
    <t>怡興凍肉海產有限公司</t>
  </si>
  <si>
    <t>國豐食品公司</t>
  </si>
  <si>
    <t>NFT00.003359</t>
  </si>
  <si>
    <t>如鴻(香港)有限公司</t>
  </si>
  <si>
    <t>NFT00.003366</t>
  </si>
  <si>
    <t>展勵國際有限公司</t>
  </si>
  <si>
    <t>NFT00.003367</t>
  </si>
  <si>
    <t>金源國際有限公司</t>
  </si>
  <si>
    <t>NFT00.003392</t>
  </si>
  <si>
    <t>盈大國際有限公司</t>
  </si>
  <si>
    <t>NFT00.002384</t>
  </si>
  <si>
    <t>獲億有限公司</t>
  </si>
  <si>
    <t>NFT00.003382</t>
  </si>
  <si>
    <t>國升有限公司</t>
  </si>
  <si>
    <t>NFT00.003379</t>
  </si>
  <si>
    <t>盛友有限公司</t>
  </si>
  <si>
    <t>東華三院馬李示聘安老院</t>
  </si>
  <si>
    <t>NFT00.003360</t>
  </si>
  <si>
    <t>威滿有限公司</t>
  </si>
  <si>
    <t>NFT00.003361</t>
  </si>
  <si>
    <t>名迅有限公司</t>
  </si>
  <si>
    <t>大和凍肉</t>
  </si>
  <si>
    <t>達嘉利有限公司</t>
  </si>
  <si>
    <t>英之傑食品公司</t>
  </si>
  <si>
    <t>NFT00.003380</t>
  </si>
  <si>
    <t>健益有限公司</t>
  </si>
  <si>
    <t>東華三院蕭旺李滿福幼兒園</t>
  </si>
  <si>
    <t>新長興肉食公司</t>
  </si>
  <si>
    <t>百農社國際有限公司</t>
  </si>
  <si>
    <t>四維飲食集團有限公司</t>
  </si>
  <si>
    <t>NFT00.003311</t>
  </si>
  <si>
    <t>大班麵包西餅有限公司</t>
  </si>
  <si>
    <t>昇和亞洲有限公司</t>
  </si>
  <si>
    <t>永春行貿易公司</t>
  </si>
  <si>
    <t>NFT00.002175</t>
  </si>
  <si>
    <t>百力投有限公司</t>
  </si>
  <si>
    <t>NFT00.002343</t>
  </si>
  <si>
    <t>耀記家禽批發公司</t>
  </si>
  <si>
    <t>太子餐廳有限公司</t>
  </si>
  <si>
    <t>NFT00.002604</t>
  </si>
  <si>
    <t>凱莉國際食品有限公司</t>
  </si>
  <si>
    <t>偉聯食品超級市場</t>
  </si>
  <si>
    <t>誠信食品批發有限公司</t>
  </si>
  <si>
    <t>伍蔣惠芳護理安老院</t>
  </si>
  <si>
    <t>救世軍白普理慈愛長者之家</t>
  </si>
  <si>
    <t>金源燒臘茶餐廳有限公司</t>
  </si>
  <si>
    <t>東華三院馬興秋</t>
  </si>
  <si>
    <t>三興</t>
  </si>
  <si>
    <t>東華三院方樹泉長者綜合服務中心家務廚房</t>
  </si>
  <si>
    <t>NFT00.001120</t>
  </si>
  <si>
    <t>好運投資有限公司</t>
  </si>
  <si>
    <t>東華三院姚連生紀念日間活動中心暨宿舍</t>
  </si>
  <si>
    <t>旅遊服務業培訓發展中心及中華廚藝學院</t>
  </si>
  <si>
    <t>新昌凍肉食品公司</t>
  </si>
  <si>
    <t>恆豐凍肉公司</t>
  </si>
  <si>
    <t>合群企業投資有限公司</t>
  </si>
  <si>
    <t>NFT00.000186</t>
  </si>
  <si>
    <t>永合隆肉食公司</t>
  </si>
  <si>
    <t>滿興肉食</t>
  </si>
  <si>
    <t>東華三院方王換娣</t>
  </si>
  <si>
    <t>石記凍肉有限公司</t>
  </si>
  <si>
    <t>東華方樹泉安老廚房</t>
  </si>
  <si>
    <t>東華三院黃祖棠</t>
  </si>
  <si>
    <t>祥棧凍肉公司</t>
  </si>
  <si>
    <t>偉斌凍肉食品公司</t>
  </si>
  <si>
    <t>周田記食品</t>
  </si>
  <si>
    <t>泰興凍肉公司(錦田)</t>
  </si>
  <si>
    <t>坤利號</t>
  </si>
  <si>
    <t>NFT00.002825</t>
  </si>
  <si>
    <t>現沽團購-凍品水產</t>
  </si>
  <si>
    <t>源興燒烤火鍋食品</t>
  </si>
  <si>
    <t>鼓鳴有限公司</t>
  </si>
  <si>
    <t>駿景國際食品有限公司</t>
  </si>
  <si>
    <t>大益食品貿易有限公司</t>
  </si>
  <si>
    <t>駿豐食品有限公司</t>
  </si>
  <si>
    <t>瑞記凍肉有限公司</t>
  </si>
  <si>
    <t>NFT00.002640</t>
  </si>
  <si>
    <t>PAUL''SFOODCOMPANY</t>
  </si>
  <si>
    <t>海豐貿易行國際有限公司</t>
  </si>
  <si>
    <t>松記海鮮凍肉有限公司</t>
  </si>
  <si>
    <t>NFT00.002005</t>
  </si>
  <si>
    <t>寰宇美食有限公司</t>
  </si>
  <si>
    <t>新發凍肉超級市場有限公司</t>
  </si>
  <si>
    <t>合興凍肉貿易有限公司</t>
  </si>
  <si>
    <t>新豐凍肉食品市場有限公司</t>
  </si>
  <si>
    <t>恆信食品貿易有限公司</t>
  </si>
  <si>
    <t>明輝海產凍肉有限公司</t>
  </si>
  <si>
    <t>聯昌食品有限公司</t>
  </si>
  <si>
    <t>金豐香港食品有限公司</t>
  </si>
  <si>
    <t>五聯食品有限公司</t>
  </si>
  <si>
    <t>萬利食品公司</t>
  </si>
  <si>
    <t>NFT00.000138</t>
  </si>
  <si>
    <t>瑞麟有限公司</t>
  </si>
  <si>
    <t>龍園食品廠.</t>
  </si>
  <si>
    <t>東興肉食海產(國際)有限公司</t>
  </si>
  <si>
    <t>泰昌凍肉有限公司</t>
  </si>
  <si>
    <t>東泰行食品有限公司</t>
  </si>
  <si>
    <t>薈星香港餐飲服務有限公司</t>
  </si>
  <si>
    <t>德興隆凍肉公司</t>
  </si>
  <si>
    <t>佳定(亞洲)貿易有限公司</t>
  </si>
  <si>
    <t>NFT00.002852</t>
  </si>
  <si>
    <t>高高食品有限公司</t>
  </si>
  <si>
    <t>捷達食品有限公司</t>
  </si>
  <si>
    <t>漢國貿易(國際)有限公司</t>
  </si>
  <si>
    <t>群興凍肉食品公司</t>
  </si>
  <si>
    <t>福興食品公司</t>
  </si>
  <si>
    <t>文苑乳豬有限公司</t>
  </si>
  <si>
    <t>強記中港食品有限公司</t>
  </si>
  <si>
    <t>金寶食品有限公司(葵涌)</t>
  </si>
  <si>
    <t>大利凍肉食品公司</t>
  </si>
  <si>
    <t>國記食品公司</t>
  </si>
  <si>
    <t>勝記食品有限公司</t>
  </si>
  <si>
    <t>永利興食品有限公司</t>
  </si>
  <si>
    <t>偉珊凍肉有限公司</t>
  </si>
  <si>
    <t>光明投資控股有限公司</t>
  </si>
  <si>
    <t>智寶公司</t>
  </si>
  <si>
    <t>寶源凍肉公司</t>
  </si>
  <si>
    <t>永富海產</t>
  </si>
  <si>
    <t>偉俊實業有限公司</t>
  </si>
  <si>
    <t>NFT00.000048</t>
  </si>
  <si>
    <t>馬泰貿易有限公司</t>
  </si>
  <si>
    <t>四眼仔凍肉有限公司</t>
  </si>
  <si>
    <t>富記燒味有限公司</t>
  </si>
  <si>
    <t>名人燒味食品有限公司</t>
  </si>
  <si>
    <t>順發肉食公司</t>
  </si>
  <si>
    <t>卓思創意有限公司</t>
  </si>
  <si>
    <t>華富燒腊</t>
  </si>
  <si>
    <t>富成環球海產有限公司</t>
  </si>
  <si>
    <t>富記燒腊</t>
  </si>
  <si>
    <t>耀興行食品供應有限公司</t>
  </si>
  <si>
    <t>永豐泰有限公司</t>
  </si>
  <si>
    <t>天天食品市場</t>
  </si>
  <si>
    <t>金興凍肉公司</t>
  </si>
  <si>
    <t>琪昌燒腊食品有限公司</t>
  </si>
  <si>
    <t>盛豐凍肉食品公司</t>
  </si>
  <si>
    <t>萬事利食品有限公司</t>
  </si>
  <si>
    <t>冠環球(郭)有限公司</t>
  </si>
  <si>
    <t>全發燒臘有限公司</t>
  </si>
  <si>
    <t>利豐肉食海產有限公司</t>
  </si>
  <si>
    <t>順興凍肉公司</t>
  </si>
  <si>
    <t>華新魚翅海產公司</t>
  </si>
  <si>
    <t>合興香港有限公司</t>
  </si>
  <si>
    <t>金翠燒味餐廳有限公司(深)</t>
  </si>
  <si>
    <t>趙增記</t>
  </si>
  <si>
    <t>李圻記</t>
  </si>
  <si>
    <t>NFT00.003158</t>
  </si>
  <si>
    <t>萬洋(香港)有限公司</t>
  </si>
  <si>
    <t>萬源置業有限公司</t>
  </si>
  <si>
    <t>NFT00.003399</t>
  </si>
  <si>
    <t>柏輝發展有限公司</t>
  </si>
  <si>
    <t>NFT00.003196</t>
  </si>
  <si>
    <t>凱明發展有限公司</t>
  </si>
  <si>
    <t>NFT00.003195</t>
  </si>
  <si>
    <t>吉祥有限公司</t>
  </si>
  <si>
    <t>NFT00.003197</t>
  </si>
  <si>
    <t>永星控股有限公司</t>
  </si>
  <si>
    <t>啟翔管理有限公司</t>
  </si>
  <si>
    <t>嘉樂國際有限公司</t>
  </si>
  <si>
    <t>NFT00.003303</t>
  </si>
  <si>
    <t>新都發展有限公司</t>
  </si>
  <si>
    <t>NFT00.003152</t>
  </si>
  <si>
    <t>彩暉有限公司</t>
  </si>
  <si>
    <t>NFT00.002690</t>
  </si>
  <si>
    <t>新華餐飲管理有限公司</t>
  </si>
  <si>
    <t>NFT00.002832</t>
  </si>
  <si>
    <t>富佳(香港)有限公司</t>
  </si>
  <si>
    <t>NFT00.002975</t>
  </si>
  <si>
    <t>德勢有限公司</t>
  </si>
  <si>
    <t>NFT00.002986</t>
  </si>
  <si>
    <t>永德富有限公司</t>
  </si>
  <si>
    <t>NFT00.003028</t>
  </si>
  <si>
    <t>龍丰有限公司</t>
  </si>
  <si>
    <t>佳記集團食品有限公司</t>
  </si>
  <si>
    <t>鶴雁食品有限公司</t>
  </si>
  <si>
    <t>NFT00.003194</t>
  </si>
  <si>
    <t>富勝(香港)有限公司</t>
  </si>
  <si>
    <t>NFT00.002708</t>
  </si>
  <si>
    <t>星友有限公司</t>
  </si>
  <si>
    <t>NFT00.002689</t>
  </si>
  <si>
    <t>子龍有限公司</t>
  </si>
  <si>
    <t>NFT00.002757</t>
  </si>
  <si>
    <t>金溋有限公司</t>
  </si>
  <si>
    <t>NFT00.002811</t>
  </si>
  <si>
    <t>發財有限公司</t>
  </si>
  <si>
    <t>NFT00.002804</t>
  </si>
  <si>
    <t>福鑫有限公司</t>
  </si>
  <si>
    <t>NFT00.000055</t>
  </si>
  <si>
    <t>游龍有限公司</t>
  </si>
  <si>
    <t>LSGSkyChefsHongKongLimited</t>
  </si>
  <si>
    <t>潮興鹵味店</t>
  </si>
  <si>
    <t>海洋公園</t>
  </si>
  <si>
    <t>NFT00.002178</t>
  </si>
  <si>
    <t>丹尼食品有限公司</t>
  </si>
  <si>
    <t>鳴豐乳豬凍肉有限公司</t>
  </si>
  <si>
    <t>許富記食品公司</t>
  </si>
  <si>
    <t>NFT00.003466</t>
  </si>
  <si>
    <t>NFT00.003485</t>
  </si>
  <si>
    <t>燒味獸有限公司</t>
  </si>
  <si>
    <t>城仔記鮮肉店</t>
  </si>
  <si>
    <t>新港味(香港)飲食連鎖有限公司</t>
  </si>
  <si>
    <t>TOHOFOODSHKCO.,LIMITED</t>
  </si>
  <si>
    <t>NFT00.003145</t>
  </si>
  <si>
    <t>AmazingF&amp;BCompanyLimited</t>
  </si>
  <si>
    <t>阿壹叉燒皇</t>
  </si>
  <si>
    <t>NFT00.002702</t>
  </si>
  <si>
    <t>迅豐食品貿易有限公司</t>
  </si>
  <si>
    <t>麥吉食品國際有限公司</t>
  </si>
  <si>
    <t>永龍飲食集團有限公司</t>
  </si>
  <si>
    <t>喜愛食材有限公司</t>
  </si>
  <si>
    <t>BENTOCATERINGLIMITED</t>
  </si>
  <si>
    <t>遨信發展有限公司</t>
  </si>
  <si>
    <t>合興凍肉公司(屯門)</t>
  </si>
  <si>
    <t>良興凍肉公司</t>
  </si>
  <si>
    <t>NFT00.001393</t>
  </si>
  <si>
    <t>美利飲食服務有限公司</t>
  </si>
  <si>
    <t>明豐凍肉</t>
  </si>
  <si>
    <t>源記凍肉公司</t>
  </si>
  <si>
    <t>NFT00.002207</t>
  </si>
  <si>
    <t>長順國際食品有限公司</t>
  </si>
  <si>
    <t>東韋國際有限公司</t>
  </si>
  <si>
    <t>生記麵家</t>
  </si>
  <si>
    <t>物料說明</t>
  </si>
  <si>
    <t>物料編碼</t>
  </si>
  <si>
    <t>管理分类列表</t>
  </si>
  <si>
    <t>编码</t>
  </si>
  <si>
    <t>大類</t>
  </si>
  <si>
    <t>中类</t>
  </si>
  <si>
    <t>小类</t>
  </si>
  <si>
    <t>商品数量</t>
  </si>
  <si>
    <t>商品分类</t>
  </si>
  <si>
    <t>中貨</t>
  </si>
  <si>
    <t>中國豬肉</t>
  </si>
  <si>
    <t>一號肉</t>
  </si>
  <si>
    <t>急凍肉類</t>
  </si>
  <si>
    <t>二號肉</t>
  </si>
  <si>
    <t>三號肉</t>
  </si>
  <si>
    <t>四號肉</t>
  </si>
  <si>
    <t>脊膘</t>
  </si>
  <si>
    <t>巴西 Seara 豬梅肉∣19KG（抄碼）</t>
  </si>
  <si>
    <t>大排</t>
  </si>
  <si>
    <t>巴西Seara有骨大排∣19KG（抄碼）</t>
  </si>
  <si>
    <t>面精肉</t>
  </si>
  <si>
    <t>巴西Seara削骨豬大排∣19KG（抄碼）</t>
  </si>
  <si>
    <t>寸骨</t>
  </si>
  <si>
    <t>巴西 Anglo 牛孖筋|26KG(抄碼)</t>
  </si>
  <si>
    <t>熟食</t>
  </si>
  <si>
    <t>巴西Mataboi 牛尾∣26KG(抄碼)</t>
  </si>
  <si>
    <t>五花肉</t>
  </si>
  <si>
    <t>豬肝</t>
  </si>
  <si>
    <t>西貨</t>
  </si>
  <si>
    <t>外國豬肉</t>
  </si>
  <si>
    <t>挑骨豬腩</t>
  </si>
  <si>
    <t>帶骨豬腩</t>
  </si>
  <si>
    <t>肋排</t>
  </si>
  <si>
    <t>遼寧雞骨架|15KG</t>
  </si>
  <si>
    <t>腩排</t>
  </si>
  <si>
    <t>小排</t>
  </si>
  <si>
    <t>遼寧欣城帶皮腿扒|15KG (200克+/塊)</t>
  </si>
  <si>
    <t>骨頭類</t>
  </si>
  <si>
    <t>遼寧欣城帶皮腿扒|15KG (300克+/塊)</t>
  </si>
  <si>
    <t>豬手</t>
  </si>
  <si>
    <t>豬腳</t>
  </si>
  <si>
    <t>豬肘</t>
  </si>
  <si>
    <t>豬內臟</t>
  </si>
  <si>
    <t>豬耳</t>
  </si>
  <si>
    <t>豬鼻</t>
  </si>
  <si>
    <t>燒排骨</t>
  </si>
  <si>
    <t>遼寧欣城去皮上腿肉|12KG</t>
  </si>
  <si>
    <t>遼寧欣城帶皮雞胸肉|12KG</t>
  </si>
  <si>
    <t>猪副</t>
  </si>
  <si>
    <t>猪仔骨</t>
  </si>
  <si>
    <t>猪柳</t>
  </si>
  <si>
    <t>遼寧盛佳康小雞胸肉 IQF|10KG</t>
  </si>
  <si>
    <t>豬頸骨</t>
  </si>
  <si>
    <t>豬背骨</t>
  </si>
  <si>
    <t>前筒骨</t>
  </si>
  <si>
    <t>後筒骨</t>
  </si>
  <si>
    <t>豬軟骨</t>
  </si>
  <si>
    <t>巴西Uniaves雞腳A級 50G+∣15KG</t>
  </si>
  <si>
    <t>豬胸骨</t>
  </si>
  <si>
    <t>豬舌</t>
  </si>
  <si>
    <t>凍墨魚柳U1-C|12KG（黃帶）</t>
  </si>
  <si>
    <t>豬尾</t>
  </si>
  <si>
    <t>單凍墨魚頭U1-D |10KG(7-16藍帶)</t>
  </si>
  <si>
    <t>豬大腸</t>
  </si>
  <si>
    <t>豬生腸</t>
  </si>
  <si>
    <t>豬肚</t>
  </si>
  <si>
    <t>南美養白蝦肉去腸21-25 -BPYC|10.8KG(黃帶)</t>
  </si>
  <si>
    <t>豬小肚</t>
  </si>
  <si>
    <t>南美養白蝦肉去腸26-30 -BPYC|10.8KG(黃帶)</t>
  </si>
  <si>
    <t>南美養白蝦肉去腸41-50 -BPYC|10.8KG(黃帶)</t>
  </si>
  <si>
    <t>豬橫膈膜</t>
  </si>
  <si>
    <t>南美養白蝦肉去腸61-70 -BPYC|10.8KG(黃帶)</t>
  </si>
  <si>
    <t>其他</t>
  </si>
  <si>
    <t>南美養白蝦肉去腸90-110 -BPYC|10.8KG(黃帶)</t>
  </si>
  <si>
    <t>外國牛肉</t>
  </si>
  <si>
    <t>牛霖</t>
  </si>
  <si>
    <t>南美養白蝦肉去腸26-30 -BPXD|10.8KG(藍帶)</t>
  </si>
  <si>
    <t>牛柳頭</t>
  </si>
  <si>
    <t>南美養白蝦肉去腸31-40 -BPXD|10.8KG(藍帶)</t>
  </si>
  <si>
    <t>牛柳</t>
  </si>
  <si>
    <t>南美養白蝦肉去腸41-50 -BPXD|10.8KG(藍帶)</t>
  </si>
  <si>
    <t>西冷</t>
  </si>
  <si>
    <t>南美養白蝦肉去腸51-60 -BPXD|10.8KG(藍帶)</t>
  </si>
  <si>
    <t>牛胸腩</t>
  </si>
  <si>
    <t>南美養白蝦肉去腸61-70 -BPXD|10.8KG(藍帶)</t>
  </si>
  <si>
    <t>孖根</t>
  </si>
  <si>
    <t>南美養白蝦肉去腸90-120 -BPXD|10.8KG(藍帶)</t>
  </si>
  <si>
    <t>牛仔骨</t>
  </si>
  <si>
    <t>南美養白蝦肉去腸21-25 -BPHE|10.8KG(綠帶紅膠)</t>
  </si>
  <si>
    <t>牛仔扒</t>
  </si>
  <si>
    <t>南美養白蝦肉去腸26-30 -BPHE|10.8KG(綠帶紅膠)</t>
  </si>
  <si>
    <t>牛碎肉</t>
  </si>
  <si>
    <t>南美養白蝦肉去腸31-40 -BPHE|10.8KG(綠帶紅膠)</t>
  </si>
  <si>
    <t>牛面肉</t>
  </si>
  <si>
    <t>南美養白蝦肉去腸41-50 -BPHE|10.8KG(綠帶紅膠)</t>
  </si>
  <si>
    <t>金錢展</t>
  </si>
  <si>
    <t>南美養白蝦肉去腸51-60 -BPHE|10.8KG(綠帶紅膠)</t>
  </si>
  <si>
    <t>牛小排</t>
  </si>
  <si>
    <t>南美養白蝦肉去腸61-70 -BPHE|10.8KG(綠帶紅膠)</t>
  </si>
  <si>
    <t>肥牛</t>
  </si>
  <si>
    <t>南美養白蝦肉去腸71-90 -BPHE|10.8KG(綠帶紅膠)</t>
  </si>
  <si>
    <t>牛肋骨肉</t>
  </si>
  <si>
    <t>南美養白蝦肉去腸90-120 -BPHE|10.8KG(綠帶紅膠)</t>
  </si>
  <si>
    <t>牛舌</t>
  </si>
  <si>
    <t>南美養白蝦肉去腸26-30 -BPZB|10.8KG(紅帶)</t>
  </si>
  <si>
    <t>牛副</t>
  </si>
  <si>
    <t>南美養白蝦肉去腸31-40 -BPZB|10.8KG(紅帶)</t>
  </si>
  <si>
    <t>牛草肚</t>
  </si>
  <si>
    <t>南美養白蝦肉去腸41-50 -BPZB|10.8KG(紅帶)</t>
  </si>
  <si>
    <t>牛展</t>
  </si>
  <si>
    <t>南美養白蝦肉去腸21-25 -BPWE|10.8KG(綠帶)</t>
  </si>
  <si>
    <t>牛尾</t>
  </si>
  <si>
    <t>南美養白蝦肉去腸26-30 -BPWE|10.8KG(綠帶)</t>
  </si>
  <si>
    <t>牛頸骨</t>
  </si>
  <si>
    <t>南美養白蝦肉去腸41-50 -BPWE|10.8KG(綠帶)</t>
  </si>
  <si>
    <t>牛柏葉</t>
  </si>
  <si>
    <t>南美養白蝦肉去腸51-60 -BPWE|10.8KG(綠帶)</t>
  </si>
  <si>
    <t>牛金肚</t>
  </si>
  <si>
    <t>南美養白蝦肉去腸61-70 -BPWE|10.8KG(綠帶)</t>
  </si>
  <si>
    <t>牛膀</t>
  </si>
  <si>
    <t>金鷹黑毛豬梅肉|25KG</t>
  </si>
  <si>
    <t>牛肺</t>
  </si>
  <si>
    <t>金鷹黑毛豬梅肉(獨立抽真空）｜25KG</t>
  </si>
  <si>
    <t>牛肩胛</t>
  </si>
  <si>
    <t>牛頸肉</t>
  </si>
  <si>
    <t>精品脊膘|25KG</t>
  </si>
  <si>
    <t>牛胸肉</t>
  </si>
  <si>
    <t>牛前展</t>
  </si>
  <si>
    <t>金鷹面精肉(不隔膠紙)|25KG</t>
  </si>
  <si>
    <t>牛後展</t>
  </si>
  <si>
    <t>針扒</t>
  </si>
  <si>
    <t>燴扒</t>
  </si>
  <si>
    <t>凍火腿片|9.07KG</t>
  </si>
  <si>
    <t>中國帶皮片骨腩(A級)|23KG(抄碼)</t>
  </si>
  <si>
    <t>中國羊肉</t>
  </si>
  <si>
    <t>羊排</t>
  </si>
  <si>
    <t>中國豬扇骨(帶肉)|10KG</t>
  </si>
  <si>
    <t>帶骨整腿</t>
  </si>
  <si>
    <t>巴西Frivatti豬梅肉∣22KG(抄碼)</t>
  </si>
  <si>
    <t>羊肩卷肉</t>
  </si>
  <si>
    <t>巴西Sadia豬梅肉∣18KG(抄碼)</t>
  </si>
  <si>
    <t>去骨後腿肉</t>
  </si>
  <si>
    <t>俄羅斯Miratorg A級挑骨豬腩(去皮) | 18KG (抄碼)</t>
  </si>
  <si>
    <t>黑山羊</t>
  </si>
  <si>
    <t>巴西 Alibem 削骨豬大排|22KG(抄码)</t>
  </si>
  <si>
    <t>羊肉粒</t>
  </si>
  <si>
    <t>巴西Frivatti削骨大排∣19KG(抄碼)</t>
  </si>
  <si>
    <t>加工品</t>
  </si>
  <si>
    <t>巴西 Alibem 豬手|20KG</t>
  </si>
  <si>
    <t>白山羊</t>
  </si>
  <si>
    <t>巴西 Sadia 豬手|20KG</t>
  </si>
  <si>
    <t>巴西Frimesa豬手∣20KG</t>
  </si>
  <si>
    <t>羊卷肉</t>
  </si>
  <si>
    <t>巴西Frivatti豬手∣20KG</t>
  </si>
  <si>
    <t>分體羊</t>
  </si>
  <si>
    <t>波蘭Skiba豬手∣10KG</t>
  </si>
  <si>
    <t>中國雞肉</t>
  </si>
  <si>
    <t>西裝雞</t>
  </si>
  <si>
    <t>巴西 Alibem 豬後腳|20KG</t>
  </si>
  <si>
    <t>整雞</t>
  </si>
  <si>
    <t>巴西 Frimesa 豬耳片|15KG</t>
  </si>
  <si>
    <t>帶骨全腿</t>
  </si>
  <si>
    <t>巴西Frivatti豬頸骨∣18KG</t>
  </si>
  <si>
    <t>翅中</t>
  </si>
  <si>
    <t>波蘭Goodvalley 豬頸骨 | 20KG</t>
  </si>
  <si>
    <t>雞骨架</t>
  </si>
  <si>
    <t>巴西Alibem豬頸骨∣20KG(抄碼)</t>
  </si>
  <si>
    <t>帶皮全腿肉</t>
  </si>
  <si>
    <t>波蘭 SKIBA 豬背骨|20KG</t>
  </si>
  <si>
    <t>帶皮腿扒</t>
  </si>
  <si>
    <t>巴西Alibem豬背骨∣20KG(抄碼)</t>
  </si>
  <si>
    <t>去皮全腿肉</t>
  </si>
  <si>
    <t>巴西Dom Glutao牛腩∣21KG(抄碼)</t>
  </si>
  <si>
    <t>去皮上腿肉</t>
  </si>
  <si>
    <t>巴西Minerva牛孖根∣25KG(抄碼)</t>
  </si>
  <si>
    <t>帶皮上腿肉</t>
  </si>
  <si>
    <t>巴西 Dom Glutao 牛頸骨|17KG(抄码)</t>
  </si>
  <si>
    <t>帶皮胸肉</t>
  </si>
  <si>
    <t>巴西 Frigon 牛頸骨∣18KG(抄碼)</t>
  </si>
  <si>
    <t>去皮胸肉</t>
  </si>
  <si>
    <t>巴西Frigon小米龍(Eyeround)|25KG(抄碼)</t>
  </si>
  <si>
    <t>小胸肉</t>
  </si>
  <si>
    <t>去皮腿肉塊</t>
  </si>
  <si>
    <t>去皮腿肉丁</t>
  </si>
  <si>
    <t>高峰法式羊排 4 支骨|20KG</t>
  </si>
  <si>
    <t>去皮腿肉絲</t>
  </si>
  <si>
    <t>雞皮</t>
  </si>
  <si>
    <t>高峰法式羊排 7 支骨|20KG</t>
  </si>
  <si>
    <t>雞軟骨</t>
  </si>
  <si>
    <t>伊美佳8支骨法式羊排|20KG</t>
  </si>
  <si>
    <t>其它</t>
  </si>
  <si>
    <t>琵琶腿</t>
  </si>
  <si>
    <t>高峰柱裝羊肩卷肉|20KG</t>
  </si>
  <si>
    <t>翅根</t>
  </si>
  <si>
    <t>高峰去骨羊腿肉|20KG</t>
  </si>
  <si>
    <t>翅尖</t>
  </si>
  <si>
    <t>高峰羊尾油|20KG</t>
  </si>
  <si>
    <t>雞肝</t>
  </si>
  <si>
    <t>高峰羊柳|18KG</t>
  </si>
  <si>
    <t>帶皮腿肉絲</t>
  </si>
  <si>
    <t>雞邊腿</t>
  </si>
  <si>
    <t>帶皮腿肉</t>
  </si>
  <si>
    <t>溫氏黃油中1雞|22KG (1.6-1.7kg/只)/共13只(抄码)</t>
  </si>
  <si>
    <t>去皮胸肉丁</t>
  </si>
  <si>
    <t>溫氏黃油中2雞|23KG (1.4-1.5kg/只)/共16只(抄码)</t>
  </si>
  <si>
    <t>外國雞肉</t>
  </si>
  <si>
    <t>溫氏黃油中3雞|23KG (1.2-1.3kg/只)/共18只(抄码)</t>
  </si>
  <si>
    <t>帶皮雞全腿肉</t>
  </si>
  <si>
    <t>溫氏黃油中8雞|22.5KG (1.5-1.6kg/只)/共14只(抄码)</t>
  </si>
  <si>
    <t>全翅</t>
  </si>
  <si>
    <t>溫氏黃油大1雞|22KG (1.7-1.8kg/只)/共12只(抄码)</t>
  </si>
  <si>
    <t>帶皮帶骨雞全腿</t>
  </si>
  <si>
    <t>溫氏黃油中3雞|24.5KG (1.3-1.4kg/只,共18只)(抄碼)</t>
  </si>
  <si>
    <t>火雞腎</t>
  </si>
  <si>
    <t>河南黃油雞1.3-1.4KG |22KG(共16只)</t>
  </si>
  <si>
    <t>河南黃油雞1.7-1.8KG |21KG(共12只)</t>
  </si>
  <si>
    <t>鷄腳</t>
  </si>
  <si>
    <t>翼尖</t>
  </si>
  <si>
    <t>遼寧嘉士德帶骨雞全腿 180-200G|15KG</t>
  </si>
  <si>
    <t>雞大胸肉</t>
  </si>
  <si>
    <t>遼寧盛佳康帶骨雞全腿 220-240G|15KG</t>
  </si>
  <si>
    <t>雞翼槌</t>
  </si>
  <si>
    <t>河南帶骨全腿切件|12KG</t>
  </si>
  <si>
    <t>雞膝軟骨</t>
  </si>
  <si>
    <t>遼寧銘川去皮上腿肉|12KG</t>
  </si>
  <si>
    <t>河南去皮胸肉|12KG (140-160克/塊)</t>
  </si>
  <si>
    <t>雞腎</t>
  </si>
  <si>
    <t>河南去皮腿肉塊|12KG (15-25克/塊)</t>
  </si>
  <si>
    <t xml:space="preserve"> 火雞肝</t>
  </si>
  <si>
    <t>河南去皮雞腿肉丁|12KG (1.5cm*1.5cm)</t>
  </si>
  <si>
    <t>雞其他</t>
  </si>
  <si>
    <t>河南去皮雞腿肉丁 IQF|12KG(3cm*3cm)</t>
  </si>
  <si>
    <t>中國鴨肉</t>
  </si>
  <si>
    <t>整鴨</t>
  </si>
  <si>
    <t>河南去皮雞腿肉丁|12KG (2cm*2cm)</t>
  </si>
  <si>
    <t>河南去皮雞腿肉絲|12KG</t>
  </si>
  <si>
    <t>生鴨胸</t>
  </si>
  <si>
    <t>巴西Mana雞腳A級 50G+, 2x7.5kg∣15KG</t>
  </si>
  <si>
    <t>煙熏鴨胸</t>
  </si>
  <si>
    <t>鴨舌</t>
  </si>
  <si>
    <t>鴨肝</t>
  </si>
  <si>
    <t>鴨胗</t>
  </si>
  <si>
    <t>鴨心</t>
  </si>
  <si>
    <t>華英全淨膛鴨|15.2KG (1.9KG/只)</t>
  </si>
  <si>
    <t>外國羊肉</t>
  </si>
  <si>
    <t>山羊</t>
  </si>
  <si>
    <t>華英全淨膛鴨|14.4KG (2.4KG/只)</t>
  </si>
  <si>
    <t>山東全淨膛鴨|14.4KG (1.8KG/只)</t>
  </si>
  <si>
    <t>外國凍菜</t>
  </si>
  <si>
    <t>凍甘筍</t>
  </si>
  <si>
    <t>山東全淨膛鴨|10.4KG (1.3KG/只)</t>
  </si>
  <si>
    <t>預製菜</t>
  </si>
  <si>
    <t>終端凍品</t>
  </si>
  <si>
    <t>麵點類.水餃雲吞餛飩</t>
  </si>
  <si>
    <t>急凍面點</t>
  </si>
  <si>
    <t>丸類</t>
  </si>
  <si>
    <t>丸類.牛肉丸</t>
  </si>
  <si>
    <t>預製</t>
  </si>
  <si>
    <t>預製菜類.豬肉類</t>
  </si>
  <si>
    <t>加熱即食</t>
  </si>
  <si>
    <t>預製菜類.雞肉類</t>
  </si>
  <si>
    <t>山東帶骨鴨腿|10KG（240-260G/只）</t>
  </si>
  <si>
    <t>預製菜類.鴨肉類</t>
  </si>
  <si>
    <t>預製菜類.小食類</t>
  </si>
  <si>
    <t>預製菜類.樣品</t>
  </si>
  <si>
    <t>預製菜類.牛肉類</t>
  </si>
  <si>
    <t>山東IQF鴨胸肉|10KG(1K*10)</t>
  </si>
  <si>
    <t>預製菜類.湯煲類</t>
  </si>
  <si>
    <t>華英IQF鴨小胸|10KG(1K*10)</t>
  </si>
  <si>
    <t>凍肉</t>
  </si>
  <si>
    <t>凍肉加工品.中國羊肉</t>
  </si>
  <si>
    <t>凍肉加工品.中國牛肉</t>
  </si>
  <si>
    <t>山東煙熏鴨胸肉|10KG (240-260G/塊)日文包裝</t>
  </si>
  <si>
    <t>腸類</t>
  </si>
  <si>
    <t>腸類.雞肉腸</t>
  </si>
  <si>
    <t>乳製品</t>
  </si>
  <si>
    <t>乳製品.芝士</t>
  </si>
  <si>
    <t>零食罐頭</t>
  </si>
  <si>
    <t>凍海產品</t>
  </si>
  <si>
    <t>河南華英凍鴨肝|10KG</t>
  </si>
  <si>
    <t>凍海產品.魚類</t>
  </si>
  <si>
    <t>急凍水產</t>
  </si>
  <si>
    <t>河南華英凍鴨腎|10KG</t>
  </si>
  <si>
    <t>乾海產類</t>
  </si>
  <si>
    <t>河南華英凍鴨心|10KG</t>
  </si>
  <si>
    <t>乾海產類.其他</t>
  </si>
  <si>
    <r>
      <rPr>
        <sz val="10.5"/>
        <color rgb="FF000000"/>
        <rFont val="MingLiU"/>
        <charset val="136"/>
      </rPr>
      <t>八合里牛肉丸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零售裝</t>
    </r>
    <r>
      <rPr>
        <sz val="10.5"/>
        <color rgb="FF000000"/>
        <rFont val="Calibri"/>
        <charset val="134"/>
      </rPr>
      <t>)</t>
    </r>
  </si>
  <si>
    <t>其他冷凍即食類</t>
  </si>
  <si>
    <r>
      <rPr>
        <sz val="10.5"/>
        <color rgb="FF000000"/>
        <rFont val="MingLiU"/>
        <charset val="136"/>
      </rPr>
      <t>八合里牛筋丸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零售裝</t>
    </r>
    <r>
      <rPr>
        <sz val="10.5"/>
        <color rgb="FF000000"/>
        <rFont val="Calibri"/>
        <charset val="134"/>
      </rPr>
      <t>)</t>
    </r>
  </si>
  <si>
    <t>1310902</t>
  </si>
  <si>
    <t>其他冷凍即食類.即食海產類</t>
  </si>
  <si>
    <r>
      <rPr>
        <sz val="10.5"/>
        <color rgb="FF000000"/>
        <rFont val="MingLiU"/>
        <charset val="136"/>
      </rPr>
      <t>八合里黑椒牛筋丸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零售裝</t>
    </r>
    <r>
      <rPr>
        <sz val="10.5"/>
        <color rgb="FF000000"/>
        <rFont val="Calibri"/>
        <charset val="134"/>
      </rPr>
      <t>)</t>
    </r>
  </si>
  <si>
    <t>水產</t>
  </si>
  <si>
    <t>魚</t>
  </si>
  <si>
    <r>
      <rPr>
        <sz val="10.5"/>
        <color rgb="FF000000"/>
        <rFont val="MingLiU"/>
        <charset val="136"/>
      </rPr>
      <t>八合里牛肉丸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業務裝</t>
    </r>
    <r>
      <rPr>
        <sz val="10.5"/>
        <color rgb="FF000000"/>
        <rFont val="Calibri"/>
        <charset val="134"/>
      </rPr>
      <t>)</t>
    </r>
  </si>
  <si>
    <t>魚.鯰魚柳</t>
  </si>
  <si>
    <r>
      <rPr>
        <sz val="10.5"/>
        <color rgb="FF000000"/>
        <rFont val="MingLiU"/>
        <charset val="136"/>
      </rPr>
      <t>八合里牛筋丸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業務裝</t>
    </r>
    <r>
      <rPr>
        <sz val="10.5"/>
        <color rgb="FF000000"/>
        <rFont val="Calibri"/>
        <charset val="134"/>
      </rPr>
      <t>)</t>
    </r>
  </si>
  <si>
    <t>魚.其他</t>
  </si>
  <si>
    <r>
      <rPr>
        <sz val="10.5"/>
        <color rgb="FF000000"/>
        <rFont val="MingLiU"/>
        <charset val="136"/>
      </rPr>
      <t>八合里黑椒牛筋丸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業務裝</t>
    </r>
    <r>
      <rPr>
        <sz val="10.5"/>
        <color rgb="FF000000"/>
        <rFont val="Calibri"/>
        <charset val="134"/>
      </rPr>
      <t>)</t>
    </r>
  </si>
  <si>
    <t>蝦</t>
  </si>
  <si>
    <t>一號私廚藤椒雞扒 | 2kg(100g*20)</t>
  </si>
  <si>
    <t>蝦.蝦肉</t>
  </si>
  <si>
    <t>一號私廚廣式豬肚雞煲 | 13kg(650g*20)</t>
  </si>
  <si>
    <t>軟體.墨魚</t>
  </si>
  <si>
    <t>叮叮懶人菜金湯酸菜魚| 13.5kg(袋裝，450g*30)</t>
  </si>
  <si>
    <t>叮叮懶人菜貴州酸湯魚| 10.8kg(袋裝，360g*30)</t>
  </si>
  <si>
    <t>叮叮懶人菜青花椒酸菜魚| 12kg(袋裝，500g*24)</t>
  </si>
  <si>
    <t>阿拉斯加野生三文魚柳（PINK）| 6kg(300g*20)</t>
  </si>
  <si>
    <t>阿拉斯加野生狹鱈魚柳（帶皮）| 6kg(300g*20)</t>
  </si>
  <si>
    <t>挪威三文魚柳4件裝（帶皮）|8KG (400g /包，20包/箱)</t>
  </si>
  <si>
    <t>挪威煙燻三文魚100g裝|5KG (100g*50包/箱)</t>
  </si>
  <si>
    <t>挪威煙燻三文魚400g裝|7.2KG (400g*18包/箱)</t>
  </si>
  <si>
    <t>冷凍即食遼參禮包 | 8KG(400g*20)</t>
  </si>
  <si>
    <t>凍秋葵|10KG(2KG*5)</t>
  </si>
  <si>
    <t>凍南瓜塊|10KG(2KG*5)</t>
  </si>
  <si>
    <t>凍青刀豆|10KG(2KG*5)</t>
  </si>
  <si>
    <t>凍粟米段|10KG(2KG*5)</t>
  </si>
  <si>
    <t>凍蓮藕片3-5MM|10KG(2KG*5)</t>
  </si>
  <si>
    <t>凍綠豆角|10KG(2KG*5)</t>
  </si>
  <si>
    <t>凍雜菜粒|10KG(1KG*10)</t>
  </si>
  <si>
    <t>越南Dai Thanh鯰魚柳|10KG(170-220克/塊),IQF–A(啡盒)</t>
  </si>
  <si>
    <t>越南Dai Thanh鯰魚柳|10KG(220-300克/塊),IQF–A(啡盒)</t>
  </si>
  <si>
    <t>越南Dai Thanh鯰魚柳|10KG(300-400克/塊),IQF–A(啡盒)</t>
  </si>
  <si>
    <t>越南Dai Thanh鯰魚柳|10KG(120-170克/塊),IQF–C(啡盒)</t>
  </si>
  <si>
    <t>越南Dai Thanh鯰魚柳|10KG(170-220克/塊),IQF–C(啡盒)</t>
  </si>
  <si>
    <t>越南Dai Thanh鯰魚柳|10KG(220-300克/塊),IQF–C(啡盒)</t>
  </si>
  <si>
    <t>越南Dai Thanh鯰魚柳|10KG(300-400克/塊),IQF–C(啡盒)</t>
  </si>
  <si>
    <t>越南Dai Thanh鯰魚柳|10KG(120-170克/塊),IQF–D</t>
  </si>
  <si>
    <t>越南Dai Thanh鯰魚柳|10KG(400克+/塊),IQF–D</t>
  </si>
  <si>
    <t>PS越南鯰魚柳（DL126）|10KG(170-220克/塊),IQF–C</t>
  </si>
  <si>
    <t>PS越南鯰魚柳（DL126）|10KG(220-300克/塊),IQF–C</t>
  </si>
  <si>
    <t>凍墨魚柳U1-D|12KG（藍帶）</t>
  </si>
  <si>
    <t>中國金鯧魚(300-400G)|10KG(藍帶)</t>
  </si>
  <si>
    <t>凍墨魚柳U1-D|12KG（白帶）</t>
  </si>
  <si>
    <t>凍墨魚頭U1/2-A |12KG(紅帶,塊凍)</t>
  </si>
  <si>
    <t>凍墨魚頭U1-A |12KG (紅帶,塊凍)</t>
  </si>
  <si>
    <t>凍墨魚頭U2/4-A |12KG(紅帶,塊凍)</t>
  </si>
  <si>
    <t>中國金鯧魚(300-350G)|10KG(藍帶)</t>
  </si>
  <si>
    <t>凍墨魚頭U1-B |12KG(紅帶,塊凍)</t>
  </si>
  <si>
    <t>南美養白蝦肉去腸31-40 -BPYC|10.8KG(黃帶)</t>
  </si>
  <si>
    <t>南美養白蝦肉去腸51-60 -BPYC|10.8KG(黃帶)</t>
  </si>
  <si>
    <t>南美養白蝦肉去腸71-90 -BPYC|10.8KG(黃帶)</t>
  </si>
  <si>
    <t>南美養白蝦肉去腸21-25 -BPXD|10.8KG(藍帶)</t>
  </si>
  <si>
    <t>南美養白蝦肉去腸71-90 -BPXD|10.8KG(藍帶)</t>
  </si>
  <si>
    <t>南美養白蝦肉去腸21-25 -BPZB|10.8KG(紅帶)</t>
  </si>
  <si>
    <t>南美養白蝦肉去腸31-40 -BPWE|10.8KG(綠帶)</t>
  </si>
  <si>
    <t>南美養白蝦肉去腸71-90 -BPWE|10.8KG(綠帶)</t>
  </si>
  <si>
    <t>冷凍熟蝦21/25|10KG(蓝帶，5KG*2盒/箱)</t>
  </si>
  <si>
    <t>冷凍熟蝦16/20|10KG(蓝帶，5KG*2盒/箱)</t>
  </si>
  <si>
    <t>冷凍熟蝦26/30|10KG(蓝帶，5KG*2盒/箱)</t>
  </si>
  <si>
    <t>冷凍熟蝦21/25|10KG(黃帶，5KG*2盒/箱)</t>
  </si>
  <si>
    <t>全清墨魚|15KG(白帶，5-6隻/箱)</t>
  </si>
  <si>
    <t>遼寧盛佳康帶骨雞全腿 300-320G|15KG</t>
  </si>
  <si>
    <t>遼寧盛佳康帶皮上腿肉|12KG</t>
  </si>
  <si>
    <t>遼寧盛佳康帶皮腿扒|15KG (300克+/塊)</t>
  </si>
  <si>
    <t>巴西 Frimesa 輝煌豬梅肉|20KG</t>
  </si>
  <si>
    <t>巴西 PIF PAF 豬梅肉|20KG</t>
  </si>
  <si>
    <t>巴西Pif Paf帶骨豬腩∣13.6KG</t>
  </si>
  <si>
    <t>巴西Sadia豬頸骨∣10KG</t>
  </si>
  <si>
    <t>巴西 Frigon 牛冧|20KG(抄碼)</t>
  </si>
  <si>
    <t>巴西PUL牛腩∣22KG(抄碼)</t>
  </si>
  <si>
    <t>巴西GJ 金展 |14KG(抄碼)</t>
  </si>
  <si>
    <t>遼寧欣城帶骨雞全腿 180-200G|15KG</t>
  </si>
  <si>
    <t>遼寧欣城IQF雞翅中|10KG (50克+/只)</t>
  </si>
  <si>
    <t>遼寧盛佳康IQF雞翅中|10KG (50克+/只)</t>
  </si>
  <si>
    <t>遼寧盛佳康去皮上腿肉|12KG</t>
  </si>
  <si>
    <t>遼寧雞皮|12KG</t>
  </si>
  <si>
    <t>山東全淨膛鴨|12KG (1.5KG/只)</t>
  </si>
  <si>
    <t>山東全淨膛鴨|13.6KG (1.7KG/只)</t>
  </si>
  <si>
    <t>一號私廚黑椒牛仔骨 | 4kg(200g*20)</t>
  </si>
  <si>
    <t>凍粟米粒|10KG(1KG*10)</t>
  </si>
  <si>
    <t>凍蓮藕片8-9MM|10KG(2KG*5)</t>
  </si>
  <si>
    <t>凍枝豆|10KG(2KG*5)</t>
  </si>
  <si>
    <t>越南Dai Thanh鯰魚柳|10KG(170-220克/塊),IQF–D</t>
  </si>
  <si>
    <t>巴西Alegra豬梅肉∣19KG(抄碼)</t>
  </si>
  <si>
    <t>巴西Excelencia豬二肉∣19KG（抄碼）</t>
  </si>
  <si>
    <t>荷蘭 P109 A 級挑骨豬腩|25KG(抄碼)</t>
  </si>
  <si>
    <t>荷蘭P584 A級挑骨豬腩 | 31KG (抄碼)</t>
  </si>
  <si>
    <t>紐西蘭Ovation 網裝羊肩卷肉∣13KG(抄碼)</t>
  </si>
  <si>
    <t>中國三號肉|25KG (9-12條)</t>
  </si>
  <si>
    <t>中國帶骨大排|25KG(5-7條)</t>
  </si>
  <si>
    <t>巴西 Dalia 豬梅肉|22KG(抄碼)</t>
  </si>
  <si>
    <t>波蘭Goodvalley 豬背骨 | 20KG</t>
  </si>
  <si>
    <t>巴西Ecofrigo帶骨豬腩∣20KG(抄碼)</t>
  </si>
  <si>
    <t>波蘭Skiba 片骨腩(有皮) | 21KG(抄碼)</t>
  </si>
  <si>
    <t>巴西 Alibem 豬大腸|18KG</t>
  </si>
  <si>
    <t>波蘭 SKIBA 豬頸骨|10KG</t>
  </si>
  <si>
    <t>巴西 Frigon 牛冧 |21KG(抄碼)</t>
  </si>
  <si>
    <t>巴西 Frialto牛冧∣25KG(抄碼)</t>
  </si>
  <si>
    <t>巴西 Boi Brazil 牛孖筋|25KG(抄碼)</t>
  </si>
  <si>
    <t>巴西PUL牛肋條∣14KG(抄碼)</t>
  </si>
  <si>
    <t>高峰法式小切羊排(厚切) |10KG</t>
  </si>
  <si>
    <t>河南黃油雞1.6-1.7KG |21.5KG(共13只)</t>
  </si>
  <si>
    <t>遼寧嘉士德帶骨雞全腿 220-240G|15KG</t>
  </si>
  <si>
    <t>遼寧嘉士德帶皮上腿肉|12KG</t>
  </si>
  <si>
    <t>遼寧嘉士德小雞胸肉 IQF|10KG</t>
  </si>
  <si>
    <t>巴西 Mana 雞中翼 |15KG</t>
  </si>
  <si>
    <t>巴西Sadia雞翼尖∣12KG</t>
  </si>
  <si>
    <t>河南華英凍鴨舌|10KG</t>
  </si>
  <si>
    <t>一號私廚手抓扇子骨 | 4.96kg(248g*20)</t>
  </si>
  <si>
    <t>伊美佳原切精品肥牛卷肉|4.54KG(227g*20)</t>
  </si>
  <si>
    <t>伊美佳原切雙拼肥牛卷肉|4.54KG(454g*10)</t>
  </si>
  <si>
    <t>挪威三文魚扒(2片裝)|7KG (350g/包，20包/箱)</t>
  </si>
  <si>
    <t>凍毛豆|10KG(2KG*5)</t>
  </si>
  <si>
    <t>越南Dai Thanh鯰魚柳|10KG(400克+/塊),IQF–C(啡盒)</t>
  </si>
  <si>
    <t>越南Dai Thanh鯰魚柳|10KG(220-300克/塊),IQF–D</t>
  </si>
  <si>
    <t>凍墨魚頭U1/2-A |12KG(白帶,有皮餅裝,6*2k)</t>
  </si>
  <si>
    <t>凍墨魚頭U1-A |12KG(白帶,有皮餅裝,6*2k))</t>
  </si>
  <si>
    <t>南美養白蝦肉去腸90-120 -BPWE|10.8KG(綠帶)</t>
  </si>
  <si>
    <t>中國三號肉|25KG (9-13條)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</si>
</sst>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.0000"/>
    <numFmt numFmtId="177" formatCode="#.00"/>
    <numFmt numFmtId="178" formatCode="yyyy\-mm\-dd"/>
    <numFmt numFmtId="179" formatCode="yyyy\-mm\-dd\ hh:mm:ss"/>
    <numFmt numFmtId="180" formatCode="#0"/>
    <numFmt numFmtId="181" formatCode="0.0000"/>
  </numFmts>
  <fonts count="29">
    <font>
      <sz val="11"/>
      <color indexed="8"/>
      <name val="宋体"/>
      <charset val="134"/>
      <scheme val="minor"/>
    </font>
    <font>
      <b/>
      <sz val="10.5"/>
      <color rgb="FF000000"/>
      <name val="宋体"/>
      <charset val="134"/>
    </font>
    <font>
      <b/>
      <sz val="15"/>
      <color indexed="8"/>
      <name val="SimSun"/>
      <charset val="134"/>
    </font>
    <font>
      <sz val="10.5"/>
      <color rgb="FF000000"/>
      <name val="Calibri"/>
      <charset val="134"/>
    </font>
    <font>
      <sz val="12"/>
      <color indexed="8"/>
      <name val="SimSun"/>
      <charset val="134"/>
    </font>
    <font>
      <sz val="10"/>
      <name val="SimSun"/>
      <charset val="134"/>
    </font>
    <font>
      <b/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MingLiU"/>
      <charset val="136"/>
    </font>
  </fonts>
  <fills count="38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3" borderId="12" applyNumberFormat="0" applyAlignment="0" applyProtection="0">
      <alignment vertical="center"/>
    </xf>
    <xf numFmtId="0" fontId="19" fillId="3" borderId="11" applyNumberFormat="0" applyAlignment="0" applyProtection="0">
      <alignment vertical="center"/>
    </xf>
    <xf numFmtId="0" fontId="20" fillId="10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6">
    <xf numFmtId="0" fontId="0" fillId="0" borderId="0" xfId="0" applyFont="1">
      <alignment vertical="center"/>
    </xf>
    <xf numFmtId="0" fontId="0" fillId="0" borderId="0" xfId="49" applyFont="1" applyFill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2" fillId="3" borderId="2" xfId="49" applyFont="1" applyFill="1" applyBorder="1" applyAlignment="1">
      <alignment horizontal="center" vertical="center"/>
    </xf>
    <xf numFmtId="0" fontId="3" fillId="4" borderId="3" xfId="49" applyFont="1" applyFill="1" applyBorder="1" applyAlignment="1">
      <alignment vertical="top"/>
    </xf>
    <xf numFmtId="0" fontId="4" fillId="3" borderId="2" xfId="49" applyFont="1" applyFill="1" applyBorder="1" applyAlignment="1">
      <alignment horizontal="center" vertical="center"/>
    </xf>
    <xf numFmtId="49" fontId="0" fillId="0" borderId="0" xfId="49" applyNumberFormat="1" applyFont="1" applyFill="1" applyAlignment="1">
      <alignment vertical="center" wrapText="1"/>
    </xf>
    <xf numFmtId="0" fontId="3" fillId="4" borderId="3" xfId="0" applyFont="1" applyFill="1" applyBorder="1" applyAlignment="1">
      <alignment vertical="top"/>
    </xf>
    <xf numFmtId="2" fontId="0" fillId="0" borderId="0" xfId="49" applyNumberFormat="1" applyFont="1" applyFill="1" applyAlignment="1"/>
    <xf numFmtId="49" fontId="0" fillId="0" borderId="0" xfId="49" applyNumberFormat="1" applyFont="1" applyFill="1" applyAlignment="1"/>
    <xf numFmtId="49" fontId="5" fillId="0" borderId="0" xfId="49" applyNumberFormat="1" applyFont="1" applyFill="1" applyAlignment="1"/>
    <xf numFmtId="0" fontId="0" fillId="0" borderId="0" xfId="49">
      <alignment vertical="center"/>
    </xf>
    <xf numFmtId="0" fontId="6" fillId="5" borderId="4" xfId="49" applyFont="1" applyFill="1" applyBorder="1" applyAlignment="1">
      <alignment vertical="center"/>
    </xf>
    <xf numFmtId="0" fontId="6" fillId="5" borderId="5" xfId="49" applyFont="1" applyFill="1" applyBorder="1" applyAlignment="1">
      <alignment vertical="center"/>
    </xf>
    <xf numFmtId="0" fontId="7" fillId="0" borderId="6" xfId="49" applyFont="1" applyBorder="1" applyAlignment="1">
      <alignment horizontal="center" vertical="center"/>
    </xf>
    <xf numFmtId="0" fontId="4" fillId="6" borderId="2" xfId="49" applyFont="1" applyFill="1" applyBorder="1" applyAlignment="1">
      <alignment horizontal="center" vertical="center"/>
    </xf>
    <xf numFmtId="0" fontId="7" fillId="0" borderId="7" xfId="49" applyFont="1" applyBorder="1" applyAlignment="1">
      <alignment horizontal="center" vertical="center"/>
    </xf>
    <xf numFmtId="49" fontId="5" fillId="0" borderId="0" xfId="49" applyNumberFormat="1" applyFont="1" applyAlignment="1"/>
    <xf numFmtId="49" fontId="0" fillId="0" borderId="0" xfId="49" applyNumberFormat="1" applyAlignment="1"/>
    <xf numFmtId="49" fontId="5" fillId="0" borderId="0" xfId="0" applyNumberFormat="1" applyFont="1" applyFill="1" applyAlignment="1"/>
    <xf numFmtId="0" fontId="0" fillId="0" borderId="0" xfId="49" applyFont="1">
      <alignment vertical="center"/>
    </xf>
    <xf numFmtId="49" fontId="5" fillId="0" borderId="0" xfId="0" applyNumberFormat="1" applyFont="1" applyAlignment="1"/>
    <xf numFmtId="49" fontId="0" fillId="0" borderId="0" xfId="0" applyNumberFormat="1" applyFont="1" applyAlignment="1"/>
    <xf numFmtId="2" fontId="0" fillId="0" borderId="0" xfId="0" applyNumberFormat="1" applyFont="1" applyAlignment="1"/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76" fontId="5" fillId="0" borderId="0" xfId="0" applyNumberFormat="1" applyFont="1" applyAlignment="1"/>
    <xf numFmtId="177" fontId="5" fillId="0" borderId="0" xfId="0" applyNumberFormat="1" applyFont="1" applyAlignment="1"/>
    <xf numFmtId="178" fontId="5" fillId="0" borderId="0" xfId="0" applyNumberFormat="1" applyFont="1" applyAlignment="1"/>
    <xf numFmtId="179" fontId="5" fillId="0" borderId="0" xfId="0" applyNumberFormat="1" applyFont="1" applyAlignment="1"/>
    <xf numFmtId="180" fontId="5" fillId="0" borderId="0" xfId="0" applyNumberFormat="1" applyFont="1" applyAlignment="1"/>
    <xf numFmtId="181" fontId="5" fillId="0" borderId="0" xfId="0" applyNumberFormat="1" applyFont="1" applyAlignment="1"/>
    <xf numFmtId="2" fontId="5" fillId="0" borderId="0" xfId="0" applyNumberFormat="1" applyFont="1" applyAlignment="1"/>
    <xf numFmtId="0" fontId="5" fillId="7" borderId="2" xfId="0" applyFont="1" applyFill="1" applyBorder="1" applyAlignment="1">
      <alignment horizontal="right"/>
    </xf>
    <xf numFmtId="176" fontId="5" fillId="7" borderId="2" xfId="0" applyNumberFormat="1" applyFont="1" applyFill="1" applyBorder="1" applyAlignment="1">
      <alignment horizontal="right"/>
    </xf>
    <xf numFmtId="177" fontId="5" fillId="7" borderId="2" xfId="0" applyNumberFormat="1" applyFont="1" applyFill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52"/>
  <sheetViews>
    <sheetView tabSelected="1" topLeftCell="I2" workbookViewId="0">
      <selection activeCell="Y9" sqref="Y9"/>
    </sheetView>
  </sheetViews>
  <sheetFormatPr defaultColWidth="18" defaultRowHeight="18" customHeight="1"/>
  <cols>
    <col min="1" max="8" width="17" style="22"/>
    <col min="9" max="10" width="17" style="23"/>
    <col min="11" max="11" width="17" style="22"/>
    <col min="12" max="12" width="17" style="23"/>
    <col min="13" max="16" width="17" style="22"/>
    <col min="17" max="18" width="19" style="22" customWidth="1"/>
    <col min="19" max="21" width="17" style="22"/>
    <col min="22" max="22" width="19" style="22" customWidth="1"/>
  </cols>
  <sheetData>
    <row r="1" hidden="1" customHeight="1" spans="1:27">
      <c r="A1" t="s">
        <v>0</v>
      </c>
      <c r="B1" t="s">
        <v>1</v>
      </c>
      <c r="C1"/>
      <c r="D1" t="s">
        <v>2</v>
      </c>
      <c r="E1"/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ht="26" customHeight="1" spans="1:27">
      <c r="A2" s="24" t="s">
        <v>20</v>
      </c>
      <c r="B2" s="24" t="s">
        <v>21</v>
      </c>
      <c r="C2" s="24" t="s">
        <v>22</v>
      </c>
      <c r="D2" s="24" t="s">
        <v>23</v>
      </c>
      <c r="E2" s="24" t="s">
        <v>24</v>
      </c>
      <c r="F2" s="24" t="s">
        <v>25</v>
      </c>
      <c r="G2" s="24" t="s">
        <v>26</v>
      </c>
      <c r="H2" s="24" t="s">
        <v>27</v>
      </c>
      <c r="I2" s="24" t="s">
        <v>28</v>
      </c>
      <c r="J2" s="24" t="s">
        <v>29</v>
      </c>
      <c r="K2" s="24" t="s">
        <v>30</v>
      </c>
      <c r="L2" s="24" t="s">
        <v>31</v>
      </c>
      <c r="M2" s="24" t="s">
        <v>32</v>
      </c>
      <c r="N2" s="24" t="s">
        <v>33</v>
      </c>
      <c r="O2" s="24" t="s">
        <v>34</v>
      </c>
      <c r="P2" s="24" t="s">
        <v>35</v>
      </c>
      <c r="Q2" s="24" t="s">
        <v>36</v>
      </c>
      <c r="R2" s="24" t="s">
        <v>37</v>
      </c>
      <c r="S2" s="24" t="s">
        <v>38</v>
      </c>
      <c r="T2" s="24" t="s">
        <v>38</v>
      </c>
      <c r="U2" s="24" t="s">
        <v>38</v>
      </c>
      <c r="V2" s="24" t="s">
        <v>37</v>
      </c>
      <c r="W2" s="25" t="s">
        <v>39</v>
      </c>
      <c r="X2" s="25" t="s">
        <v>40</v>
      </c>
      <c r="Y2" s="25" t="s">
        <v>41</v>
      </c>
      <c r="Z2" s="25" t="s">
        <v>42</v>
      </c>
      <c r="AA2" s="25" t="s">
        <v>43</v>
      </c>
    </row>
    <row r="3" customHeight="1" spans="1:27">
      <c r="A3" s="21" t="s">
        <v>44</v>
      </c>
      <c r="B3" s="21" t="s">
        <v>45</v>
      </c>
      <c r="C3" s="21" t="s">
        <v>46</v>
      </c>
      <c r="D3" s="21" t="s">
        <v>47</v>
      </c>
      <c r="E3" s="21" t="s">
        <v>48</v>
      </c>
      <c r="F3" s="21" t="s">
        <v>49</v>
      </c>
      <c r="G3" s="21" t="s">
        <v>50</v>
      </c>
      <c r="H3" s="21" t="s">
        <v>51</v>
      </c>
      <c r="I3" s="26">
        <v>1</v>
      </c>
      <c r="J3" s="26">
        <v>10</v>
      </c>
      <c r="K3" s="21" t="s">
        <v>52</v>
      </c>
      <c r="L3" s="27">
        <v>128</v>
      </c>
      <c r="M3" s="21"/>
      <c r="N3" s="21"/>
      <c r="O3" s="21" t="s">
        <v>53</v>
      </c>
      <c r="P3" s="21" t="s">
        <v>54</v>
      </c>
      <c r="Q3" s="28">
        <v>46223</v>
      </c>
      <c r="R3" s="29">
        <v>46223.4161111111</v>
      </c>
      <c r="S3" s="21" t="s">
        <v>55</v>
      </c>
      <c r="T3" s="21"/>
      <c r="U3" s="21" t="s">
        <v>47</v>
      </c>
      <c r="V3" s="29">
        <v>46223.4160763889</v>
      </c>
      <c r="W3">
        <f>VLOOKUP(H3,物料編碼!A:B,2,0)</f>
        <v>1300624103</v>
      </c>
      <c r="X3">
        <v>1300624</v>
      </c>
      <c r="Y3" t="str">
        <f>VLOOKUP(X3,物料編碼!D:G,4,0)</f>
        <v>琵琶腿</v>
      </c>
      <c r="Z3" t="str">
        <f>VLOOKUP(C3,客戶屬性1!A:C,2,0)</f>
        <v>明记冻肉</v>
      </c>
      <c r="AA3">
        <f>IF(COUNTIF($O$1:O3,O3)=1,L3,0)</f>
        <v>128</v>
      </c>
    </row>
    <row r="4" customHeight="1" spans="1:27">
      <c r="A4" s="21" t="s">
        <v>56</v>
      </c>
      <c r="B4" s="21" t="s">
        <v>45</v>
      </c>
      <c r="C4" s="21" t="s">
        <v>57</v>
      </c>
      <c r="D4" s="21" t="s">
        <v>58</v>
      </c>
      <c r="E4" s="21" t="s">
        <v>59</v>
      </c>
      <c r="F4" s="21" t="s">
        <v>49</v>
      </c>
      <c r="G4" s="21" t="s">
        <v>50</v>
      </c>
      <c r="H4" s="21" t="s">
        <v>60</v>
      </c>
      <c r="I4" s="26">
        <v>20</v>
      </c>
      <c r="J4" s="26">
        <v>500</v>
      </c>
      <c r="K4" s="21" t="s">
        <v>52</v>
      </c>
      <c r="L4" s="27">
        <v>19647.35</v>
      </c>
      <c r="M4" s="21"/>
      <c r="N4" s="21"/>
      <c r="O4" s="21" t="s">
        <v>61</v>
      </c>
      <c r="P4" s="21" t="s">
        <v>54</v>
      </c>
      <c r="Q4" s="28">
        <v>46224</v>
      </c>
      <c r="R4" s="29">
        <v>46223.4120138889</v>
      </c>
      <c r="S4" s="21" t="s">
        <v>62</v>
      </c>
      <c r="T4" s="21"/>
      <c r="U4" s="21" t="s">
        <v>59</v>
      </c>
      <c r="V4" s="29">
        <v>46223.4119560185</v>
      </c>
      <c r="W4">
        <f>VLOOKUP(H4,物料編碼!A:B,2,0)</f>
        <v>1300101043</v>
      </c>
      <c r="X4">
        <v>1300101</v>
      </c>
      <c r="Y4" t="str">
        <f>VLOOKUP(X4,物料編碼!D:G,4,0)</f>
        <v>一號肉</v>
      </c>
      <c r="Z4" t="str">
        <f>VLOOKUP(C4,客戶屬性1!A:C,2,0)</f>
        <v>翎凰冻肉有限公司</v>
      </c>
      <c r="AA4">
        <f>IF(COUNTIF($O$1:O4,O4)=1,L4,0)</f>
        <v>19647.35</v>
      </c>
    </row>
    <row r="5" customHeight="1" spans="1:27">
      <c r="A5" s="21" t="s">
        <v>56</v>
      </c>
      <c r="B5" s="21" t="s">
        <v>45</v>
      </c>
      <c r="C5" s="21" t="s">
        <v>57</v>
      </c>
      <c r="D5" s="21" t="s">
        <v>58</v>
      </c>
      <c r="E5" s="21" t="s">
        <v>59</v>
      </c>
      <c r="F5" s="21" t="s">
        <v>49</v>
      </c>
      <c r="G5" s="21" t="s">
        <v>50</v>
      </c>
      <c r="H5" s="21" t="s">
        <v>63</v>
      </c>
      <c r="I5" s="26">
        <v>3</v>
      </c>
      <c r="J5" s="26">
        <v>75</v>
      </c>
      <c r="K5" s="21" t="s">
        <v>52</v>
      </c>
      <c r="L5" s="27">
        <v>19647.35</v>
      </c>
      <c r="M5" s="21"/>
      <c r="N5" s="21"/>
      <c r="O5" s="21" t="s">
        <v>61</v>
      </c>
      <c r="P5" s="21" t="s">
        <v>54</v>
      </c>
      <c r="Q5" s="28">
        <v>46224</v>
      </c>
      <c r="R5" s="29">
        <v>46223.4120138889</v>
      </c>
      <c r="S5" s="21" t="s">
        <v>62</v>
      </c>
      <c r="T5" s="21"/>
      <c r="U5" s="21" t="s">
        <v>59</v>
      </c>
      <c r="V5" s="29">
        <v>46223.4119560185</v>
      </c>
      <c r="W5">
        <f>VLOOKUP(H5,物料編碼!A:B,2,0)</f>
        <v>1300109002</v>
      </c>
      <c r="X5">
        <v>1300109</v>
      </c>
      <c r="Y5" t="str">
        <f>VLOOKUP(X5,物料編碼!D:G,4,0)</f>
        <v>面精肉</v>
      </c>
      <c r="Z5" t="str">
        <f>VLOOKUP(C5,客戶屬性1!A:C,2,0)</f>
        <v>翎凰冻肉有限公司</v>
      </c>
      <c r="AA5">
        <f>IF(COUNTIF($O$1:O5,O5)=1,L5,0)</f>
        <v>0</v>
      </c>
    </row>
    <row r="6" customHeight="1" spans="1:27">
      <c r="A6" s="21" t="s">
        <v>64</v>
      </c>
      <c r="B6" s="21" t="s">
        <v>45</v>
      </c>
      <c r="C6" s="21" t="s">
        <v>65</v>
      </c>
      <c r="D6" s="21" t="s">
        <v>66</v>
      </c>
      <c r="E6" s="21" t="s">
        <v>67</v>
      </c>
      <c r="F6" s="21" t="s">
        <v>49</v>
      </c>
      <c r="G6" s="21" t="s">
        <v>68</v>
      </c>
      <c r="H6" s="21" t="s">
        <v>60</v>
      </c>
      <c r="I6" s="26">
        <v>10</v>
      </c>
      <c r="J6" s="26">
        <v>250</v>
      </c>
      <c r="K6" s="21" t="s">
        <v>52</v>
      </c>
      <c r="L6" s="27">
        <v>8875</v>
      </c>
      <c r="M6" s="21"/>
      <c r="N6" s="21"/>
      <c r="O6" s="21" t="s">
        <v>69</v>
      </c>
      <c r="P6" s="21" t="s">
        <v>54</v>
      </c>
      <c r="Q6" s="28">
        <v>46223</v>
      </c>
      <c r="R6" s="29">
        <v>46223.3767939815</v>
      </c>
      <c r="S6" s="21" t="s">
        <v>70</v>
      </c>
      <c r="T6" s="21"/>
      <c r="U6" s="21" t="s">
        <v>67</v>
      </c>
      <c r="V6" s="29">
        <v>46223.3767361111</v>
      </c>
      <c r="W6">
        <f>VLOOKUP(H6,物料編碼!A:B,2,0)</f>
        <v>1300101043</v>
      </c>
      <c r="X6">
        <v>1300101</v>
      </c>
      <c r="Y6" t="str">
        <f>VLOOKUP(X6,物料編碼!D:G,4,0)</f>
        <v>一號肉</v>
      </c>
      <c r="Z6" t="str">
        <f>VLOOKUP(C6,客戶屬性1!A:C,2,0)</f>
        <v>万骏贸易公司</v>
      </c>
      <c r="AA6">
        <f>IF(COUNTIF($O$1:O6,O6)=1,L6,0)</f>
        <v>8875</v>
      </c>
    </row>
    <row r="7" customHeight="1" spans="1:27">
      <c r="A7" s="21" t="s">
        <v>71</v>
      </c>
      <c r="B7" s="21" t="s">
        <v>45</v>
      </c>
      <c r="C7" s="21" t="s">
        <v>72</v>
      </c>
      <c r="D7" s="21" t="s">
        <v>73</v>
      </c>
      <c r="E7" s="21" t="s">
        <v>74</v>
      </c>
      <c r="F7" s="21" t="s">
        <v>49</v>
      </c>
      <c r="G7" s="21" t="s">
        <v>50</v>
      </c>
      <c r="H7" s="21" t="s">
        <v>75</v>
      </c>
      <c r="I7" s="26">
        <v>1</v>
      </c>
      <c r="J7" s="26">
        <v>15</v>
      </c>
      <c r="K7" s="21" t="s">
        <v>52</v>
      </c>
      <c r="L7" s="27">
        <v>1962.15</v>
      </c>
      <c r="M7" s="21"/>
      <c r="N7" s="21"/>
      <c r="O7" s="21" t="s">
        <v>76</v>
      </c>
      <c r="P7" s="21" t="s">
        <v>54</v>
      </c>
      <c r="Q7" s="28">
        <v>46223</v>
      </c>
      <c r="R7" s="29">
        <v>46221.4632060185</v>
      </c>
      <c r="S7" s="21" t="s">
        <v>77</v>
      </c>
      <c r="T7" s="21"/>
      <c r="U7" s="21" t="s">
        <v>74</v>
      </c>
      <c r="V7" s="29">
        <v>46221.4631481481</v>
      </c>
      <c r="W7">
        <f>VLOOKUP(H7,物料編碼!A:B,2,0)</f>
        <v>1300603040</v>
      </c>
      <c r="X7">
        <v>1300603</v>
      </c>
      <c r="Y7" t="str">
        <f>VLOOKUP(X7,物料編碼!D:G,4,0)</f>
        <v>帶骨全腿</v>
      </c>
      <c r="Z7" t="str">
        <f>VLOOKUP(C7,客戶屬性1!A:C,2,0)</f>
        <v>恒辉贸易公司</v>
      </c>
      <c r="AA7">
        <f>IF(COUNTIF($O$1:O7,O7)=1,L7,0)</f>
        <v>1962.15</v>
      </c>
    </row>
    <row r="8" customHeight="1" spans="1:27">
      <c r="A8" s="21" t="s">
        <v>71</v>
      </c>
      <c r="B8" s="21" t="s">
        <v>45</v>
      </c>
      <c r="C8" s="21" t="s">
        <v>72</v>
      </c>
      <c r="D8" s="21" t="s">
        <v>73</v>
      </c>
      <c r="E8" s="21" t="s">
        <v>74</v>
      </c>
      <c r="F8" s="21" t="s">
        <v>49</v>
      </c>
      <c r="G8" s="21" t="s">
        <v>50</v>
      </c>
      <c r="H8" s="21" t="s">
        <v>78</v>
      </c>
      <c r="I8" s="26">
        <v>8</v>
      </c>
      <c r="J8" s="26">
        <v>120</v>
      </c>
      <c r="K8" s="21" t="s">
        <v>52</v>
      </c>
      <c r="L8" s="27">
        <v>1962.15</v>
      </c>
      <c r="M8" s="21"/>
      <c r="N8" s="21"/>
      <c r="O8" s="21" t="s">
        <v>76</v>
      </c>
      <c r="P8" s="21" t="s">
        <v>54</v>
      </c>
      <c r="Q8" s="28">
        <v>46223</v>
      </c>
      <c r="R8" s="29">
        <v>46221.4632060185</v>
      </c>
      <c r="S8" s="21" t="s">
        <v>77</v>
      </c>
      <c r="T8" s="21"/>
      <c r="U8" s="21" t="s">
        <v>74</v>
      </c>
      <c r="V8" s="29">
        <v>46221.4631481481</v>
      </c>
      <c r="W8">
        <f>VLOOKUP(H8,物料編碼!A:B,2,0)</f>
        <v>1300607014</v>
      </c>
      <c r="X8">
        <v>1300607</v>
      </c>
      <c r="Y8" t="str">
        <f>VLOOKUP(X8,物料編碼!D:G,4,0)</f>
        <v>帶皮腿扒</v>
      </c>
      <c r="Z8" t="str">
        <f>VLOOKUP(C8,客戶屬性1!A:C,2,0)</f>
        <v>恒辉贸易公司</v>
      </c>
      <c r="AA8">
        <f>IF(COUNTIF($O$1:O8,O8)=1,L8,0)</f>
        <v>0</v>
      </c>
    </row>
    <row r="9" customHeight="1" spans="1:27">
      <c r="A9" s="21" t="s">
        <v>79</v>
      </c>
      <c r="B9" s="21" t="s">
        <v>45</v>
      </c>
      <c r="C9" s="21" t="s">
        <v>72</v>
      </c>
      <c r="D9" s="21" t="s">
        <v>73</v>
      </c>
      <c r="E9" s="21" t="s">
        <v>74</v>
      </c>
      <c r="F9" s="21" t="s">
        <v>49</v>
      </c>
      <c r="G9" s="21" t="s">
        <v>50</v>
      </c>
      <c r="H9" s="21" t="s">
        <v>63</v>
      </c>
      <c r="I9" s="26">
        <v>5</v>
      </c>
      <c r="J9" s="26">
        <v>125</v>
      </c>
      <c r="K9" s="21" t="s">
        <v>52</v>
      </c>
      <c r="L9" s="27">
        <v>4091.5</v>
      </c>
      <c r="M9" s="21"/>
      <c r="N9" s="21"/>
      <c r="O9" s="21" t="s">
        <v>80</v>
      </c>
      <c r="P9" s="21" t="s">
        <v>54</v>
      </c>
      <c r="Q9" s="28">
        <v>46223</v>
      </c>
      <c r="R9" s="29">
        <v>46221.4532407407</v>
      </c>
      <c r="S9" s="21" t="s">
        <v>81</v>
      </c>
      <c r="T9" s="21"/>
      <c r="U9" s="21" t="s">
        <v>82</v>
      </c>
      <c r="V9" s="29">
        <v>46221.4531828704</v>
      </c>
      <c r="W9">
        <f>VLOOKUP(H9,物料編碼!A:B,2,0)</f>
        <v>1300109002</v>
      </c>
      <c r="X9">
        <v>1300109</v>
      </c>
      <c r="Y9" t="str">
        <f>VLOOKUP(X9,物料編碼!D:G,4,0)</f>
        <v>面精肉</v>
      </c>
      <c r="Z9" t="str">
        <f>VLOOKUP(C9,客戶屬性1!A:C,2,0)</f>
        <v>恒辉贸易公司</v>
      </c>
      <c r="AA9">
        <f>IF(COUNTIF($O$1:O9,O9)=1,L9,0)</f>
        <v>4091.5</v>
      </c>
    </row>
    <row r="10" customHeight="1" spans="1:27">
      <c r="A10" s="21" t="s">
        <v>83</v>
      </c>
      <c r="B10" s="21" t="s">
        <v>45</v>
      </c>
      <c r="C10" s="21" t="s">
        <v>46</v>
      </c>
      <c r="D10" s="21" t="s">
        <v>47</v>
      </c>
      <c r="E10" s="21" t="s">
        <v>48</v>
      </c>
      <c r="F10" s="21" t="s">
        <v>49</v>
      </c>
      <c r="G10" s="21" t="s">
        <v>50</v>
      </c>
      <c r="H10" s="21" t="s">
        <v>51</v>
      </c>
      <c r="I10" s="26">
        <v>1</v>
      </c>
      <c r="J10" s="26">
        <v>10</v>
      </c>
      <c r="K10" s="21" t="s">
        <v>52</v>
      </c>
      <c r="L10" s="27">
        <v>128</v>
      </c>
      <c r="M10" s="21"/>
      <c r="N10" s="21"/>
      <c r="O10" s="21" t="s">
        <v>84</v>
      </c>
      <c r="P10" s="21" t="s">
        <v>54</v>
      </c>
      <c r="Q10" s="28">
        <v>46221</v>
      </c>
      <c r="R10" s="29">
        <v>46221.4307060185</v>
      </c>
      <c r="S10" s="21" t="s">
        <v>55</v>
      </c>
      <c r="T10" s="21"/>
      <c r="U10" s="21" t="s">
        <v>47</v>
      </c>
      <c r="V10" s="29">
        <v>46221.4306597222</v>
      </c>
      <c r="W10">
        <f>VLOOKUP(H10,物料編碼!A:B,2,0)</f>
        <v>1300624103</v>
      </c>
      <c r="X10">
        <v>1300624</v>
      </c>
      <c r="Y10" t="str">
        <f>VLOOKUP(X10,物料編碼!D:G,4,0)</f>
        <v>琵琶腿</v>
      </c>
      <c r="Z10" t="str">
        <f>VLOOKUP(C10,客戶屬性1!A:C,2,0)</f>
        <v>明记冻肉</v>
      </c>
      <c r="AA10">
        <f>IF(COUNTIF($O$1:O10,O10)=1,L10,0)</f>
        <v>128</v>
      </c>
    </row>
    <row r="11" customHeight="1" spans="1:27">
      <c r="A11" s="21" t="s">
        <v>85</v>
      </c>
      <c r="B11" s="21" t="s">
        <v>45</v>
      </c>
      <c r="C11" s="21" t="s">
        <v>86</v>
      </c>
      <c r="D11" s="21" t="s">
        <v>87</v>
      </c>
      <c r="E11" s="21" t="s">
        <v>88</v>
      </c>
      <c r="F11" s="21" t="s">
        <v>49</v>
      </c>
      <c r="G11" s="21" t="s">
        <v>89</v>
      </c>
      <c r="H11" s="21" t="s">
        <v>63</v>
      </c>
      <c r="I11" s="26">
        <v>4</v>
      </c>
      <c r="J11" s="26">
        <v>100</v>
      </c>
      <c r="K11" s="21" t="s">
        <v>52</v>
      </c>
      <c r="L11" s="27">
        <v>3273.2</v>
      </c>
      <c r="M11" s="21"/>
      <c r="N11" s="21"/>
      <c r="O11" s="21" t="s">
        <v>90</v>
      </c>
      <c r="P11" s="21" t="s">
        <v>54</v>
      </c>
      <c r="Q11" s="28">
        <v>46223</v>
      </c>
      <c r="R11" s="29">
        <v>46221.4255671296</v>
      </c>
      <c r="S11" s="21" t="s">
        <v>91</v>
      </c>
      <c r="T11" s="21"/>
      <c r="U11" s="21" t="s">
        <v>88</v>
      </c>
      <c r="V11" s="29">
        <v>46221.4255208333</v>
      </c>
      <c r="W11">
        <f>VLOOKUP(H11,物料編碼!A:B,2,0)</f>
        <v>1300109002</v>
      </c>
      <c r="X11">
        <v>1300109</v>
      </c>
      <c r="Y11" t="str">
        <f>VLOOKUP(X11,物料編碼!D:G,4,0)</f>
        <v>面精肉</v>
      </c>
      <c r="Z11" t="str">
        <f>VLOOKUP(C11,客戶屬性1!A:C,2,0)</f>
        <v>新城发食品有限公司</v>
      </c>
      <c r="AA11">
        <f>IF(COUNTIF($O$1:O11,O11)=1,L11,0)</f>
        <v>3273.2</v>
      </c>
    </row>
    <row r="12" customHeight="1" spans="1:27">
      <c r="A12" s="21" t="s">
        <v>92</v>
      </c>
      <c r="B12" s="21" t="s">
        <v>45</v>
      </c>
      <c r="C12" s="21" t="s">
        <v>72</v>
      </c>
      <c r="D12" s="21" t="s">
        <v>73</v>
      </c>
      <c r="E12" s="21" t="s">
        <v>74</v>
      </c>
      <c r="F12" s="21" t="s">
        <v>49</v>
      </c>
      <c r="G12" s="21" t="s">
        <v>50</v>
      </c>
      <c r="H12" s="21" t="s">
        <v>93</v>
      </c>
      <c r="I12" s="26">
        <v>1</v>
      </c>
      <c r="J12" s="26">
        <v>10</v>
      </c>
      <c r="K12" s="21" t="s">
        <v>52</v>
      </c>
      <c r="L12" s="27">
        <v>132</v>
      </c>
      <c r="M12" s="21"/>
      <c r="N12" s="21"/>
      <c r="O12" s="21" t="s">
        <v>94</v>
      </c>
      <c r="P12" s="21" t="s">
        <v>95</v>
      </c>
      <c r="Q12" s="28">
        <v>46221</v>
      </c>
      <c r="R12" s="29">
        <v>46221.424212963</v>
      </c>
      <c r="S12" s="21" t="s">
        <v>81</v>
      </c>
      <c r="T12" s="21"/>
      <c r="U12" s="21" t="s">
        <v>82</v>
      </c>
      <c r="V12" s="29">
        <v>46221.4241666667</v>
      </c>
      <c r="W12">
        <f>VLOOKUP(H12,物料編碼!A:B,2,0)</f>
        <v>1300903005</v>
      </c>
      <c r="X12">
        <v>1300903</v>
      </c>
      <c r="Y12" t="str">
        <f>VLOOKUP(X12,物料編碼!D:G,4,0)</f>
        <v>生鴨胸</v>
      </c>
      <c r="Z12" t="str">
        <f>VLOOKUP(C12,客戶屬性1!A:C,2,0)</f>
        <v>恒辉贸易公司</v>
      </c>
      <c r="AA12">
        <f>IF(COUNTIF($O$1:O12,O12)=1,L12,0)</f>
        <v>132</v>
      </c>
    </row>
    <row r="13" customHeight="1" spans="1:27">
      <c r="A13" s="21" t="s">
        <v>96</v>
      </c>
      <c r="B13" s="21" t="s">
        <v>45</v>
      </c>
      <c r="C13" s="21" t="s">
        <v>97</v>
      </c>
      <c r="D13" s="21" t="s">
        <v>98</v>
      </c>
      <c r="E13" s="21" t="s">
        <v>99</v>
      </c>
      <c r="F13" s="21" t="s">
        <v>49</v>
      </c>
      <c r="G13" s="21" t="s">
        <v>100</v>
      </c>
      <c r="H13" s="21" t="s">
        <v>101</v>
      </c>
      <c r="I13" s="26">
        <v>10</v>
      </c>
      <c r="J13" s="26">
        <v>250</v>
      </c>
      <c r="K13" s="21" t="s">
        <v>52</v>
      </c>
      <c r="L13" s="27">
        <v>6790</v>
      </c>
      <c r="M13" s="21"/>
      <c r="N13" s="21"/>
      <c r="O13" s="21" t="s">
        <v>102</v>
      </c>
      <c r="P13" s="21" t="s">
        <v>54</v>
      </c>
      <c r="Q13" s="28">
        <v>46221</v>
      </c>
      <c r="R13" s="29">
        <v>46220.6932986111</v>
      </c>
      <c r="S13" s="21" t="s">
        <v>103</v>
      </c>
      <c r="T13" s="21"/>
      <c r="U13" s="21" t="s">
        <v>99</v>
      </c>
      <c r="V13" s="29">
        <v>46220.6932638889</v>
      </c>
      <c r="W13">
        <f>VLOOKUP(H13,物料編碼!A:B,2,0)</f>
        <v>1300101018</v>
      </c>
      <c r="X13">
        <v>1300101</v>
      </c>
      <c r="Y13" t="str">
        <f>VLOOKUP(X13,物料編碼!D:G,4,0)</f>
        <v>一號肉</v>
      </c>
      <c r="Z13" t="str">
        <f>VLOOKUP(C13,客戶屬性1!A:C,2,0)</f>
        <v>三明有限公司</v>
      </c>
      <c r="AA13">
        <f>IF(COUNTIF($O$1:O13,O13)=1,L13,0)</f>
        <v>6790</v>
      </c>
    </row>
    <row r="14" customHeight="1" spans="1:27">
      <c r="A14" s="21" t="s">
        <v>104</v>
      </c>
      <c r="B14" s="21" t="s">
        <v>45</v>
      </c>
      <c r="C14" s="21" t="s">
        <v>105</v>
      </c>
      <c r="D14" s="21" t="s">
        <v>106</v>
      </c>
      <c r="E14" s="21" t="s">
        <v>107</v>
      </c>
      <c r="F14" s="21" t="s">
        <v>49</v>
      </c>
      <c r="G14" s="21" t="s">
        <v>68</v>
      </c>
      <c r="H14" s="21" t="s">
        <v>60</v>
      </c>
      <c r="I14" s="26">
        <v>6</v>
      </c>
      <c r="J14" s="26">
        <v>150</v>
      </c>
      <c r="K14" s="21" t="s">
        <v>52</v>
      </c>
      <c r="L14" s="27">
        <v>5410.47</v>
      </c>
      <c r="M14" s="21"/>
      <c r="N14" s="21"/>
      <c r="O14" s="21" t="s">
        <v>108</v>
      </c>
      <c r="P14" s="21" t="s">
        <v>54</v>
      </c>
      <c r="Q14" s="28">
        <v>46223</v>
      </c>
      <c r="R14" s="29">
        <v>46220.607037037</v>
      </c>
      <c r="S14" s="21" t="s">
        <v>109</v>
      </c>
      <c r="T14" s="21"/>
      <c r="U14" s="21" t="s">
        <v>110</v>
      </c>
      <c r="V14" s="29">
        <v>46220.6069907407</v>
      </c>
      <c r="W14">
        <f>VLOOKUP(H14,物料編碼!A:B,2,0)</f>
        <v>1300101043</v>
      </c>
      <c r="X14">
        <v>1300101</v>
      </c>
      <c r="Y14" t="str">
        <f>VLOOKUP(X14,物料編碼!D:G,4,0)</f>
        <v>一號肉</v>
      </c>
      <c r="Z14" t="str">
        <f>VLOOKUP(C14,客戶屬性1!A:C,2,0)</f>
        <v>MING KEE</v>
      </c>
      <c r="AA14">
        <f>IF(COUNTIF($O$1:O14,O14)=1,L14,0)</f>
        <v>5410.47</v>
      </c>
    </row>
    <row r="15" customHeight="1" spans="1:27">
      <c r="A15" s="21" t="s">
        <v>104</v>
      </c>
      <c r="B15" s="21" t="s">
        <v>45</v>
      </c>
      <c r="C15" s="21" t="s">
        <v>105</v>
      </c>
      <c r="D15" s="21" t="s">
        <v>106</v>
      </c>
      <c r="E15" s="21" t="s">
        <v>107</v>
      </c>
      <c r="F15" s="21" t="s">
        <v>49</v>
      </c>
      <c r="G15" s="21" t="s">
        <v>68</v>
      </c>
      <c r="H15" s="21" t="s">
        <v>111</v>
      </c>
      <c r="I15" s="26">
        <v>1</v>
      </c>
      <c r="J15" s="27">
        <v>32</v>
      </c>
      <c r="K15" s="21" t="s">
        <v>112</v>
      </c>
      <c r="L15" s="27">
        <v>5410.47</v>
      </c>
      <c r="M15" s="21"/>
      <c r="N15" s="21"/>
      <c r="O15" s="21" t="s">
        <v>108</v>
      </c>
      <c r="P15" s="21" t="s">
        <v>54</v>
      </c>
      <c r="Q15" s="28">
        <v>46223</v>
      </c>
      <c r="R15" s="29">
        <v>46220.607037037</v>
      </c>
      <c r="S15" s="21" t="s">
        <v>109</v>
      </c>
      <c r="T15" s="21"/>
      <c r="U15" s="21" t="s">
        <v>110</v>
      </c>
      <c r="V15" s="29">
        <v>46220.6069907407</v>
      </c>
      <c r="W15">
        <f>VLOOKUP(H15,物料編碼!A:B,2,0)</f>
        <v>1310501001</v>
      </c>
      <c r="X15">
        <v>1310501</v>
      </c>
      <c r="Y15" t="str">
        <f>VLOOKUP(X15,物料編碼!D:G,4,0)</f>
        <v>腸類.雞肉腸</v>
      </c>
      <c r="Z15" t="str">
        <f>VLOOKUP(C15,客戶屬性1!A:C,2,0)</f>
        <v>MING KEE</v>
      </c>
      <c r="AA15">
        <f>IF(COUNTIF($O$1:O15,O15)=1,L15,0)</f>
        <v>0</v>
      </c>
    </row>
    <row r="16" customHeight="1" spans="1:27">
      <c r="A16" s="21" t="s">
        <v>113</v>
      </c>
      <c r="B16" s="21" t="s">
        <v>45</v>
      </c>
      <c r="C16" s="21" t="s">
        <v>114</v>
      </c>
      <c r="D16" s="21" t="s">
        <v>115</v>
      </c>
      <c r="E16" s="21" t="s">
        <v>116</v>
      </c>
      <c r="F16" s="21" t="s">
        <v>49</v>
      </c>
      <c r="G16" s="21" t="s">
        <v>100</v>
      </c>
      <c r="H16" s="21" t="s">
        <v>117</v>
      </c>
      <c r="I16" s="26">
        <v>1</v>
      </c>
      <c r="J16" s="26">
        <v>15</v>
      </c>
      <c r="K16" s="21" t="s">
        <v>52</v>
      </c>
      <c r="L16" s="27">
        <v>221.7</v>
      </c>
      <c r="M16" s="21"/>
      <c r="N16" s="21"/>
      <c r="O16" s="21" t="s">
        <v>118</v>
      </c>
      <c r="P16" s="21" t="s">
        <v>54</v>
      </c>
      <c r="Q16" s="28">
        <v>46221</v>
      </c>
      <c r="R16" s="29">
        <v>46220.5490509259</v>
      </c>
      <c r="S16" s="21" t="s">
        <v>119</v>
      </c>
      <c r="T16" s="21"/>
      <c r="U16" s="21" t="s">
        <v>115</v>
      </c>
      <c r="V16" s="29">
        <v>46220.5490046296</v>
      </c>
      <c r="W16">
        <f>VLOOKUP(H16,物料編碼!A:B,2,0)</f>
        <v>1300607015</v>
      </c>
      <c r="X16">
        <v>1300607</v>
      </c>
      <c r="Y16" t="str">
        <f>VLOOKUP(X16,物料編碼!D:G,4,0)</f>
        <v>帶皮腿扒</v>
      </c>
      <c r="Z16" t="str">
        <f>VLOOKUP(C16,客戶屬性1!A:C,2,0)</f>
        <v>骏利贸易公司</v>
      </c>
      <c r="AA16">
        <f>IF(COUNTIF($O$1:O16,O16)=1,L16,0)</f>
        <v>221.7</v>
      </c>
    </row>
    <row r="17" customHeight="1" spans="1:27">
      <c r="A17" s="21" t="s">
        <v>120</v>
      </c>
      <c r="B17" s="21" t="s">
        <v>45</v>
      </c>
      <c r="C17" s="21" t="s">
        <v>114</v>
      </c>
      <c r="D17" s="21" t="s">
        <v>115</v>
      </c>
      <c r="E17" s="21" t="s">
        <v>116</v>
      </c>
      <c r="F17" s="21" t="s">
        <v>49</v>
      </c>
      <c r="G17" s="21" t="s">
        <v>100</v>
      </c>
      <c r="H17" s="21" t="s">
        <v>121</v>
      </c>
      <c r="I17" s="26">
        <v>1</v>
      </c>
      <c r="J17" s="26">
        <v>20</v>
      </c>
      <c r="K17" s="21" t="s">
        <v>52</v>
      </c>
      <c r="L17" s="27">
        <v>490</v>
      </c>
      <c r="M17" s="21"/>
      <c r="N17" s="21"/>
      <c r="O17" s="21" t="s">
        <v>122</v>
      </c>
      <c r="P17" s="21" t="s">
        <v>54</v>
      </c>
      <c r="Q17" s="28">
        <v>46221</v>
      </c>
      <c r="R17" s="29">
        <v>46220.5480671296</v>
      </c>
      <c r="S17" s="21" t="s">
        <v>119</v>
      </c>
      <c r="T17" s="21"/>
      <c r="U17" s="21" t="s">
        <v>115</v>
      </c>
      <c r="V17" s="29">
        <v>46220.5480208333</v>
      </c>
      <c r="W17">
        <f>VLOOKUP(H17,物料編碼!A:B,2,0)</f>
        <v>1300114011</v>
      </c>
      <c r="X17">
        <v>1300114</v>
      </c>
      <c r="Y17" t="str">
        <f>VLOOKUP(X17,物料編碼!D:G,4,0)</f>
        <v>熟食</v>
      </c>
      <c r="Z17" t="str">
        <f>VLOOKUP(C17,客戶屬性1!A:C,2,0)</f>
        <v>骏利贸易公司</v>
      </c>
      <c r="AA17">
        <f>IF(COUNTIF($O$1:O17,O17)=1,L17,0)</f>
        <v>490</v>
      </c>
    </row>
    <row r="18" customHeight="1" spans="1:27">
      <c r="A18" s="21" t="s">
        <v>123</v>
      </c>
      <c r="B18" s="21" t="s">
        <v>45</v>
      </c>
      <c r="C18" s="21" t="s">
        <v>97</v>
      </c>
      <c r="D18" s="21" t="s">
        <v>98</v>
      </c>
      <c r="E18" s="21" t="s">
        <v>99</v>
      </c>
      <c r="F18" s="21" t="s">
        <v>49</v>
      </c>
      <c r="G18" s="21" t="s">
        <v>100</v>
      </c>
      <c r="H18" s="21" t="s">
        <v>63</v>
      </c>
      <c r="I18" s="26">
        <v>8</v>
      </c>
      <c r="J18" s="26">
        <v>200</v>
      </c>
      <c r="K18" s="21" t="s">
        <v>52</v>
      </c>
      <c r="L18" s="27">
        <v>6479.6</v>
      </c>
      <c r="M18" s="21"/>
      <c r="N18" s="21"/>
      <c r="O18" s="21" t="s">
        <v>124</v>
      </c>
      <c r="P18" s="21" t="s">
        <v>54</v>
      </c>
      <c r="Q18" s="28">
        <v>46221</v>
      </c>
      <c r="R18" s="29">
        <v>46220.49875</v>
      </c>
      <c r="S18" s="21" t="s">
        <v>103</v>
      </c>
      <c r="T18" s="21"/>
      <c r="U18" s="21" t="s">
        <v>99</v>
      </c>
      <c r="V18" s="29">
        <v>46220.4987037037</v>
      </c>
      <c r="W18">
        <f>VLOOKUP(H18,物料編碼!A:B,2,0)</f>
        <v>1300109002</v>
      </c>
      <c r="X18">
        <v>1300109</v>
      </c>
      <c r="Y18" t="str">
        <f>VLOOKUP(X18,物料編碼!D:G,4,0)</f>
        <v>面精肉</v>
      </c>
      <c r="Z18" t="str">
        <f>VLOOKUP(C18,客戶屬性1!A:C,2,0)</f>
        <v>三明有限公司</v>
      </c>
      <c r="AA18">
        <f>IF(COUNTIF($O$1:O18,O18)=1,L18,0)</f>
        <v>6479.6</v>
      </c>
    </row>
    <row r="19" customHeight="1" spans="1:27">
      <c r="A19" s="21" t="s">
        <v>125</v>
      </c>
      <c r="B19" s="21" t="s">
        <v>45</v>
      </c>
      <c r="C19" s="21" t="s">
        <v>126</v>
      </c>
      <c r="D19" s="21" t="s">
        <v>127</v>
      </c>
      <c r="E19" s="21" t="s">
        <v>128</v>
      </c>
      <c r="F19" s="21" t="s">
        <v>49</v>
      </c>
      <c r="G19" s="21" t="s">
        <v>129</v>
      </c>
      <c r="H19" s="21" t="s">
        <v>117</v>
      </c>
      <c r="I19" s="26">
        <v>10</v>
      </c>
      <c r="J19" s="26">
        <v>150</v>
      </c>
      <c r="K19" s="21" t="s">
        <v>52</v>
      </c>
      <c r="L19" s="27">
        <v>2217</v>
      </c>
      <c r="M19" s="21"/>
      <c r="N19" s="21"/>
      <c r="O19" s="21" t="s">
        <v>130</v>
      </c>
      <c r="P19" s="21" t="s">
        <v>54</v>
      </c>
      <c r="Q19" s="28">
        <v>46220</v>
      </c>
      <c r="R19" s="29">
        <v>46220.491724537</v>
      </c>
      <c r="S19" s="21" t="s">
        <v>131</v>
      </c>
      <c r="T19" s="21"/>
      <c r="U19" s="21" t="s">
        <v>127</v>
      </c>
      <c r="V19" s="29">
        <v>46220.4916782407</v>
      </c>
      <c r="W19">
        <f>VLOOKUP(H19,物料編碼!A:B,2,0)</f>
        <v>1300607015</v>
      </c>
      <c r="X19">
        <v>1300607</v>
      </c>
      <c r="Y19" t="str">
        <f>VLOOKUP(X19,物料編碼!D:G,4,0)</f>
        <v>帶皮腿扒</v>
      </c>
      <c r="Z19" t="str">
        <f>VLOOKUP(C19,客戶屬性1!A:C,2,0)</f>
        <v>福源食品有限公司</v>
      </c>
      <c r="AA19">
        <f>IF(COUNTIF($O$1:O19,O19)=1,L19,0)</f>
        <v>2217</v>
      </c>
    </row>
    <row r="20" customHeight="1" spans="1:27">
      <c r="A20" s="21" t="s">
        <v>132</v>
      </c>
      <c r="B20" s="21" t="s">
        <v>45</v>
      </c>
      <c r="C20" s="21" t="s">
        <v>133</v>
      </c>
      <c r="D20" s="21" t="s">
        <v>134</v>
      </c>
      <c r="E20" s="21" t="s">
        <v>135</v>
      </c>
      <c r="F20" s="21" t="s">
        <v>49</v>
      </c>
      <c r="G20" s="21" t="s">
        <v>136</v>
      </c>
      <c r="H20" s="21" t="s">
        <v>137</v>
      </c>
      <c r="I20" s="26">
        <v>4</v>
      </c>
      <c r="J20" s="26">
        <v>72</v>
      </c>
      <c r="K20" s="21" t="s">
        <v>52</v>
      </c>
      <c r="L20" s="27">
        <v>5726.88</v>
      </c>
      <c r="M20" s="21"/>
      <c r="N20" s="21"/>
      <c r="O20" s="21" t="s">
        <v>138</v>
      </c>
      <c r="P20" s="21" t="s">
        <v>54</v>
      </c>
      <c r="Q20" s="28">
        <v>46220</v>
      </c>
      <c r="R20" s="29">
        <v>46220.4826736111</v>
      </c>
      <c r="S20" s="21" t="s">
        <v>139</v>
      </c>
      <c r="T20" s="21"/>
      <c r="U20" s="21" t="s">
        <v>134</v>
      </c>
      <c r="V20" s="29">
        <v>46220.4826273148</v>
      </c>
      <c r="W20">
        <f>VLOOKUP(H20,物料編碼!A:B,2,0)</f>
        <v>1300503009</v>
      </c>
      <c r="X20">
        <v>1300503</v>
      </c>
      <c r="Y20" t="str">
        <f>VLOOKUP(X20,物料編碼!D:G,4,0)</f>
        <v>羊肩卷肉</v>
      </c>
      <c r="Z20" t="str">
        <f>VLOOKUP(C20,客戶屬性1!A:C,2,0)</f>
        <v>恒昌冻肉食品有限公司</v>
      </c>
      <c r="AA20">
        <f>IF(COUNTIF($O$1:O20,O20)=1,L20,0)</f>
        <v>5726.88</v>
      </c>
    </row>
    <row r="21" customHeight="1" spans="1:27">
      <c r="A21" s="21" t="s">
        <v>140</v>
      </c>
      <c r="B21" s="21" t="s">
        <v>45</v>
      </c>
      <c r="C21" s="21" t="s">
        <v>141</v>
      </c>
      <c r="D21" s="21" t="s">
        <v>142</v>
      </c>
      <c r="E21" s="21" t="s">
        <v>142</v>
      </c>
      <c r="F21" s="21" t="s">
        <v>143</v>
      </c>
      <c r="G21" s="21" t="s">
        <v>100</v>
      </c>
      <c r="H21" s="21" t="s">
        <v>60</v>
      </c>
      <c r="I21" s="26">
        <v>1</v>
      </c>
      <c r="J21" s="26">
        <v>25</v>
      </c>
      <c r="K21" s="21" t="s">
        <v>52</v>
      </c>
      <c r="L21" s="27">
        <v>1920.82</v>
      </c>
      <c r="M21" s="21"/>
      <c r="N21" s="21"/>
      <c r="O21" s="21" t="s">
        <v>144</v>
      </c>
      <c r="P21" s="21" t="s">
        <v>54</v>
      </c>
      <c r="Q21" s="28">
        <v>46223</v>
      </c>
      <c r="R21" s="29">
        <v>46220.4783101852</v>
      </c>
      <c r="S21" s="21" t="s">
        <v>145</v>
      </c>
      <c r="T21" s="21"/>
      <c r="U21" s="21" t="s">
        <v>142</v>
      </c>
      <c r="V21" s="29">
        <v>46220.4782638889</v>
      </c>
      <c r="W21">
        <f>VLOOKUP(H21,物料編碼!A:B,2,0)</f>
        <v>1300101043</v>
      </c>
      <c r="X21">
        <v>1300101</v>
      </c>
      <c r="Y21" t="str">
        <f>VLOOKUP(X21,物料編碼!D:G,4,0)</f>
        <v>一號肉</v>
      </c>
      <c r="Z21" t="str">
        <f>VLOOKUP(C21,客戶屬性1!A:C,2,0)</f>
        <v>新昌冻肉</v>
      </c>
      <c r="AA21">
        <f>IF(COUNTIF($O$1:O21,O21)=1,L21,0)</f>
        <v>1920.82</v>
      </c>
    </row>
    <row r="22" customHeight="1" spans="1:27">
      <c r="A22" s="21" t="s">
        <v>140</v>
      </c>
      <c r="B22" s="21" t="s">
        <v>45</v>
      </c>
      <c r="C22" s="21" t="s">
        <v>141</v>
      </c>
      <c r="D22" s="21" t="s">
        <v>142</v>
      </c>
      <c r="E22" s="21" t="s">
        <v>142</v>
      </c>
      <c r="F22" s="21" t="s">
        <v>143</v>
      </c>
      <c r="G22" s="21" t="s">
        <v>100</v>
      </c>
      <c r="H22" s="21" t="s">
        <v>146</v>
      </c>
      <c r="I22" s="26">
        <v>2</v>
      </c>
      <c r="J22" s="26">
        <v>30</v>
      </c>
      <c r="K22" s="21" t="s">
        <v>52</v>
      </c>
      <c r="L22" s="27">
        <v>1920.82</v>
      </c>
      <c r="M22" s="21"/>
      <c r="N22" s="21"/>
      <c r="O22" s="21" t="s">
        <v>144</v>
      </c>
      <c r="P22" s="21" t="s">
        <v>54</v>
      </c>
      <c r="Q22" s="28">
        <v>46223</v>
      </c>
      <c r="R22" s="29">
        <v>46220.4783101852</v>
      </c>
      <c r="S22" s="21" t="s">
        <v>145</v>
      </c>
      <c r="T22" s="21"/>
      <c r="U22" s="21" t="s">
        <v>142</v>
      </c>
      <c r="V22" s="29">
        <v>46220.4782638889</v>
      </c>
      <c r="W22">
        <f>VLOOKUP(H22,物料編碼!A:B,2,0)</f>
        <v>1300603041</v>
      </c>
      <c r="X22">
        <v>1300603</v>
      </c>
      <c r="Y22" t="str">
        <f>VLOOKUP(X22,物料編碼!D:G,4,0)</f>
        <v>帶骨全腿</v>
      </c>
      <c r="Z22" t="str">
        <f>VLOOKUP(C22,客戶屬性1!A:C,2,0)</f>
        <v>新昌冻肉</v>
      </c>
      <c r="AA22">
        <f>IF(COUNTIF($O$1:O22,O22)=1,L22,0)</f>
        <v>0</v>
      </c>
    </row>
    <row r="23" customHeight="1" spans="1:27">
      <c r="A23" s="21" t="s">
        <v>140</v>
      </c>
      <c r="B23" s="21" t="s">
        <v>45</v>
      </c>
      <c r="C23" s="21" t="s">
        <v>141</v>
      </c>
      <c r="D23" s="21" t="s">
        <v>142</v>
      </c>
      <c r="E23" s="21" t="s">
        <v>142</v>
      </c>
      <c r="F23" s="21" t="s">
        <v>143</v>
      </c>
      <c r="G23" s="21" t="s">
        <v>100</v>
      </c>
      <c r="H23" s="21" t="s">
        <v>117</v>
      </c>
      <c r="I23" s="26">
        <v>3</v>
      </c>
      <c r="J23" s="26">
        <v>45</v>
      </c>
      <c r="K23" s="21" t="s">
        <v>52</v>
      </c>
      <c r="L23" s="27">
        <v>1920.82</v>
      </c>
      <c r="M23" s="21"/>
      <c r="N23" s="21"/>
      <c r="O23" s="21" t="s">
        <v>144</v>
      </c>
      <c r="P23" s="21" t="s">
        <v>54</v>
      </c>
      <c r="Q23" s="28">
        <v>46223</v>
      </c>
      <c r="R23" s="29">
        <v>46220.4783101852</v>
      </c>
      <c r="S23" s="21" t="s">
        <v>145</v>
      </c>
      <c r="T23" s="21"/>
      <c r="U23" s="21" t="s">
        <v>142</v>
      </c>
      <c r="V23" s="29">
        <v>46220.4782638889</v>
      </c>
      <c r="W23">
        <f>VLOOKUP(H23,物料編碼!A:B,2,0)</f>
        <v>1300607015</v>
      </c>
      <c r="X23">
        <v>1300607</v>
      </c>
      <c r="Y23" t="str">
        <f>VLOOKUP(X23,物料編碼!D:G,4,0)</f>
        <v>帶皮腿扒</v>
      </c>
      <c r="Z23" t="str">
        <f>VLOOKUP(C23,客戶屬性1!A:C,2,0)</f>
        <v>新昌冻肉</v>
      </c>
      <c r="AA23">
        <f>IF(COUNTIF($O$1:O23,O23)=1,L23,0)</f>
        <v>0</v>
      </c>
    </row>
    <row r="24" customHeight="1" spans="1:27">
      <c r="A24" s="21" t="s">
        <v>147</v>
      </c>
      <c r="B24" s="21" t="s">
        <v>45</v>
      </c>
      <c r="C24" s="21" t="s">
        <v>141</v>
      </c>
      <c r="D24" s="21" t="s">
        <v>142</v>
      </c>
      <c r="E24" s="21" t="s">
        <v>142</v>
      </c>
      <c r="F24" s="21" t="s">
        <v>143</v>
      </c>
      <c r="G24" s="21" t="s">
        <v>100</v>
      </c>
      <c r="H24" s="21" t="s">
        <v>60</v>
      </c>
      <c r="I24" s="26">
        <v>1</v>
      </c>
      <c r="J24" s="26">
        <v>25</v>
      </c>
      <c r="K24" s="21" t="s">
        <v>52</v>
      </c>
      <c r="L24" s="27">
        <v>2484.86</v>
      </c>
      <c r="M24" s="21"/>
      <c r="N24" s="21"/>
      <c r="O24" s="21" t="s">
        <v>148</v>
      </c>
      <c r="P24" s="21" t="s">
        <v>54</v>
      </c>
      <c r="Q24" s="28">
        <v>46221</v>
      </c>
      <c r="R24" s="29">
        <v>46220.4764930556</v>
      </c>
      <c r="S24" s="21" t="s">
        <v>145</v>
      </c>
      <c r="T24" s="21"/>
      <c r="U24" s="21" t="s">
        <v>142</v>
      </c>
      <c r="V24" s="29">
        <v>46220.4764467593</v>
      </c>
      <c r="W24">
        <f>VLOOKUP(H24,物料編碼!A:B,2,0)</f>
        <v>1300101043</v>
      </c>
      <c r="X24">
        <v>1300101</v>
      </c>
      <c r="Y24" t="str">
        <f>VLOOKUP(X24,物料編碼!D:G,4,0)</f>
        <v>一號肉</v>
      </c>
      <c r="Z24" t="str">
        <f>VLOOKUP(C24,客戶屬性1!A:C,2,0)</f>
        <v>新昌冻肉</v>
      </c>
      <c r="AA24">
        <f>IF(COUNTIF($O$1:O24,O24)=1,L24,0)</f>
        <v>2484.86</v>
      </c>
    </row>
    <row r="25" customHeight="1" spans="1:27">
      <c r="A25" s="21" t="s">
        <v>147</v>
      </c>
      <c r="B25" s="21" t="s">
        <v>45</v>
      </c>
      <c r="C25" s="21" t="s">
        <v>141</v>
      </c>
      <c r="D25" s="21" t="s">
        <v>142</v>
      </c>
      <c r="E25" s="21" t="s">
        <v>142</v>
      </c>
      <c r="F25" s="21" t="s">
        <v>143</v>
      </c>
      <c r="G25" s="21" t="s">
        <v>100</v>
      </c>
      <c r="H25" s="21" t="s">
        <v>63</v>
      </c>
      <c r="I25" s="26">
        <v>1</v>
      </c>
      <c r="J25" s="26">
        <v>25</v>
      </c>
      <c r="K25" s="21" t="s">
        <v>52</v>
      </c>
      <c r="L25" s="27">
        <v>2484.86</v>
      </c>
      <c r="M25" s="21"/>
      <c r="N25" s="21"/>
      <c r="O25" s="21" t="s">
        <v>148</v>
      </c>
      <c r="P25" s="21" t="s">
        <v>54</v>
      </c>
      <c r="Q25" s="28">
        <v>46221</v>
      </c>
      <c r="R25" s="29">
        <v>46220.4764930556</v>
      </c>
      <c r="S25" s="21" t="s">
        <v>145</v>
      </c>
      <c r="T25" s="21"/>
      <c r="U25" s="21" t="s">
        <v>142</v>
      </c>
      <c r="V25" s="29">
        <v>46220.4764467593</v>
      </c>
      <c r="W25">
        <f>VLOOKUP(H25,物料編碼!A:B,2,0)</f>
        <v>1300109002</v>
      </c>
      <c r="X25">
        <v>1300109</v>
      </c>
      <c r="Y25" t="str">
        <f>VLOOKUP(X25,物料編碼!D:G,4,0)</f>
        <v>面精肉</v>
      </c>
      <c r="Z25" t="str">
        <f>VLOOKUP(C25,客戶屬性1!A:C,2,0)</f>
        <v>新昌冻肉</v>
      </c>
      <c r="AA25">
        <f>IF(COUNTIF($O$1:O25,O25)=1,L25,0)</f>
        <v>0</v>
      </c>
    </row>
    <row r="26" customHeight="1" spans="1:27">
      <c r="A26" s="21" t="s">
        <v>147</v>
      </c>
      <c r="B26" s="21" t="s">
        <v>45</v>
      </c>
      <c r="C26" s="21" t="s">
        <v>141</v>
      </c>
      <c r="D26" s="21" t="s">
        <v>142</v>
      </c>
      <c r="E26" s="21" t="s">
        <v>142</v>
      </c>
      <c r="F26" s="21" t="s">
        <v>143</v>
      </c>
      <c r="G26" s="21" t="s">
        <v>100</v>
      </c>
      <c r="H26" s="21" t="s">
        <v>149</v>
      </c>
      <c r="I26" s="26">
        <v>1</v>
      </c>
      <c r="J26" s="26">
        <v>12.8</v>
      </c>
      <c r="K26" s="21" t="s">
        <v>52</v>
      </c>
      <c r="L26" s="27">
        <v>2484.86</v>
      </c>
      <c r="M26" s="21"/>
      <c r="N26" s="21"/>
      <c r="O26" s="21" t="s">
        <v>148</v>
      </c>
      <c r="P26" s="21" t="s">
        <v>54</v>
      </c>
      <c r="Q26" s="28">
        <v>46221</v>
      </c>
      <c r="R26" s="29">
        <v>46220.4764930556</v>
      </c>
      <c r="S26" s="21" t="s">
        <v>145</v>
      </c>
      <c r="T26" s="21"/>
      <c r="U26" s="21" t="s">
        <v>142</v>
      </c>
      <c r="V26" s="29">
        <v>46220.4764467593</v>
      </c>
      <c r="W26">
        <f>VLOOKUP(H26,物料編碼!A:B,2,0)</f>
        <v>1300901004</v>
      </c>
      <c r="X26">
        <v>1300901</v>
      </c>
      <c r="Y26" t="str">
        <f>VLOOKUP(X26,物料編碼!D:G,4,0)</f>
        <v>整鴨</v>
      </c>
      <c r="Z26" t="str">
        <f>VLOOKUP(C26,客戶屬性1!A:C,2,0)</f>
        <v>新昌冻肉</v>
      </c>
      <c r="AA26">
        <f>IF(COUNTIF($O$1:O26,O26)=1,L26,0)</f>
        <v>0</v>
      </c>
    </row>
    <row r="27" customHeight="1" spans="1:27">
      <c r="A27" s="21" t="s">
        <v>147</v>
      </c>
      <c r="B27" s="21" t="s">
        <v>45</v>
      </c>
      <c r="C27" s="21" t="s">
        <v>141</v>
      </c>
      <c r="D27" s="21" t="s">
        <v>142</v>
      </c>
      <c r="E27" s="21" t="s">
        <v>142</v>
      </c>
      <c r="F27" s="21" t="s">
        <v>143</v>
      </c>
      <c r="G27" s="21" t="s">
        <v>100</v>
      </c>
      <c r="H27" s="21" t="s">
        <v>117</v>
      </c>
      <c r="I27" s="26">
        <v>3</v>
      </c>
      <c r="J27" s="26">
        <v>45</v>
      </c>
      <c r="K27" s="21" t="s">
        <v>52</v>
      </c>
      <c r="L27" s="27">
        <v>2484.86</v>
      </c>
      <c r="M27" s="21"/>
      <c r="N27" s="21"/>
      <c r="O27" s="21" t="s">
        <v>148</v>
      </c>
      <c r="P27" s="21" t="s">
        <v>54</v>
      </c>
      <c r="Q27" s="28">
        <v>46221</v>
      </c>
      <c r="R27" s="29">
        <v>46220.4764930556</v>
      </c>
      <c r="S27" s="21" t="s">
        <v>145</v>
      </c>
      <c r="T27" s="21"/>
      <c r="U27" s="21" t="s">
        <v>142</v>
      </c>
      <c r="V27" s="29">
        <v>46220.4764467593</v>
      </c>
      <c r="W27">
        <f>VLOOKUP(H27,物料編碼!A:B,2,0)</f>
        <v>1300607015</v>
      </c>
      <c r="X27">
        <v>1300607</v>
      </c>
      <c r="Y27" t="str">
        <f>VLOOKUP(X27,物料編碼!D:G,4,0)</f>
        <v>帶皮腿扒</v>
      </c>
      <c r="Z27" t="str">
        <f>VLOOKUP(C27,客戶屬性1!A:C,2,0)</f>
        <v>新昌冻肉</v>
      </c>
      <c r="AA27">
        <f>IF(COUNTIF($O$1:O27,O27)=1,L27,0)</f>
        <v>0</v>
      </c>
    </row>
    <row r="28" customHeight="1" spans="1:27">
      <c r="A28" s="21" t="s">
        <v>150</v>
      </c>
      <c r="B28" s="21" t="s">
        <v>45</v>
      </c>
      <c r="C28" s="21" t="s">
        <v>151</v>
      </c>
      <c r="D28" s="21" t="s">
        <v>152</v>
      </c>
      <c r="E28" s="21" t="s">
        <v>153</v>
      </c>
      <c r="F28" s="21" t="s">
        <v>49</v>
      </c>
      <c r="G28" s="21" t="s">
        <v>68</v>
      </c>
      <c r="H28" s="21" t="s">
        <v>154</v>
      </c>
      <c r="I28" s="26">
        <v>1</v>
      </c>
      <c r="J28" s="26">
        <v>15</v>
      </c>
      <c r="K28" s="21" t="s">
        <v>52</v>
      </c>
      <c r="L28" s="27">
        <v>234.75</v>
      </c>
      <c r="M28" s="21"/>
      <c r="N28" s="21"/>
      <c r="O28" s="21" t="s">
        <v>155</v>
      </c>
      <c r="P28" s="21" t="s">
        <v>54</v>
      </c>
      <c r="Q28" s="28">
        <v>46223</v>
      </c>
      <c r="R28" s="29">
        <v>46220.4692013889</v>
      </c>
      <c r="S28" s="21" t="s">
        <v>156</v>
      </c>
      <c r="T28" s="21"/>
      <c r="U28" s="21" t="s">
        <v>152</v>
      </c>
      <c r="V28" s="29">
        <v>46220.4691550926</v>
      </c>
      <c r="W28">
        <f>VLOOKUP(H28,物料編碼!A:B,2,0)</f>
        <v>1300603036</v>
      </c>
      <c r="X28">
        <v>1300603</v>
      </c>
      <c r="Y28" t="str">
        <f>VLOOKUP(X28,物料編碼!D:G,4,0)</f>
        <v>帶骨全腿</v>
      </c>
      <c r="Z28" t="str">
        <f>VLOOKUP(C28,客戶屬性1!A:C,2,0)</f>
        <v>信希食品有限公司</v>
      </c>
      <c r="AA28">
        <f>IF(COUNTIF($O$1:O28,O28)=1,L28,0)</f>
        <v>234.75</v>
      </c>
    </row>
    <row r="29" customHeight="1" spans="1:27">
      <c r="A29" s="21" t="s">
        <v>157</v>
      </c>
      <c r="B29" s="21" t="s">
        <v>45</v>
      </c>
      <c r="C29" s="21" t="s">
        <v>158</v>
      </c>
      <c r="D29" s="21" t="s">
        <v>159</v>
      </c>
      <c r="E29" s="21" t="s">
        <v>160</v>
      </c>
      <c r="F29" s="21" t="s">
        <v>49</v>
      </c>
      <c r="G29" s="21" t="s">
        <v>68</v>
      </c>
      <c r="H29" s="21" t="s">
        <v>161</v>
      </c>
      <c r="I29" s="26">
        <v>10</v>
      </c>
      <c r="J29" s="26">
        <v>200</v>
      </c>
      <c r="K29" s="21" t="s">
        <v>52</v>
      </c>
      <c r="L29" s="27">
        <v>18624</v>
      </c>
      <c r="M29" s="21"/>
      <c r="N29" s="21"/>
      <c r="O29" s="21" t="s">
        <v>162</v>
      </c>
      <c r="P29" s="21" t="s">
        <v>54</v>
      </c>
      <c r="Q29" s="28">
        <v>46221</v>
      </c>
      <c r="R29" s="29">
        <v>46220.4508217593</v>
      </c>
      <c r="S29" s="21" t="s">
        <v>163</v>
      </c>
      <c r="T29" s="21"/>
      <c r="U29" s="21" t="s">
        <v>164</v>
      </c>
      <c r="V29" s="29">
        <v>46220.450775463</v>
      </c>
      <c r="W29">
        <f>VLOOKUP(H29,物料編碼!A:B,2,0)</f>
        <v>1300501020</v>
      </c>
      <c r="X29">
        <v>1300501</v>
      </c>
      <c r="Y29" t="str">
        <f>VLOOKUP(X29,物料編碼!D:G,4,0)</f>
        <v>羊排</v>
      </c>
      <c r="Z29" t="str">
        <f>VLOOKUP(C29,客戶屬性1!A:C,2,0)</f>
        <v>先进食品国际有限公司</v>
      </c>
      <c r="AA29">
        <f>IF(COUNTIF($O$1:O29,O29)=1,L29,0)</f>
        <v>18624</v>
      </c>
    </row>
    <row r="30" customHeight="1" spans="1:27">
      <c r="A30" s="21" t="s">
        <v>165</v>
      </c>
      <c r="B30" s="21" t="s">
        <v>45</v>
      </c>
      <c r="C30" s="21" t="s">
        <v>151</v>
      </c>
      <c r="D30" s="21" t="s">
        <v>152</v>
      </c>
      <c r="E30" s="21" t="s">
        <v>153</v>
      </c>
      <c r="F30" s="21" t="s">
        <v>49</v>
      </c>
      <c r="G30" s="21" t="s">
        <v>68</v>
      </c>
      <c r="H30" s="21" t="s">
        <v>154</v>
      </c>
      <c r="I30" s="26">
        <v>1</v>
      </c>
      <c r="J30" s="26">
        <v>15</v>
      </c>
      <c r="K30" s="21" t="s">
        <v>52</v>
      </c>
      <c r="L30" s="27">
        <v>234.75</v>
      </c>
      <c r="M30" s="21"/>
      <c r="N30" s="21"/>
      <c r="O30" s="21" t="s">
        <v>166</v>
      </c>
      <c r="P30" s="21" t="s">
        <v>54</v>
      </c>
      <c r="Q30" s="28">
        <v>46221</v>
      </c>
      <c r="R30" s="29">
        <v>46220.4309953704</v>
      </c>
      <c r="S30" s="21" t="s">
        <v>156</v>
      </c>
      <c r="T30" s="21"/>
      <c r="U30" s="21" t="s">
        <v>152</v>
      </c>
      <c r="V30" s="29">
        <v>46220.4309606481</v>
      </c>
      <c r="W30">
        <f>VLOOKUP(H30,物料編碼!A:B,2,0)</f>
        <v>1300603036</v>
      </c>
      <c r="X30">
        <v>1300603</v>
      </c>
      <c r="Y30" t="str">
        <f>VLOOKUP(X30,物料編碼!D:G,4,0)</f>
        <v>帶骨全腿</v>
      </c>
      <c r="Z30" t="str">
        <f>VLOOKUP(C30,客戶屬性1!A:C,2,0)</f>
        <v>信希食品有限公司</v>
      </c>
      <c r="AA30">
        <f>IF(COUNTIF($O$1:O30,O30)=1,L30,0)</f>
        <v>234.75</v>
      </c>
    </row>
    <row r="31" customHeight="1" spans="1:27">
      <c r="A31" s="21" t="s">
        <v>167</v>
      </c>
      <c r="B31" s="21" t="s">
        <v>45</v>
      </c>
      <c r="C31" s="21" t="s">
        <v>46</v>
      </c>
      <c r="D31" s="21" t="s">
        <v>47</v>
      </c>
      <c r="E31" s="21" t="s">
        <v>48</v>
      </c>
      <c r="F31" s="21" t="s">
        <v>49</v>
      </c>
      <c r="G31" s="21" t="s">
        <v>50</v>
      </c>
      <c r="H31" s="21" t="s">
        <v>168</v>
      </c>
      <c r="I31" s="26">
        <v>1</v>
      </c>
      <c r="J31" s="26">
        <v>10</v>
      </c>
      <c r="K31" s="21" t="s">
        <v>52</v>
      </c>
      <c r="L31" s="27">
        <v>97</v>
      </c>
      <c r="M31" s="21"/>
      <c r="N31" s="21"/>
      <c r="O31" s="21" t="s">
        <v>169</v>
      </c>
      <c r="P31" s="21" t="s">
        <v>54</v>
      </c>
      <c r="Q31" s="28">
        <v>46220</v>
      </c>
      <c r="R31" s="29">
        <v>46220.4309027778</v>
      </c>
      <c r="S31" s="21" t="s">
        <v>55</v>
      </c>
      <c r="T31" s="21"/>
      <c r="U31" s="21" t="s">
        <v>47</v>
      </c>
      <c r="V31" s="29">
        <v>46220.4308449074</v>
      </c>
      <c r="W31">
        <f>VLOOKUP(H31,物料編碼!A:B,2,0)</f>
        <v>1300627002</v>
      </c>
      <c r="X31">
        <v>1300627</v>
      </c>
      <c r="Y31" t="str">
        <f>VLOOKUP(X31,物料編碼!D:G,4,0)</f>
        <v>翅尖</v>
      </c>
      <c r="Z31" t="str">
        <f>VLOOKUP(C31,客戶屬性1!A:C,2,0)</f>
        <v>明记冻肉</v>
      </c>
      <c r="AA31">
        <f>IF(COUNTIF($O$1:O31,O31)=1,L31,0)</f>
        <v>97</v>
      </c>
    </row>
    <row r="32" customHeight="1" spans="1:27">
      <c r="A32" s="21" t="s">
        <v>170</v>
      </c>
      <c r="B32" s="21" t="s">
        <v>45</v>
      </c>
      <c r="C32" s="21" t="s">
        <v>171</v>
      </c>
      <c r="D32" s="21" t="s">
        <v>172</v>
      </c>
      <c r="E32" s="21" t="s">
        <v>173</v>
      </c>
      <c r="F32" s="21" t="s">
        <v>49</v>
      </c>
      <c r="G32" s="21" t="s">
        <v>174</v>
      </c>
      <c r="H32" s="21" t="s">
        <v>175</v>
      </c>
      <c r="I32" s="26">
        <v>15</v>
      </c>
      <c r="J32" s="26">
        <v>375</v>
      </c>
      <c r="K32" s="21" t="s">
        <v>52</v>
      </c>
      <c r="L32" s="27">
        <v>8437.5</v>
      </c>
      <c r="M32" s="21"/>
      <c r="N32" s="21"/>
      <c r="O32" s="21" t="s">
        <v>176</v>
      </c>
      <c r="P32" s="21" t="s">
        <v>54</v>
      </c>
      <c r="Q32" s="28">
        <v>46220</v>
      </c>
      <c r="R32" s="29">
        <v>46220.3985185185</v>
      </c>
      <c r="S32" s="21" t="s">
        <v>177</v>
      </c>
      <c r="T32" s="21"/>
      <c r="U32" s="21" t="s">
        <v>172</v>
      </c>
      <c r="V32" s="29">
        <v>46220.3984606481</v>
      </c>
      <c r="W32">
        <f>VLOOKUP(H32,物料編碼!A:B,2,0)</f>
        <v>1300103041</v>
      </c>
      <c r="X32">
        <v>1300103</v>
      </c>
      <c r="Y32" t="str">
        <f>VLOOKUP(X32,物料編碼!D:G,4,0)</f>
        <v>三號肉</v>
      </c>
      <c r="Z32" t="str">
        <f>VLOOKUP(C32,客戶屬性1!A:C,2,0)</f>
        <v>豪气有限公司</v>
      </c>
      <c r="AA32">
        <f>IF(COUNTIF($O$1:O32,O32)=1,L32,0)</f>
        <v>8437.5</v>
      </c>
    </row>
    <row r="33" customHeight="1" spans="1:27">
      <c r="A33" s="21" t="s">
        <v>178</v>
      </c>
      <c r="B33" s="21" t="s">
        <v>45</v>
      </c>
      <c r="C33" s="21" t="s">
        <v>97</v>
      </c>
      <c r="D33" s="21" t="s">
        <v>98</v>
      </c>
      <c r="E33" s="21" t="s">
        <v>99</v>
      </c>
      <c r="F33" s="21" t="s">
        <v>49</v>
      </c>
      <c r="G33" s="21" t="s">
        <v>100</v>
      </c>
      <c r="H33" s="21" t="s">
        <v>179</v>
      </c>
      <c r="I33" s="26">
        <v>3</v>
      </c>
      <c r="J33" s="26">
        <v>75</v>
      </c>
      <c r="K33" s="21" t="s">
        <v>52</v>
      </c>
      <c r="L33" s="27">
        <v>2435.4</v>
      </c>
      <c r="M33" s="21"/>
      <c r="N33" s="21"/>
      <c r="O33" s="21" t="s">
        <v>180</v>
      </c>
      <c r="P33" s="21" t="s">
        <v>54</v>
      </c>
      <c r="Q33" s="28">
        <v>46220</v>
      </c>
      <c r="R33" s="29">
        <v>46220.386875</v>
      </c>
      <c r="S33" s="21" t="s">
        <v>103</v>
      </c>
      <c r="T33" s="21"/>
      <c r="U33" s="21" t="s">
        <v>99</v>
      </c>
      <c r="V33" s="29">
        <v>46220.3868287037</v>
      </c>
      <c r="W33">
        <f>VLOOKUP(H33,物料編碼!A:B,2,0)</f>
        <v>1300109012</v>
      </c>
      <c r="X33">
        <v>1300109</v>
      </c>
      <c r="Y33" t="str">
        <f>VLOOKUP(X33,物料編碼!D:G,4,0)</f>
        <v>面精肉</v>
      </c>
      <c r="Z33" t="str">
        <f>VLOOKUP(C33,客戶屬性1!A:C,2,0)</f>
        <v>三明有限公司</v>
      </c>
      <c r="AA33">
        <f>IF(COUNTIF($O$1:O33,O33)=1,L33,0)</f>
        <v>2435.4</v>
      </c>
    </row>
    <row r="34" customHeight="1" spans="1:27">
      <c r="A34" s="21" t="s">
        <v>181</v>
      </c>
      <c r="B34" s="21" t="s">
        <v>45</v>
      </c>
      <c r="C34" s="21" t="s">
        <v>171</v>
      </c>
      <c r="D34" s="21" t="s">
        <v>172</v>
      </c>
      <c r="E34" s="21" t="s">
        <v>173</v>
      </c>
      <c r="F34" s="21" t="s">
        <v>49</v>
      </c>
      <c r="G34" s="21" t="s">
        <v>174</v>
      </c>
      <c r="H34" s="21" t="s">
        <v>175</v>
      </c>
      <c r="I34" s="26">
        <v>30</v>
      </c>
      <c r="J34" s="26">
        <v>750</v>
      </c>
      <c r="K34" s="21" t="s">
        <v>52</v>
      </c>
      <c r="L34" s="27">
        <v>16875</v>
      </c>
      <c r="M34" s="21"/>
      <c r="N34" s="21"/>
      <c r="O34" s="21" t="s">
        <v>182</v>
      </c>
      <c r="P34" s="21" t="s">
        <v>183</v>
      </c>
      <c r="Q34" s="28">
        <v>46220</v>
      </c>
      <c r="R34" s="29">
        <v>46220.3659259259</v>
      </c>
      <c r="S34" s="21" t="s">
        <v>177</v>
      </c>
      <c r="T34" s="21"/>
      <c r="U34" s="21" t="s">
        <v>172</v>
      </c>
      <c r="V34" s="29">
        <v>46220.3658680556</v>
      </c>
      <c r="W34">
        <f>VLOOKUP(H34,物料編碼!A:B,2,0)</f>
        <v>1300103041</v>
      </c>
      <c r="X34">
        <v>1300103</v>
      </c>
      <c r="Y34" t="str">
        <f>VLOOKUP(X34,物料編碼!D:G,4,0)</f>
        <v>三號肉</v>
      </c>
      <c r="Z34" t="str">
        <f>VLOOKUP(C34,客戶屬性1!A:C,2,0)</f>
        <v>豪气有限公司</v>
      </c>
      <c r="AA34">
        <f>IF(COUNTIF($O$1:O34,O34)=1,L34,0)</f>
        <v>16875</v>
      </c>
    </row>
    <row r="35" customHeight="1" spans="1:27">
      <c r="A35" s="21" t="s">
        <v>184</v>
      </c>
      <c r="B35" s="21" t="s">
        <v>45</v>
      </c>
      <c r="C35" s="21" t="s">
        <v>114</v>
      </c>
      <c r="D35" s="21" t="s">
        <v>115</v>
      </c>
      <c r="E35" s="21" t="s">
        <v>116</v>
      </c>
      <c r="F35" s="21" t="s">
        <v>49</v>
      </c>
      <c r="G35" s="21" t="s">
        <v>100</v>
      </c>
      <c r="H35" s="21" t="s">
        <v>117</v>
      </c>
      <c r="I35" s="26">
        <v>2</v>
      </c>
      <c r="J35" s="26">
        <v>30</v>
      </c>
      <c r="K35" s="21" t="s">
        <v>52</v>
      </c>
      <c r="L35" s="27">
        <v>443.4</v>
      </c>
      <c r="M35" s="21"/>
      <c r="N35" s="21"/>
      <c r="O35" s="21" t="s">
        <v>185</v>
      </c>
      <c r="P35" s="21" t="s">
        <v>54</v>
      </c>
      <c r="Q35" s="28">
        <v>46220</v>
      </c>
      <c r="R35" s="29">
        <v>46219.5140625</v>
      </c>
      <c r="S35" s="21" t="s">
        <v>119</v>
      </c>
      <c r="T35" s="21"/>
      <c r="U35" s="21" t="s">
        <v>115</v>
      </c>
      <c r="V35" s="29">
        <v>46219.5140162037</v>
      </c>
      <c r="W35">
        <f>VLOOKUP(H35,物料編碼!A:B,2,0)</f>
        <v>1300607015</v>
      </c>
      <c r="X35">
        <v>1300607</v>
      </c>
      <c r="Y35" t="str">
        <f>VLOOKUP(X35,物料編碼!D:G,4,0)</f>
        <v>帶皮腿扒</v>
      </c>
      <c r="Z35" t="str">
        <f>VLOOKUP(C35,客戶屬性1!A:C,2,0)</f>
        <v>骏利贸易公司</v>
      </c>
      <c r="AA35">
        <f>IF(COUNTIF($O$1:O35,O35)=1,L35,0)</f>
        <v>443.4</v>
      </c>
    </row>
    <row r="36" customHeight="1" spans="1:27">
      <c r="A36" s="21" t="s">
        <v>186</v>
      </c>
      <c r="B36" s="21" t="s">
        <v>45</v>
      </c>
      <c r="C36" s="21" t="s">
        <v>187</v>
      </c>
      <c r="D36" s="21" t="s">
        <v>188</v>
      </c>
      <c r="E36" s="21" t="s">
        <v>189</v>
      </c>
      <c r="F36" s="21" t="s">
        <v>49</v>
      </c>
      <c r="G36" s="21" t="s">
        <v>68</v>
      </c>
      <c r="H36" s="21" t="s">
        <v>190</v>
      </c>
      <c r="I36" s="26">
        <v>5</v>
      </c>
      <c r="J36" s="26">
        <v>60</v>
      </c>
      <c r="K36" s="21" t="s">
        <v>52</v>
      </c>
      <c r="L36" s="27">
        <v>942</v>
      </c>
      <c r="M36" s="21"/>
      <c r="N36" s="21"/>
      <c r="O36" s="21" t="s">
        <v>191</v>
      </c>
      <c r="P36" s="21" t="s">
        <v>54</v>
      </c>
      <c r="Q36" s="28">
        <v>46220</v>
      </c>
      <c r="R36" s="29">
        <v>46219.4899768519</v>
      </c>
      <c r="S36" s="21" t="s">
        <v>192</v>
      </c>
      <c r="T36" s="21"/>
      <c r="U36" s="21" t="s">
        <v>193</v>
      </c>
      <c r="V36" s="29">
        <v>46219.4899421296</v>
      </c>
      <c r="W36">
        <f>VLOOKUP(H36,物料編碼!A:B,2,0)</f>
        <v>1300609001</v>
      </c>
      <c r="X36">
        <v>1300609</v>
      </c>
      <c r="Y36" t="str">
        <f>VLOOKUP(X36,物料編碼!D:G,4,0)</f>
        <v>去皮上腿肉</v>
      </c>
      <c r="Z36" t="str">
        <f>VLOOKUP(C36,客戶屬性1!A:C,2,0)</f>
        <v>佳城兴业有限公司/火炭</v>
      </c>
      <c r="AA36">
        <f>IF(COUNTIF($O$1:O36,O36)=1,L36,0)</f>
        <v>942</v>
      </c>
    </row>
    <row r="37" customHeight="1" spans="1:27">
      <c r="A37" s="21" t="s">
        <v>194</v>
      </c>
      <c r="B37" s="21" t="s">
        <v>45</v>
      </c>
      <c r="C37" s="21" t="s">
        <v>141</v>
      </c>
      <c r="D37" s="21" t="s">
        <v>142</v>
      </c>
      <c r="E37" s="21" t="s">
        <v>142</v>
      </c>
      <c r="F37" s="21" t="s">
        <v>143</v>
      </c>
      <c r="G37" s="21" t="s">
        <v>100</v>
      </c>
      <c r="H37" s="21" t="s">
        <v>146</v>
      </c>
      <c r="I37" s="26">
        <v>2</v>
      </c>
      <c r="J37" s="26">
        <v>30</v>
      </c>
      <c r="K37" s="21" t="s">
        <v>52</v>
      </c>
      <c r="L37" s="27">
        <v>1042.2</v>
      </c>
      <c r="M37" s="21"/>
      <c r="N37" s="21"/>
      <c r="O37" s="21" t="s">
        <v>195</v>
      </c>
      <c r="P37" s="21" t="s">
        <v>54</v>
      </c>
      <c r="Q37" s="28">
        <v>46220</v>
      </c>
      <c r="R37" s="29">
        <v>46219.4895949074</v>
      </c>
      <c r="S37" s="21" t="s">
        <v>145</v>
      </c>
      <c r="T37" s="21"/>
      <c r="U37" s="21" t="s">
        <v>142</v>
      </c>
      <c r="V37" s="29">
        <v>46219.4895486111</v>
      </c>
      <c r="W37">
        <f>VLOOKUP(H37,物料編碼!A:B,2,0)</f>
        <v>1300603041</v>
      </c>
      <c r="X37">
        <v>1300603</v>
      </c>
      <c r="Y37" t="str">
        <f>VLOOKUP(X37,物料編碼!D:G,4,0)</f>
        <v>帶骨全腿</v>
      </c>
      <c r="Z37" t="str">
        <f>VLOOKUP(C37,客戶屬性1!A:C,2,0)</f>
        <v>新昌冻肉</v>
      </c>
      <c r="AA37">
        <f>IF(COUNTIF($O$1:O37,O37)=1,L37,0)</f>
        <v>1042.2</v>
      </c>
    </row>
    <row r="38" customHeight="1" spans="1:27">
      <c r="A38" s="21" t="s">
        <v>194</v>
      </c>
      <c r="B38" s="21" t="s">
        <v>45</v>
      </c>
      <c r="C38" s="21" t="s">
        <v>141</v>
      </c>
      <c r="D38" s="21" t="s">
        <v>142</v>
      </c>
      <c r="E38" s="21" t="s">
        <v>142</v>
      </c>
      <c r="F38" s="21" t="s">
        <v>143</v>
      </c>
      <c r="G38" s="21" t="s">
        <v>100</v>
      </c>
      <c r="H38" s="21" t="s">
        <v>117</v>
      </c>
      <c r="I38" s="26">
        <v>3</v>
      </c>
      <c r="J38" s="26">
        <v>45</v>
      </c>
      <c r="K38" s="21" t="s">
        <v>52</v>
      </c>
      <c r="L38" s="27">
        <v>1042.2</v>
      </c>
      <c r="M38" s="21"/>
      <c r="N38" s="21"/>
      <c r="O38" s="21" t="s">
        <v>195</v>
      </c>
      <c r="P38" s="21" t="s">
        <v>54</v>
      </c>
      <c r="Q38" s="28">
        <v>46220</v>
      </c>
      <c r="R38" s="29">
        <v>46219.4895949074</v>
      </c>
      <c r="S38" s="21" t="s">
        <v>145</v>
      </c>
      <c r="T38" s="21"/>
      <c r="U38" s="21" t="s">
        <v>142</v>
      </c>
      <c r="V38" s="29">
        <v>46219.4895486111</v>
      </c>
      <c r="W38">
        <f>VLOOKUP(H38,物料編碼!A:B,2,0)</f>
        <v>1300607015</v>
      </c>
      <c r="X38">
        <v>1300607</v>
      </c>
      <c r="Y38" t="str">
        <f>VLOOKUP(X38,物料編碼!D:G,4,0)</f>
        <v>帶皮腿扒</v>
      </c>
      <c r="Z38" t="str">
        <f>VLOOKUP(C38,客戶屬性1!A:C,2,0)</f>
        <v>新昌冻肉</v>
      </c>
      <c r="AA38">
        <f>IF(COUNTIF($O$1:O38,O38)=1,L38,0)</f>
        <v>0</v>
      </c>
    </row>
    <row r="39" customHeight="1" spans="1:27">
      <c r="A39" s="21" t="s">
        <v>196</v>
      </c>
      <c r="B39" s="21" t="s">
        <v>45</v>
      </c>
      <c r="C39" s="21" t="s">
        <v>197</v>
      </c>
      <c r="D39" s="21" t="s">
        <v>198</v>
      </c>
      <c r="E39" s="21" t="s">
        <v>199</v>
      </c>
      <c r="F39" s="21" t="s">
        <v>49</v>
      </c>
      <c r="G39" s="21" t="s">
        <v>136</v>
      </c>
      <c r="H39" s="21" t="s">
        <v>200</v>
      </c>
      <c r="I39" s="26">
        <v>5</v>
      </c>
      <c r="J39" s="26">
        <v>50</v>
      </c>
      <c r="K39" s="21" t="s">
        <v>52</v>
      </c>
      <c r="L39" s="27">
        <v>5116.75</v>
      </c>
      <c r="M39" s="21"/>
      <c r="N39" s="21"/>
      <c r="O39" s="21" t="s">
        <v>201</v>
      </c>
      <c r="P39" s="21" t="s">
        <v>54</v>
      </c>
      <c r="Q39" s="28">
        <v>46220</v>
      </c>
      <c r="R39" s="29">
        <v>46219.4812847222</v>
      </c>
      <c r="S39" s="21" t="s">
        <v>202</v>
      </c>
      <c r="T39" s="21"/>
      <c r="U39" s="21" t="s">
        <v>203</v>
      </c>
      <c r="V39" s="29">
        <v>46219.4812384259</v>
      </c>
      <c r="W39">
        <f>VLOOKUP(H39,物料編碼!A:B,2,0)</f>
        <v>1300904024</v>
      </c>
      <c r="X39">
        <v>1300904</v>
      </c>
      <c r="Y39" t="str">
        <f>VLOOKUP(X39,物料編碼!D:G,4,0)</f>
        <v>煙熏鴨胸</v>
      </c>
      <c r="Z39" t="str">
        <f>VLOOKUP(C39,客戶屬性1!A:C,2,0)</f>
        <v>信隆(亚洲)有限公司</v>
      </c>
      <c r="AA39">
        <f>IF(COUNTIF($O$1:O39,O39)=1,L39,0)</f>
        <v>5116.75</v>
      </c>
    </row>
    <row r="40" customHeight="1" spans="1:27">
      <c r="A40" s="21" t="s">
        <v>196</v>
      </c>
      <c r="B40" s="21" t="s">
        <v>45</v>
      </c>
      <c r="C40" s="21" t="s">
        <v>197</v>
      </c>
      <c r="D40" s="21" t="s">
        <v>198</v>
      </c>
      <c r="E40" s="21" t="s">
        <v>199</v>
      </c>
      <c r="F40" s="21" t="s">
        <v>49</v>
      </c>
      <c r="G40" s="21" t="s">
        <v>136</v>
      </c>
      <c r="H40" s="21" t="s">
        <v>63</v>
      </c>
      <c r="I40" s="26">
        <v>5</v>
      </c>
      <c r="J40" s="26">
        <v>125</v>
      </c>
      <c r="K40" s="21" t="s">
        <v>52</v>
      </c>
      <c r="L40" s="27">
        <v>5116.75</v>
      </c>
      <c r="M40" s="21"/>
      <c r="N40" s="21"/>
      <c r="O40" s="21" t="s">
        <v>201</v>
      </c>
      <c r="P40" s="21" t="s">
        <v>54</v>
      </c>
      <c r="Q40" s="28">
        <v>46220</v>
      </c>
      <c r="R40" s="29">
        <v>46219.4812847222</v>
      </c>
      <c r="S40" s="21" t="s">
        <v>202</v>
      </c>
      <c r="T40" s="21"/>
      <c r="U40" s="21" t="s">
        <v>203</v>
      </c>
      <c r="V40" s="29">
        <v>46219.4812384259</v>
      </c>
      <c r="W40">
        <f>VLOOKUP(H40,物料編碼!A:B,2,0)</f>
        <v>1300109002</v>
      </c>
      <c r="X40">
        <v>1300109</v>
      </c>
      <c r="Y40" t="str">
        <f>VLOOKUP(X40,物料編碼!D:G,4,0)</f>
        <v>面精肉</v>
      </c>
      <c r="Z40" t="str">
        <f>VLOOKUP(C40,客戶屬性1!A:C,2,0)</f>
        <v>信隆(亚洲)有限公司</v>
      </c>
      <c r="AA40">
        <f>IF(COUNTIF($O$1:O40,O40)=1,L40,0)</f>
        <v>0</v>
      </c>
    </row>
    <row r="41" customHeight="1" spans="1:27">
      <c r="A41" s="21" t="s">
        <v>204</v>
      </c>
      <c r="B41" s="21" t="s">
        <v>45</v>
      </c>
      <c r="C41" s="21" t="s">
        <v>187</v>
      </c>
      <c r="D41" s="21" t="s">
        <v>188</v>
      </c>
      <c r="E41" s="21" t="s">
        <v>189</v>
      </c>
      <c r="F41" s="21" t="s">
        <v>49</v>
      </c>
      <c r="G41" s="21" t="s">
        <v>68</v>
      </c>
      <c r="H41" s="21" t="s">
        <v>205</v>
      </c>
      <c r="I41" s="26">
        <v>3</v>
      </c>
      <c r="J41" s="26">
        <v>33.6</v>
      </c>
      <c r="K41" s="21" t="s">
        <v>52</v>
      </c>
      <c r="L41" s="27">
        <v>352.8</v>
      </c>
      <c r="M41" s="21"/>
      <c r="N41" s="21"/>
      <c r="O41" s="21" t="s">
        <v>206</v>
      </c>
      <c r="P41" s="21" t="s">
        <v>54</v>
      </c>
      <c r="Q41" s="28">
        <v>46220</v>
      </c>
      <c r="R41" s="29">
        <v>46219.4788425926</v>
      </c>
      <c r="S41" s="21" t="s">
        <v>192</v>
      </c>
      <c r="T41" s="21"/>
      <c r="U41" s="21" t="s">
        <v>193</v>
      </c>
      <c r="V41" s="29">
        <v>46219.4787962963</v>
      </c>
      <c r="W41">
        <f>VLOOKUP(H41,物料編碼!A:B,2,0)</f>
        <v>1300901002</v>
      </c>
      <c r="X41">
        <v>1300901</v>
      </c>
      <c r="Y41" t="str">
        <f>VLOOKUP(X41,物料編碼!D:G,4,0)</f>
        <v>整鴨</v>
      </c>
      <c r="Z41" t="str">
        <f>VLOOKUP(C41,客戶屬性1!A:C,2,0)</f>
        <v>佳城兴业有限公司/火炭</v>
      </c>
      <c r="AA41">
        <f>IF(COUNTIF($O$1:O41,O41)=1,L41,0)</f>
        <v>352.8</v>
      </c>
    </row>
    <row r="42" customHeight="1" spans="1:27">
      <c r="A42" s="21" t="s">
        <v>207</v>
      </c>
      <c r="B42" s="21" t="s">
        <v>45</v>
      </c>
      <c r="C42" s="21" t="s">
        <v>72</v>
      </c>
      <c r="D42" s="21" t="s">
        <v>73</v>
      </c>
      <c r="E42" s="21" t="s">
        <v>74</v>
      </c>
      <c r="F42" s="21" t="s">
        <v>49</v>
      </c>
      <c r="G42" s="21" t="s">
        <v>50</v>
      </c>
      <c r="H42" s="21" t="s">
        <v>190</v>
      </c>
      <c r="I42" s="26">
        <v>10</v>
      </c>
      <c r="J42" s="26">
        <v>120</v>
      </c>
      <c r="K42" s="21" t="s">
        <v>52</v>
      </c>
      <c r="L42" s="27">
        <v>1884</v>
      </c>
      <c r="M42" s="21"/>
      <c r="N42" s="21"/>
      <c r="O42" s="21" t="s">
        <v>208</v>
      </c>
      <c r="P42" s="21" t="s">
        <v>54</v>
      </c>
      <c r="Q42" s="28">
        <v>46220</v>
      </c>
      <c r="R42" s="29">
        <v>46219.4766666667</v>
      </c>
      <c r="S42" s="21" t="s">
        <v>77</v>
      </c>
      <c r="T42" s="21"/>
      <c r="U42" s="21" t="s">
        <v>74</v>
      </c>
      <c r="V42" s="29">
        <v>46219.4766203704</v>
      </c>
      <c r="W42">
        <f>VLOOKUP(H42,物料編碼!A:B,2,0)</f>
        <v>1300609001</v>
      </c>
      <c r="X42">
        <v>1300609</v>
      </c>
      <c r="Y42" t="str">
        <f>VLOOKUP(X42,物料編碼!D:G,4,0)</f>
        <v>去皮上腿肉</v>
      </c>
      <c r="Z42" t="str">
        <f>VLOOKUP(C42,客戶屬性1!A:C,2,0)</f>
        <v>恒辉贸易公司</v>
      </c>
      <c r="AA42">
        <f>IF(COUNTIF($O$1:O42,O42)=1,L42,0)</f>
        <v>1884</v>
      </c>
    </row>
    <row r="43" customHeight="1" spans="1:27">
      <c r="A43" s="21" t="s">
        <v>209</v>
      </c>
      <c r="B43" s="21" t="s">
        <v>45</v>
      </c>
      <c r="C43" s="21" t="s">
        <v>86</v>
      </c>
      <c r="D43" s="21" t="s">
        <v>87</v>
      </c>
      <c r="E43" s="21" t="s">
        <v>88</v>
      </c>
      <c r="F43" s="21" t="s">
        <v>49</v>
      </c>
      <c r="G43" s="21" t="s">
        <v>89</v>
      </c>
      <c r="H43" s="21" t="s">
        <v>63</v>
      </c>
      <c r="I43" s="26">
        <v>4</v>
      </c>
      <c r="J43" s="26">
        <v>100</v>
      </c>
      <c r="K43" s="21" t="s">
        <v>52</v>
      </c>
      <c r="L43" s="27">
        <v>4961.55</v>
      </c>
      <c r="M43" s="21"/>
      <c r="N43" s="21"/>
      <c r="O43" s="21" t="s">
        <v>210</v>
      </c>
      <c r="P43" s="21" t="s">
        <v>54</v>
      </c>
      <c r="Q43" s="28">
        <v>46220</v>
      </c>
      <c r="R43" s="29">
        <v>46219.4294328704</v>
      </c>
      <c r="S43" s="21" t="s">
        <v>91</v>
      </c>
      <c r="T43" s="21"/>
      <c r="U43" s="21" t="s">
        <v>88</v>
      </c>
      <c r="V43" s="29">
        <v>46219.429375</v>
      </c>
      <c r="W43">
        <f>VLOOKUP(H43,物料編碼!A:B,2,0)</f>
        <v>1300109002</v>
      </c>
      <c r="X43">
        <v>1300109</v>
      </c>
      <c r="Y43" t="str">
        <f>VLOOKUP(X43,物料編碼!D:G,4,0)</f>
        <v>面精肉</v>
      </c>
      <c r="Z43" t="str">
        <f>VLOOKUP(C43,客戶屬性1!A:C,2,0)</f>
        <v>新城发食品有限公司</v>
      </c>
      <c r="AA43">
        <f>IF(COUNTIF($O$1:O43,O43)=1,L43,0)</f>
        <v>4961.55</v>
      </c>
    </row>
    <row r="44" customHeight="1" spans="1:27">
      <c r="A44" s="21" t="s">
        <v>209</v>
      </c>
      <c r="B44" s="21" t="s">
        <v>45</v>
      </c>
      <c r="C44" s="21" t="s">
        <v>86</v>
      </c>
      <c r="D44" s="21" t="s">
        <v>87</v>
      </c>
      <c r="E44" s="21" t="s">
        <v>88</v>
      </c>
      <c r="F44" s="21" t="s">
        <v>49</v>
      </c>
      <c r="G44" s="21" t="s">
        <v>89</v>
      </c>
      <c r="H44" s="21" t="s">
        <v>60</v>
      </c>
      <c r="I44" s="26">
        <v>2</v>
      </c>
      <c r="J44" s="26">
        <v>50</v>
      </c>
      <c r="K44" s="21" t="s">
        <v>52</v>
      </c>
      <c r="L44" s="27">
        <v>4961.55</v>
      </c>
      <c r="M44" s="21"/>
      <c r="N44" s="21"/>
      <c r="O44" s="21" t="s">
        <v>210</v>
      </c>
      <c r="P44" s="21" t="s">
        <v>54</v>
      </c>
      <c r="Q44" s="28">
        <v>46220</v>
      </c>
      <c r="R44" s="29">
        <v>46219.4294328704</v>
      </c>
      <c r="S44" s="21" t="s">
        <v>91</v>
      </c>
      <c r="T44" s="21"/>
      <c r="U44" s="21" t="s">
        <v>88</v>
      </c>
      <c r="V44" s="29">
        <v>46219.429375</v>
      </c>
      <c r="W44">
        <f>VLOOKUP(H44,物料編碼!A:B,2,0)</f>
        <v>1300101043</v>
      </c>
      <c r="X44">
        <v>1300101</v>
      </c>
      <c r="Y44" t="str">
        <f>VLOOKUP(X44,物料編碼!D:G,4,0)</f>
        <v>一號肉</v>
      </c>
      <c r="Z44" t="str">
        <f>VLOOKUP(C44,客戶屬性1!A:C,2,0)</f>
        <v>新城发食品有限公司</v>
      </c>
      <c r="AA44">
        <f>IF(COUNTIF($O$1:O44,O44)=1,L44,0)</f>
        <v>0</v>
      </c>
    </row>
    <row r="45" customHeight="1" spans="1:27">
      <c r="A45" s="21" t="s">
        <v>211</v>
      </c>
      <c r="B45" s="21" t="s">
        <v>45</v>
      </c>
      <c r="C45" s="21" t="s">
        <v>46</v>
      </c>
      <c r="D45" s="21" t="s">
        <v>47</v>
      </c>
      <c r="E45" s="21" t="s">
        <v>48</v>
      </c>
      <c r="F45" s="21" t="s">
        <v>49</v>
      </c>
      <c r="G45" s="21" t="s">
        <v>50</v>
      </c>
      <c r="H45" s="21" t="s">
        <v>63</v>
      </c>
      <c r="I45" s="26">
        <v>1</v>
      </c>
      <c r="J45" s="26">
        <v>25</v>
      </c>
      <c r="K45" s="21" t="s">
        <v>52</v>
      </c>
      <c r="L45" s="27">
        <v>954.65</v>
      </c>
      <c r="M45" s="21"/>
      <c r="N45" s="21"/>
      <c r="O45" s="21" t="s">
        <v>212</v>
      </c>
      <c r="P45" s="21" t="s">
        <v>54</v>
      </c>
      <c r="Q45" s="28">
        <v>46219</v>
      </c>
      <c r="R45" s="29">
        <v>46219.4192361111</v>
      </c>
      <c r="S45" s="21" t="s">
        <v>55</v>
      </c>
      <c r="T45" s="21"/>
      <c r="U45" s="21" t="s">
        <v>47</v>
      </c>
      <c r="V45" s="29">
        <v>46219.4191898148</v>
      </c>
      <c r="W45">
        <f>VLOOKUP(H45,物料編碼!A:B,2,0)</f>
        <v>1300109002</v>
      </c>
      <c r="X45">
        <v>1300109</v>
      </c>
      <c r="Y45" t="str">
        <f>VLOOKUP(X45,物料編碼!D:G,4,0)</f>
        <v>面精肉</v>
      </c>
      <c r="Z45" t="str">
        <f>VLOOKUP(C45,客戶屬性1!A:C,2,0)</f>
        <v>明记冻肉</v>
      </c>
      <c r="AA45">
        <f>IF(COUNTIF($O$1:O45,O45)=1,L45,0)</f>
        <v>954.65</v>
      </c>
    </row>
    <row r="46" customHeight="1" spans="1:27">
      <c r="A46" s="21" t="s">
        <v>211</v>
      </c>
      <c r="B46" s="21" t="s">
        <v>45</v>
      </c>
      <c r="C46" s="21" t="s">
        <v>46</v>
      </c>
      <c r="D46" s="21" t="s">
        <v>47</v>
      </c>
      <c r="E46" s="21" t="s">
        <v>48</v>
      </c>
      <c r="F46" s="21" t="s">
        <v>49</v>
      </c>
      <c r="G46" s="21" t="s">
        <v>50</v>
      </c>
      <c r="H46" s="21" t="s">
        <v>51</v>
      </c>
      <c r="I46" s="26">
        <v>1</v>
      </c>
      <c r="J46" s="26">
        <v>10</v>
      </c>
      <c r="K46" s="21" t="s">
        <v>52</v>
      </c>
      <c r="L46" s="27">
        <v>954.65</v>
      </c>
      <c r="M46" s="21"/>
      <c r="N46" s="21"/>
      <c r="O46" s="21" t="s">
        <v>212</v>
      </c>
      <c r="P46" s="21" t="s">
        <v>54</v>
      </c>
      <c r="Q46" s="28">
        <v>46219</v>
      </c>
      <c r="R46" s="29">
        <v>46219.4192361111</v>
      </c>
      <c r="S46" s="21" t="s">
        <v>55</v>
      </c>
      <c r="T46" s="21"/>
      <c r="U46" s="21" t="s">
        <v>47</v>
      </c>
      <c r="V46" s="29">
        <v>46219.4191898148</v>
      </c>
      <c r="W46">
        <f>VLOOKUP(H46,物料編碼!A:B,2,0)</f>
        <v>1300624103</v>
      </c>
      <c r="X46">
        <v>1300624</v>
      </c>
      <c r="Y46" t="str">
        <f>VLOOKUP(X46,物料編碼!D:G,4,0)</f>
        <v>琵琶腿</v>
      </c>
      <c r="Z46" t="str">
        <f>VLOOKUP(C46,客戶屬性1!A:C,2,0)</f>
        <v>明记冻肉</v>
      </c>
      <c r="AA46">
        <f>IF(COUNTIF($O$1:O46,O46)=1,L46,0)</f>
        <v>0</v>
      </c>
    </row>
    <row r="47" customHeight="1" spans="1:27">
      <c r="A47" s="21" t="s">
        <v>213</v>
      </c>
      <c r="B47" s="21" t="s">
        <v>45</v>
      </c>
      <c r="C47" s="21" t="s">
        <v>72</v>
      </c>
      <c r="D47" s="21" t="s">
        <v>73</v>
      </c>
      <c r="E47" s="21" t="s">
        <v>74</v>
      </c>
      <c r="F47" s="21" t="s">
        <v>49</v>
      </c>
      <c r="G47" s="21" t="s">
        <v>50</v>
      </c>
      <c r="H47" s="21" t="s">
        <v>75</v>
      </c>
      <c r="I47" s="26">
        <v>1</v>
      </c>
      <c r="J47" s="26">
        <v>15</v>
      </c>
      <c r="K47" s="21" t="s">
        <v>52</v>
      </c>
      <c r="L47" s="27">
        <v>631.95</v>
      </c>
      <c r="M47" s="21"/>
      <c r="N47" s="21"/>
      <c r="O47" s="21" t="s">
        <v>214</v>
      </c>
      <c r="P47" s="21" t="s">
        <v>54</v>
      </c>
      <c r="Q47" s="28">
        <v>46219</v>
      </c>
      <c r="R47" s="29">
        <v>46219.4092592593</v>
      </c>
      <c r="S47" s="21" t="s">
        <v>77</v>
      </c>
      <c r="T47" s="21"/>
      <c r="U47" s="21" t="s">
        <v>74</v>
      </c>
      <c r="V47" s="29">
        <v>46219.409212963</v>
      </c>
      <c r="W47">
        <f>VLOOKUP(H47,物料編碼!A:B,2,0)</f>
        <v>1300603040</v>
      </c>
      <c r="X47">
        <v>1300603</v>
      </c>
      <c r="Y47" t="str">
        <f>VLOOKUP(X47,物料編碼!D:G,4,0)</f>
        <v>帶骨全腿</v>
      </c>
      <c r="Z47" t="str">
        <f>VLOOKUP(C47,客戶屬性1!A:C,2,0)</f>
        <v>恒辉贸易公司</v>
      </c>
      <c r="AA47">
        <f>IF(COUNTIF($O$1:O47,O47)=1,L47,0)</f>
        <v>631.95</v>
      </c>
    </row>
    <row r="48" customHeight="1" spans="1:27">
      <c r="A48" s="21" t="s">
        <v>213</v>
      </c>
      <c r="B48" s="21" t="s">
        <v>45</v>
      </c>
      <c r="C48" s="21" t="s">
        <v>72</v>
      </c>
      <c r="D48" s="21" t="s">
        <v>73</v>
      </c>
      <c r="E48" s="21" t="s">
        <v>74</v>
      </c>
      <c r="F48" s="21" t="s">
        <v>49</v>
      </c>
      <c r="G48" s="21" t="s">
        <v>50</v>
      </c>
      <c r="H48" s="21" t="s">
        <v>78</v>
      </c>
      <c r="I48" s="26">
        <v>2</v>
      </c>
      <c r="J48" s="26">
        <v>30</v>
      </c>
      <c r="K48" s="21" t="s">
        <v>52</v>
      </c>
      <c r="L48" s="27">
        <v>631.95</v>
      </c>
      <c r="M48" s="21"/>
      <c r="N48" s="21"/>
      <c r="O48" s="21" t="s">
        <v>214</v>
      </c>
      <c r="P48" s="21" t="s">
        <v>54</v>
      </c>
      <c r="Q48" s="28">
        <v>46219</v>
      </c>
      <c r="R48" s="29">
        <v>46219.4092592593</v>
      </c>
      <c r="S48" s="21" t="s">
        <v>77</v>
      </c>
      <c r="T48" s="21"/>
      <c r="U48" s="21" t="s">
        <v>74</v>
      </c>
      <c r="V48" s="29">
        <v>46219.409212963</v>
      </c>
      <c r="W48">
        <f>VLOOKUP(H48,物料編碼!A:B,2,0)</f>
        <v>1300607014</v>
      </c>
      <c r="X48">
        <v>1300607</v>
      </c>
      <c r="Y48" t="str">
        <f>VLOOKUP(X48,物料編碼!D:G,4,0)</f>
        <v>帶皮腿扒</v>
      </c>
      <c r="Z48" t="str">
        <f>VLOOKUP(C48,客戶屬性1!A:C,2,0)</f>
        <v>恒辉贸易公司</v>
      </c>
      <c r="AA48">
        <f>IF(COUNTIF($O$1:O48,O48)=1,L48,0)</f>
        <v>0</v>
      </c>
    </row>
    <row r="49" customHeight="1" spans="1:27">
      <c r="A49" s="21" t="s">
        <v>215</v>
      </c>
      <c r="B49" s="21" t="s">
        <v>45</v>
      </c>
      <c r="C49" s="21" t="s">
        <v>216</v>
      </c>
      <c r="D49" s="21" t="s">
        <v>217</v>
      </c>
      <c r="E49" s="21" t="s">
        <v>218</v>
      </c>
      <c r="F49" s="21" t="s">
        <v>49</v>
      </c>
      <c r="G49" s="21" t="s">
        <v>68</v>
      </c>
      <c r="H49" s="21" t="s">
        <v>219</v>
      </c>
      <c r="I49" s="26">
        <v>1</v>
      </c>
      <c r="J49" s="26">
        <v>10</v>
      </c>
      <c r="K49" s="21" t="s">
        <v>52</v>
      </c>
      <c r="L49" s="27">
        <v>1029.6</v>
      </c>
      <c r="M49" s="21"/>
      <c r="N49" s="21"/>
      <c r="O49" s="21" t="s">
        <v>220</v>
      </c>
      <c r="P49" s="21" t="s">
        <v>54</v>
      </c>
      <c r="Q49" s="28">
        <v>46219</v>
      </c>
      <c r="R49" s="29">
        <v>46219.3799305556</v>
      </c>
      <c r="S49" s="21" t="s">
        <v>221</v>
      </c>
      <c r="T49" s="21"/>
      <c r="U49" s="21" t="s">
        <v>222</v>
      </c>
      <c r="V49" s="29">
        <v>46219.3798842593</v>
      </c>
      <c r="W49">
        <f>VLOOKUP(H49,物料編碼!A:B,2,0)</f>
        <v>1300501022</v>
      </c>
      <c r="X49">
        <v>1300501</v>
      </c>
      <c r="Y49" t="str">
        <f>VLOOKUP(X49,物料編碼!D:G,4,0)</f>
        <v>羊排</v>
      </c>
      <c r="Z49" t="str">
        <f>VLOOKUP(C49,客戶屬性1!A:C,2,0)</f>
        <v>天恒食品有限公司</v>
      </c>
      <c r="AA49">
        <f>IF(COUNTIF($O$1:O49,O49)=1,L49,0)</f>
        <v>1029.6</v>
      </c>
    </row>
    <row r="50" customHeight="1" spans="1:27">
      <c r="A50" s="21" t="s">
        <v>223</v>
      </c>
      <c r="B50" s="21" t="s">
        <v>45</v>
      </c>
      <c r="C50" s="21" t="s">
        <v>141</v>
      </c>
      <c r="D50" s="21" t="s">
        <v>142</v>
      </c>
      <c r="E50" s="21" t="s">
        <v>142</v>
      </c>
      <c r="F50" s="21" t="s">
        <v>143</v>
      </c>
      <c r="G50" s="21" t="s">
        <v>100</v>
      </c>
      <c r="H50" s="21" t="s">
        <v>146</v>
      </c>
      <c r="I50" s="26">
        <v>2</v>
      </c>
      <c r="J50" s="26">
        <v>30</v>
      </c>
      <c r="K50" s="21" t="s">
        <v>52</v>
      </c>
      <c r="L50" s="27">
        <v>1042.2</v>
      </c>
      <c r="M50" s="21"/>
      <c r="N50" s="21"/>
      <c r="O50" s="21" t="s">
        <v>224</v>
      </c>
      <c r="P50" s="21" t="s">
        <v>54</v>
      </c>
      <c r="Q50" s="28">
        <v>46219</v>
      </c>
      <c r="R50" s="29">
        <v>46218.5485648148</v>
      </c>
      <c r="S50" s="21" t="s">
        <v>145</v>
      </c>
      <c r="T50" s="21"/>
      <c r="U50" s="21" t="s">
        <v>142</v>
      </c>
      <c r="V50" s="29">
        <v>46218.5485069444</v>
      </c>
      <c r="W50">
        <f>VLOOKUP(H50,物料編碼!A:B,2,0)</f>
        <v>1300603041</v>
      </c>
      <c r="X50">
        <v>1300603</v>
      </c>
      <c r="Y50" t="str">
        <f>VLOOKUP(X50,物料編碼!D:G,4,0)</f>
        <v>帶骨全腿</v>
      </c>
      <c r="Z50" t="str">
        <f>VLOOKUP(C50,客戶屬性1!A:C,2,0)</f>
        <v>新昌冻肉</v>
      </c>
      <c r="AA50">
        <f>IF(COUNTIF($O$1:O50,O50)=1,L50,0)</f>
        <v>1042.2</v>
      </c>
    </row>
    <row r="51" customHeight="1" spans="1:27">
      <c r="A51" s="21" t="s">
        <v>223</v>
      </c>
      <c r="B51" s="21" t="s">
        <v>45</v>
      </c>
      <c r="C51" s="21" t="s">
        <v>141</v>
      </c>
      <c r="D51" s="21" t="s">
        <v>142</v>
      </c>
      <c r="E51" s="21" t="s">
        <v>142</v>
      </c>
      <c r="F51" s="21" t="s">
        <v>143</v>
      </c>
      <c r="G51" s="21" t="s">
        <v>100</v>
      </c>
      <c r="H51" s="21" t="s">
        <v>117</v>
      </c>
      <c r="I51" s="26">
        <v>3</v>
      </c>
      <c r="J51" s="26">
        <v>45</v>
      </c>
      <c r="K51" s="21" t="s">
        <v>52</v>
      </c>
      <c r="L51" s="27">
        <v>1042.2</v>
      </c>
      <c r="M51" s="21"/>
      <c r="N51" s="21"/>
      <c r="O51" s="21" t="s">
        <v>224</v>
      </c>
      <c r="P51" s="21" t="s">
        <v>54</v>
      </c>
      <c r="Q51" s="28">
        <v>46219</v>
      </c>
      <c r="R51" s="29">
        <v>46218.5485648148</v>
      </c>
      <c r="S51" s="21" t="s">
        <v>145</v>
      </c>
      <c r="T51" s="21"/>
      <c r="U51" s="21" t="s">
        <v>142</v>
      </c>
      <c r="V51" s="29">
        <v>46218.5485069444</v>
      </c>
      <c r="W51">
        <f>VLOOKUP(H51,物料編碼!A:B,2,0)</f>
        <v>1300607015</v>
      </c>
      <c r="X51">
        <v>1300607</v>
      </c>
      <c r="Y51" t="str">
        <f>VLOOKUP(X51,物料編碼!D:G,4,0)</f>
        <v>帶皮腿扒</v>
      </c>
      <c r="Z51" t="str">
        <f>VLOOKUP(C51,客戶屬性1!A:C,2,0)</f>
        <v>新昌冻肉</v>
      </c>
      <c r="AA51">
        <f>IF(COUNTIF($O$1:O51,O51)=1,L51,0)</f>
        <v>0</v>
      </c>
    </row>
    <row r="52" customHeight="1" spans="1:27">
      <c r="A52" s="21" t="s">
        <v>225</v>
      </c>
      <c r="B52" s="21" t="s">
        <v>45</v>
      </c>
      <c r="C52" s="21" t="s">
        <v>226</v>
      </c>
      <c r="D52" s="21" t="s">
        <v>227</v>
      </c>
      <c r="E52" s="21" t="s">
        <v>228</v>
      </c>
      <c r="F52" s="21" t="s">
        <v>49</v>
      </c>
      <c r="G52" s="21" t="s">
        <v>68</v>
      </c>
      <c r="H52" s="21" t="s">
        <v>63</v>
      </c>
      <c r="I52" s="26">
        <v>1</v>
      </c>
      <c r="J52" s="26">
        <v>25</v>
      </c>
      <c r="K52" s="21" t="s">
        <v>52</v>
      </c>
      <c r="L52" s="27">
        <v>826.65</v>
      </c>
      <c r="M52" s="21"/>
      <c r="N52" s="21"/>
      <c r="O52" s="21" t="s">
        <v>229</v>
      </c>
      <c r="P52" s="21" t="s">
        <v>54</v>
      </c>
      <c r="Q52" s="28">
        <v>46219</v>
      </c>
      <c r="R52" s="29">
        <v>46218.5418171296</v>
      </c>
      <c r="S52" s="21" t="s">
        <v>230</v>
      </c>
      <c r="T52" s="21"/>
      <c r="U52" s="21" t="s">
        <v>231</v>
      </c>
      <c r="V52" s="29">
        <v>46218.5417592593</v>
      </c>
      <c r="W52">
        <f>VLOOKUP(H52,物料編碼!A:B,2,0)</f>
        <v>1300109002</v>
      </c>
      <c r="X52">
        <v>1300109</v>
      </c>
      <c r="Y52" t="str">
        <f>VLOOKUP(X52,物料編碼!D:G,4,0)</f>
        <v>面精肉</v>
      </c>
      <c r="Z52" t="str">
        <f>VLOOKUP(C52,客戶屬性1!A:C,2,0)</f>
        <v>启兴食品贸易公司(大埔道)</v>
      </c>
      <c r="AA52">
        <f>IF(COUNTIF($O$1:O52,O52)=1,L52,0)</f>
        <v>826.65</v>
      </c>
    </row>
    <row r="53" customHeight="1" spans="1:27">
      <c r="A53" s="21" t="s">
        <v>232</v>
      </c>
      <c r="B53" s="21" t="s">
        <v>45</v>
      </c>
      <c r="C53" s="21" t="s">
        <v>226</v>
      </c>
      <c r="D53" s="21" t="s">
        <v>227</v>
      </c>
      <c r="E53" s="21" t="s">
        <v>228</v>
      </c>
      <c r="F53" s="21" t="s">
        <v>49</v>
      </c>
      <c r="G53" s="21" t="s">
        <v>68</v>
      </c>
      <c r="H53" s="21" t="s">
        <v>63</v>
      </c>
      <c r="I53" s="26">
        <v>2</v>
      </c>
      <c r="J53" s="26">
        <v>50</v>
      </c>
      <c r="K53" s="21" t="s">
        <v>52</v>
      </c>
      <c r="L53" s="27">
        <v>1653.3</v>
      </c>
      <c r="M53" s="21"/>
      <c r="N53" s="21"/>
      <c r="O53" s="21" t="s">
        <v>233</v>
      </c>
      <c r="P53" s="21" t="s">
        <v>183</v>
      </c>
      <c r="Q53" s="28">
        <v>46219</v>
      </c>
      <c r="R53" s="29">
        <v>46218.5167939815</v>
      </c>
      <c r="S53" s="21" t="s">
        <v>230</v>
      </c>
      <c r="T53" s="21"/>
      <c r="U53" s="21" t="s">
        <v>231</v>
      </c>
      <c r="V53" s="29">
        <v>46218.5167476852</v>
      </c>
      <c r="W53">
        <f>VLOOKUP(H53,物料編碼!A:B,2,0)</f>
        <v>1300109002</v>
      </c>
      <c r="X53">
        <v>1300109</v>
      </c>
      <c r="Y53" t="str">
        <f>VLOOKUP(X53,物料編碼!D:G,4,0)</f>
        <v>面精肉</v>
      </c>
      <c r="Z53" t="str">
        <f>VLOOKUP(C53,客戶屬性1!A:C,2,0)</f>
        <v>启兴食品贸易公司(大埔道)</v>
      </c>
      <c r="AA53">
        <f>IF(COUNTIF($O$1:O53,O53)=1,L53,0)</f>
        <v>1653.3</v>
      </c>
    </row>
    <row r="54" customHeight="1" spans="1:27">
      <c r="A54" s="21" t="s">
        <v>234</v>
      </c>
      <c r="B54" s="21" t="s">
        <v>45</v>
      </c>
      <c r="C54" s="21" t="s">
        <v>235</v>
      </c>
      <c r="D54" s="21" t="s">
        <v>236</v>
      </c>
      <c r="E54" s="21" t="s">
        <v>237</v>
      </c>
      <c r="F54" s="21" t="s">
        <v>49</v>
      </c>
      <c r="G54" s="21" t="s">
        <v>238</v>
      </c>
      <c r="H54" s="21" t="s">
        <v>239</v>
      </c>
      <c r="I54" s="26">
        <v>1</v>
      </c>
      <c r="J54" s="26">
        <v>10</v>
      </c>
      <c r="K54" s="21" t="s">
        <v>52</v>
      </c>
      <c r="L54" s="27">
        <v>351.84</v>
      </c>
      <c r="M54" s="21"/>
      <c r="N54" s="21"/>
      <c r="O54" s="21" t="s">
        <v>240</v>
      </c>
      <c r="P54" s="21" t="s">
        <v>54</v>
      </c>
      <c r="Q54" s="28">
        <v>46218</v>
      </c>
      <c r="R54" s="29">
        <v>46218.4646643518</v>
      </c>
      <c r="S54" s="21" t="s">
        <v>241</v>
      </c>
      <c r="T54" s="21"/>
      <c r="U54" s="21" t="s">
        <v>237</v>
      </c>
      <c r="V54" s="29">
        <v>46218.4646064815</v>
      </c>
      <c r="W54">
        <f>VLOOKUP(H54,物料編碼!A:B,2,0)</f>
        <v>1300904023</v>
      </c>
      <c r="X54">
        <v>1300904</v>
      </c>
      <c r="Y54" t="str">
        <f>VLOOKUP(X54,物料編碼!D:G,4,0)</f>
        <v>煙熏鴨胸</v>
      </c>
      <c r="Z54" t="str">
        <f>VLOOKUP(C54,客戶屬性1!A:C,2,0)</f>
        <v>联合林记食品有限公司</v>
      </c>
      <c r="AA54">
        <f>IF(COUNTIF($O$1:O54,O54)=1,L54,0)</f>
        <v>351.84</v>
      </c>
    </row>
    <row r="55" customHeight="1" spans="1:27">
      <c r="A55" s="21" t="s">
        <v>234</v>
      </c>
      <c r="B55" s="21" t="s">
        <v>45</v>
      </c>
      <c r="C55" s="21" t="s">
        <v>235</v>
      </c>
      <c r="D55" s="21" t="s">
        <v>236</v>
      </c>
      <c r="E55" s="21" t="s">
        <v>237</v>
      </c>
      <c r="F55" s="21" t="s">
        <v>49</v>
      </c>
      <c r="G55" s="21" t="s">
        <v>238</v>
      </c>
      <c r="H55" s="21" t="s">
        <v>242</v>
      </c>
      <c r="I55" s="26">
        <v>1</v>
      </c>
      <c r="J55" s="26">
        <v>12.8</v>
      </c>
      <c r="K55" s="21" t="s">
        <v>52</v>
      </c>
      <c r="L55" s="27">
        <v>351.84</v>
      </c>
      <c r="M55" s="21"/>
      <c r="N55" s="21"/>
      <c r="O55" s="21" t="s">
        <v>240</v>
      </c>
      <c r="P55" s="21" t="s">
        <v>54</v>
      </c>
      <c r="Q55" s="28">
        <v>46218</v>
      </c>
      <c r="R55" s="29">
        <v>46218.4646643518</v>
      </c>
      <c r="S55" s="21" t="s">
        <v>241</v>
      </c>
      <c r="T55" s="21"/>
      <c r="U55" s="21" t="s">
        <v>237</v>
      </c>
      <c r="V55" s="29">
        <v>46218.4646064815</v>
      </c>
      <c r="W55">
        <f>VLOOKUP(H55,物料編碼!A:B,2,0)</f>
        <v>1300901052</v>
      </c>
      <c r="X55">
        <v>1300901</v>
      </c>
      <c r="Y55" t="str">
        <f>VLOOKUP(X55,物料編碼!D:G,4,0)</f>
        <v>整鴨</v>
      </c>
      <c r="Z55" t="str">
        <f>VLOOKUP(C55,客戶屬性1!A:C,2,0)</f>
        <v>联合林记食品有限公司</v>
      </c>
      <c r="AA55">
        <f>IF(COUNTIF($O$1:O55,O55)=1,L55,0)</f>
        <v>0</v>
      </c>
    </row>
    <row r="56" customHeight="1" spans="1:27">
      <c r="A56" s="21" t="s">
        <v>243</v>
      </c>
      <c r="B56" s="21" t="s">
        <v>45</v>
      </c>
      <c r="C56" s="21" t="s">
        <v>126</v>
      </c>
      <c r="D56" s="21" t="s">
        <v>127</v>
      </c>
      <c r="E56" s="21" t="s">
        <v>128</v>
      </c>
      <c r="F56" s="21" t="s">
        <v>49</v>
      </c>
      <c r="G56" s="21" t="s">
        <v>129</v>
      </c>
      <c r="H56" s="21" t="s">
        <v>117</v>
      </c>
      <c r="I56" s="26">
        <v>20</v>
      </c>
      <c r="J56" s="26">
        <v>300</v>
      </c>
      <c r="K56" s="21" t="s">
        <v>52</v>
      </c>
      <c r="L56" s="27">
        <v>4434</v>
      </c>
      <c r="M56" s="21"/>
      <c r="N56" s="21"/>
      <c r="O56" s="21" t="s">
        <v>244</v>
      </c>
      <c r="P56" s="21" t="s">
        <v>54</v>
      </c>
      <c r="Q56" s="28">
        <v>46218</v>
      </c>
      <c r="R56" s="29">
        <v>46218.4505208333</v>
      </c>
      <c r="S56" s="21" t="s">
        <v>131</v>
      </c>
      <c r="T56" s="21"/>
      <c r="U56" s="21" t="s">
        <v>127</v>
      </c>
      <c r="V56" s="29">
        <v>46218.450474537</v>
      </c>
      <c r="W56">
        <f>VLOOKUP(H56,物料編碼!A:B,2,0)</f>
        <v>1300607015</v>
      </c>
      <c r="X56">
        <v>1300607</v>
      </c>
      <c r="Y56" t="str">
        <f>VLOOKUP(X56,物料編碼!D:G,4,0)</f>
        <v>帶皮腿扒</v>
      </c>
      <c r="Z56" t="str">
        <f>VLOOKUP(C56,客戶屬性1!A:C,2,0)</f>
        <v>福源食品有限公司</v>
      </c>
      <c r="AA56">
        <f>IF(COUNTIF($O$1:O56,O56)=1,L56,0)</f>
        <v>4434</v>
      </c>
    </row>
    <row r="57" customHeight="1" spans="1:27">
      <c r="A57" s="21" t="s">
        <v>245</v>
      </c>
      <c r="B57" s="21" t="s">
        <v>45</v>
      </c>
      <c r="C57" s="21" t="s">
        <v>151</v>
      </c>
      <c r="D57" s="21" t="s">
        <v>152</v>
      </c>
      <c r="E57" s="21" t="s">
        <v>153</v>
      </c>
      <c r="F57" s="21" t="s">
        <v>49</v>
      </c>
      <c r="G57" s="21" t="s">
        <v>68</v>
      </c>
      <c r="H57" s="21" t="s">
        <v>154</v>
      </c>
      <c r="I57" s="26">
        <v>1</v>
      </c>
      <c r="J57" s="26">
        <v>15</v>
      </c>
      <c r="K57" s="21" t="s">
        <v>52</v>
      </c>
      <c r="L57" s="27">
        <v>234.75</v>
      </c>
      <c r="M57" s="21"/>
      <c r="N57" s="21"/>
      <c r="O57" s="21" t="s">
        <v>246</v>
      </c>
      <c r="P57" s="21" t="s">
        <v>54</v>
      </c>
      <c r="Q57" s="28">
        <v>46219</v>
      </c>
      <c r="R57" s="29">
        <v>46218.4454513889</v>
      </c>
      <c r="S57" s="21" t="s">
        <v>156</v>
      </c>
      <c r="T57" s="21"/>
      <c r="U57" s="21" t="s">
        <v>152</v>
      </c>
      <c r="V57" s="29">
        <v>46218.4454050926</v>
      </c>
      <c r="W57">
        <f>VLOOKUP(H57,物料編碼!A:B,2,0)</f>
        <v>1300603036</v>
      </c>
      <c r="X57">
        <v>1300603</v>
      </c>
      <c r="Y57" t="str">
        <f>VLOOKUP(X57,物料編碼!D:G,4,0)</f>
        <v>帶骨全腿</v>
      </c>
      <c r="Z57" t="str">
        <f>VLOOKUP(C57,客戶屬性1!A:C,2,0)</f>
        <v>信希食品有限公司</v>
      </c>
      <c r="AA57">
        <f>IF(COUNTIF($O$1:O57,O57)=1,L57,0)</f>
        <v>234.75</v>
      </c>
    </row>
    <row r="58" customHeight="1" spans="1:27">
      <c r="A58" s="21" t="s">
        <v>247</v>
      </c>
      <c r="B58" s="21" t="s">
        <v>45</v>
      </c>
      <c r="C58" s="21" t="s">
        <v>158</v>
      </c>
      <c r="D58" s="21" t="s">
        <v>159</v>
      </c>
      <c r="E58" s="21" t="s">
        <v>160</v>
      </c>
      <c r="F58" s="21" t="s">
        <v>49</v>
      </c>
      <c r="G58" s="21" t="s">
        <v>68</v>
      </c>
      <c r="H58" s="21" t="s">
        <v>248</v>
      </c>
      <c r="I58" s="26">
        <v>6</v>
      </c>
      <c r="J58" s="26">
        <v>150</v>
      </c>
      <c r="K58" s="21" t="s">
        <v>52</v>
      </c>
      <c r="L58" s="27">
        <v>3572.1</v>
      </c>
      <c r="M58" s="21"/>
      <c r="N58" s="21"/>
      <c r="O58" s="21" t="s">
        <v>249</v>
      </c>
      <c r="P58" s="21" t="s">
        <v>54</v>
      </c>
      <c r="Q58" s="28">
        <v>46218</v>
      </c>
      <c r="R58" s="29">
        <v>46218.4399652778</v>
      </c>
      <c r="S58" s="21" t="s">
        <v>163</v>
      </c>
      <c r="T58" s="21"/>
      <c r="U58" s="21" t="s">
        <v>164</v>
      </c>
      <c r="V58" s="29">
        <v>46218.4399189815</v>
      </c>
      <c r="W58">
        <f>VLOOKUP(H58,物料編碼!A:B,2,0)</f>
        <v>1300101007</v>
      </c>
      <c r="X58">
        <v>1300101</v>
      </c>
      <c r="Y58" t="str">
        <f>VLOOKUP(X58,物料編碼!D:G,4,0)</f>
        <v>一號肉</v>
      </c>
      <c r="Z58" t="str">
        <f>VLOOKUP(C58,客戶屬性1!A:C,2,0)</f>
        <v>先进食品国际有限公司</v>
      </c>
      <c r="AA58">
        <f>IF(COUNTIF($O$1:O58,O58)=1,L58,0)</f>
        <v>3572.1</v>
      </c>
    </row>
    <row r="59" customHeight="1" spans="1:27">
      <c r="A59" s="21" t="s">
        <v>250</v>
      </c>
      <c r="B59" s="21" t="s">
        <v>45</v>
      </c>
      <c r="C59" s="21" t="s">
        <v>46</v>
      </c>
      <c r="D59" s="21" t="s">
        <v>47</v>
      </c>
      <c r="E59" s="21" t="s">
        <v>48</v>
      </c>
      <c r="F59" s="21" t="s">
        <v>49</v>
      </c>
      <c r="G59" s="21" t="s">
        <v>50</v>
      </c>
      <c r="H59" s="21" t="s">
        <v>51</v>
      </c>
      <c r="I59" s="26">
        <v>1</v>
      </c>
      <c r="J59" s="26">
        <v>10</v>
      </c>
      <c r="K59" s="21" t="s">
        <v>52</v>
      </c>
      <c r="L59" s="27">
        <v>128</v>
      </c>
      <c r="M59" s="21"/>
      <c r="N59" s="21"/>
      <c r="O59" s="21" t="s">
        <v>251</v>
      </c>
      <c r="P59" s="21" t="s">
        <v>54</v>
      </c>
      <c r="Q59" s="28">
        <v>46218</v>
      </c>
      <c r="R59" s="29">
        <v>46218.4311921296</v>
      </c>
      <c r="S59" s="21" t="s">
        <v>55</v>
      </c>
      <c r="T59" s="21"/>
      <c r="U59" s="21" t="s">
        <v>47</v>
      </c>
      <c r="V59" s="29">
        <v>46218.4311458333</v>
      </c>
      <c r="W59">
        <f>VLOOKUP(H59,物料編碼!A:B,2,0)</f>
        <v>1300624103</v>
      </c>
      <c r="X59">
        <v>1300624</v>
      </c>
      <c r="Y59" t="str">
        <f>VLOOKUP(X59,物料編碼!D:G,4,0)</f>
        <v>琵琶腿</v>
      </c>
      <c r="Z59" t="str">
        <f>VLOOKUP(C59,客戶屬性1!A:C,2,0)</f>
        <v>明记冻肉</v>
      </c>
      <c r="AA59">
        <f>IF(COUNTIF($O$1:O59,O59)=1,L59,0)</f>
        <v>128</v>
      </c>
    </row>
    <row r="60" customHeight="1" spans="1:27">
      <c r="A60" s="21" t="s">
        <v>252</v>
      </c>
      <c r="B60" s="21" t="s">
        <v>45</v>
      </c>
      <c r="C60" s="21" t="s">
        <v>57</v>
      </c>
      <c r="D60" s="21" t="s">
        <v>58</v>
      </c>
      <c r="E60" s="21" t="s">
        <v>59</v>
      </c>
      <c r="F60" s="21" t="s">
        <v>49</v>
      </c>
      <c r="G60" s="21" t="s">
        <v>50</v>
      </c>
      <c r="H60" s="21" t="s">
        <v>63</v>
      </c>
      <c r="I60" s="26">
        <v>3</v>
      </c>
      <c r="J60" s="26">
        <v>75</v>
      </c>
      <c r="K60" s="21" t="s">
        <v>52</v>
      </c>
      <c r="L60" s="27">
        <v>2454.9</v>
      </c>
      <c r="M60" s="21"/>
      <c r="N60" s="21"/>
      <c r="O60" s="21" t="s">
        <v>253</v>
      </c>
      <c r="P60" s="21" t="s">
        <v>54</v>
      </c>
      <c r="Q60" s="28">
        <v>46219</v>
      </c>
      <c r="R60" s="29">
        <v>46218.4135185185</v>
      </c>
      <c r="S60" s="21" t="s">
        <v>62</v>
      </c>
      <c r="T60" s="21"/>
      <c r="U60" s="21" t="s">
        <v>59</v>
      </c>
      <c r="V60" s="29">
        <v>46218.4134722222</v>
      </c>
      <c r="W60">
        <f>VLOOKUP(H60,物料編碼!A:B,2,0)</f>
        <v>1300109002</v>
      </c>
      <c r="X60">
        <v>1300109</v>
      </c>
      <c r="Y60" t="str">
        <f>VLOOKUP(X60,物料編碼!D:G,4,0)</f>
        <v>面精肉</v>
      </c>
      <c r="Z60" t="str">
        <f>VLOOKUP(C60,客戶屬性1!A:C,2,0)</f>
        <v>翎凰冻肉有限公司</v>
      </c>
      <c r="AA60">
        <f>IF(COUNTIF($O$1:O60,O60)=1,L60,0)</f>
        <v>2454.9</v>
      </c>
    </row>
    <row r="61" customHeight="1" spans="1:27">
      <c r="A61" s="21" t="s">
        <v>254</v>
      </c>
      <c r="B61" s="21" t="s">
        <v>45</v>
      </c>
      <c r="C61" s="21" t="s">
        <v>72</v>
      </c>
      <c r="D61" s="21" t="s">
        <v>73</v>
      </c>
      <c r="E61" s="21" t="s">
        <v>74</v>
      </c>
      <c r="F61" s="21" t="s">
        <v>49</v>
      </c>
      <c r="G61" s="21" t="s">
        <v>50</v>
      </c>
      <c r="H61" s="21" t="s">
        <v>75</v>
      </c>
      <c r="I61" s="26">
        <v>1</v>
      </c>
      <c r="J61" s="26">
        <v>15</v>
      </c>
      <c r="K61" s="21" t="s">
        <v>52</v>
      </c>
      <c r="L61" s="27">
        <v>188.55</v>
      </c>
      <c r="M61" s="21"/>
      <c r="N61" s="21"/>
      <c r="O61" s="21" t="s">
        <v>255</v>
      </c>
      <c r="P61" s="21" t="s">
        <v>54</v>
      </c>
      <c r="Q61" s="28">
        <v>46218</v>
      </c>
      <c r="R61" s="29">
        <v>46218.3948148148</v>
      </c>
      <c r="S61" s="21" t="s">
        <v>77</v>
      </c>
      <c r="T61" s="21"/>
      <c r="U61" s="21" t="s">
        <v>74</v>
      </c>
      <c r="V61" s="29">
        <v>46218.3947569444</v>
      </c>
      <c r="W61">
        <f>VLOOKUP(H61,物料編碼!A:B,2,0)</f>
        <v>1300603040</v>
      </c>
      <c r="X61">
        <v>1300603</v>
      </c>
      <c r="Y61" t="str">
        <f>VLOOKUP(X61,物料編碼!D:G,4,0)</f>
        <v>帶骨全腿</v>
      </c>
      <c r="Z61" t="str">
        <f>VLOOKUP(C61,客戶屬性1!A:C,2,0)</f>
        <v>恒辉贸易公司</v>
      </c>
      <c r="AA61">
        <f>IF(COUNTIF($O$1:O61,O61)=1,L61,0)</f>
        <v>188.55</v>
      </c>
    </row>
    <row r="62" customHeight="1" spans="1:27">
      <c r="A62" s="21" t="s">
        <v>256</v>
      </c>
      <c r="B62" s="21" t="s">
        <v>45</v>
      </c>
      <c r="C62" s="21" t="s">
        <v>65</v>
      </c>
      <c r="D62" s="21" t="s">
        <v>66</v>
      </c>
      <c r="E62" s="21" t="s">
        <v>67</v>
      </c>
      <c r="F62" s="21" t="s">
        <v>49</v>
      </c>
      <c r="G62" s="21" t="s">
        <v>68</v>
      </c>
      <c r="H62" s="21" t="s">
        <v>60</v>
      </c>
      <c r="I62" s="26">
        <v>6</v>
      </c>
      <c r="J62" s="26">
        <v>150</v>
      </c>
      <c r="K62" s="21" t="s">
        <v>52</v>
      </c>
      <c r="L62" s="27">
        <v>5165.25</v>
      </c>
      <c r="M62" s="21"/>
      <c r="N62" s="21"/>
      <c r="O62" s="21" t="s">
        <v>257</v>
      </c>
      <c r="P62" s="21" t="s">
        <v>54</v>
      </c>
      <c r="Q62" s="28">
        <v>46218</v>
      </c>
      <c r="R62" s="29">
        <v>46218.3931944444</v>
      </c>
      <c r="S62" s="21" t="s">
        <v>70</v>
      </c>
      <c r="T62" s="21"/>
      <c r="U62" s="21" t="s">
        <v>67</v>
      </c>
      <c r="V62" s="29">
        <v>46218.393125</v>
      </c>
      <c r="W62">
        <f>VLOOKUP(H62,物料編碼!A:B,2,0)</f>
        <v>1300101043</v>
      </c>
      <c r="X62">
        <v>1300101</v>
      </c>
      <c r="Y62" t="str">
        <f>VLOOKUP(X62,物料編碼!D:G,4,0)</f>
        <v>一號肉</v>
      </c>
      <c r="Z62" t="str">
        <f>VLOOKUP(C62,客戶屬性1!A:C,2,0)</f>
        <v>万骏贸易公司</v>
      </c>
      <c r="AA62">
        <f>IF(COUNTIF($O$1:O62,O62)=1,L62,0)</f>
        <v>5165.25</v>
      </c>
    </row>
    <row r="63" customHeight="1" spans="1:27">
      <c r="A63" s="21" t="s">
        <v>258</v>
      </c>
      <c r="B63" s="21" t="s">
        <v>45</v>
      </c>
      <c r="C63" s="21" t="s">
        <v>72</v>
      </c>
      <c r="D63" s="21" t="s">
        <v>73</v>
      </c>
      <c r="E63" s="21" t="s">
        <v>74</v>
      </c>
      <c r="F63" s="21" t="s">
        <v>49</v>
      </c>
      <c r="G63" s="21" t="s">
        <v>50</v>
      </c>
      <c r="H63" s="21" t="s">
        <v>190</v>
      </c>
      <c r="I63" s="26">
        <v>1</v>
      </c>
      <c r="J63" s="26">
        <v>12</v>
      </c>
      <c r="K63" s="21" t="s">
        <v>52</v>
      </c>
      <c r="L63" s="27">
        <v>188.4</v>
      </c>
      <c r="M63" s="21"/>
      <c r="N63" s="21"/>
      <c r="O63" s="21" t="s">
        <v>259</v>
      </c>
      <c r="P63" s="21" t="s">
        <v>54</v>
      </c>
      <c r="Q63" s="28">
        <v>46218</v>
      </c>
      <c r="R63" s="29">
        <v>46217.6464930556</v>
      </c>
      <c r="S63" s="21" t="s">
        <v>77</v>
      </c>
      <c r="T63" s="21"/>
      <c r="U63" s="21" t="s">
        <v>74</v>
      </c>
      <c r="V63" s="29">
        <v>46217.6464583333</v>
      </c>
      <c r="W63">
        <f>VLOOKUP(H63,物料編碼!A:B,2,0)</f>
        <v>1300609001</v>
      </c>
      <c r="X63">
        <v>1300609</v>
      </c>
      <c r="Y63" t="str">
        <f>VLOOKUP(X63,物料編碼!D:G,4,0)</f>
        <v>去皮上腿肉</v>
      </c>
      <c r="Z63" t="str">
        <f>VLOOKUP(C63,客戶屬性1!A:C,2,0)</f>
        <v>恒辉贸易公司</v>
      </c>
      <c r="AA63">
        <f>IF(COUNTIF($O$1:O63,O63)=1,L63,0)</f>
        <v>188.4</v>
      </c>
    </row>
    <row r="64" customHeight="1" spans="1:27">
      <c r="A64" s="21" t="s">
        <v>260</v>
      </c>
      <c r="B64" s="21" t="s">
        <v>45</v>
      </c>
      <c r="C64" s="21" t="s">
        <v>114</v>
      </c>
      <c r="D64" s="21" t="s">
        <v>115</v>
      </c>
      <c r="E64" s="21" t="s">
        <v>116</v>
      </c>
      <c r="F64" s="21" t="s">
        <v>49</v>
      </c>
      <c r="G64" s="21" t="s">
        <v>100</v>
      </c>
      <c r="H64" s="21" t="s">
        <v>261</v>
      </c>
      <c r="I64" s="26">
        <v>1</v>
      </c>
      <c r="J64" s="27">
        <v>10</v>
      </c>
      <c r="K64" s="21" t="s">
        <v>112</v>
      </c>
      <c r="L64" s="27">
        <v>1980</v>
      </c>
      <c r="M64" s="21"/>
      <c r="N64" s="21"/>
      <c r="O64" s="21" t="s">
        <v>262</v>
      </c>
      <c r="P64" s="21" t="s">
        <v>54</v>
      </c>
      <c r="Q64" s="28">
        <v>46218</v>
      </c>
      <c r="R64" s="29">
        <v>46217.5897453704</v>
      </c>
      <c r="S64" s="21" t="s">
        <v>119</v>
      </c>
      <c r="T64" s="21"/>
      <c r="U64" s="21" t="s">
        <v>115</v>
      </c>
      <c r="V64" s="29">
        <v>46217.5896875</v>
      </c>
      <c r="W64">
        <f>VLOOKUP(H64,物料編碼!A:B,2,0)</f>
        <v>1310201023</v>
      </c>
      <c r="X64">
        <v>1310201</v>
      </c>
      <c r="Y64" t="str">
        <f>VLOOKUP(X64,物料編碼!D:G,4,0)</f>
        <v>丸類.牛肉丸</v>
      </c>
      <c r="Z64" t="str">
        <f>VLOOKUP(C64,客戶屬性1!A:C,2,0)</f>
        <v>骏利贸易公司</v>
      </c>
      <c r="AA64">
        <f>IF(COUNTIF($O$1:O64,O64)=1,L64,0)</f>
        <v>1980</v>
      </c>
    </row>
    <row r="65" customHeight="1" spans="1:27">
      <c r="A65" s="21" t="s">
        <v>260</v>
      </c>
      <c r="B65" s="21" t="s">
        <v>45</v>
      </c>
      <c r="C65" s="21" t="s">
        <v>114</v>
      </c>
      <c r="D65" s="21" t="s">
        <v>115</v>
      </c>
      <c r="E65" s="21" t="s">
        <v>116</v>
      </c>
      <c r="F65" s="21" t="s">
        <v>49</v>
      </c>
      <c r="G65" s="21" t="s">
        <v>100</v>
      </c>
      <c r="H65" s="21" t="s">
        <v>263</v>
      </c>
      <c r="I65" s="26">
        <v>1</v>
      </c>
      <c r="J65" s="27">
        <v>10</v>
      </c>
      <c r="K65" s="21" t="s">
        <v>112</v>
      </c>
      <c r="L65" s="27">
        <v>1980</v>
      </c>
      <c r="M65" s="21"/>
      <c r="N65" s="21"/>
      <c r="O65" s="21" t="s">
        <v>262</v>
      </c>
      <c r="P65" s="21" t="s">
        <v>54</v>
      </c>
      <c r="Q65" s="28">
        <v>46218</v>
      </c>
      <c r="R65" s="29">
        <v>46217.5897453704</v>
      </c>
      <c r="S65" s="21" t="s">
        <v>119</v>
      </c>
      <c r="T65" s="21"/>
      <c r="U65" s="21" t="s">
        <v>115</v>
      </c>
      <c r="V65" s="29">
        <v>46217.5896875</v>
      </c>
      <c r="W65">
        <f>VLOOKUP(H65,物料編碼!A:B,2,0)</f>
        <v>1310201022</v>
      </c>
      <c r="X65">
        <v>1310201</v>
      </c>
      <c r="Y65" t="str">
        <f>VLOOKUP(X65,物料編碼!D:G,4,0)</f>
        <v>丸類.牛肉丸</v>
      </c>
      <c r="Z65" t="str">
        <f>VLOOKUP(C65,客戶屬性1!A:C,2,0)</f>
        <v>骏利贸易公司</v>
      </c>
      <c r="AA65">
        <f>IF(COUNTIF($O$1:O65,O65)=1,L65,0)</f>
        <v>0</v>
      </c>
    </row>
    <row r="66" customHeight="1" spans="1:27">
      <c r="A66" s="21" t="s">
        <v>264</v>
      </c>
      <c r="B66" s="21" t="s">
        <v>45</v>
      </c>
      <c r="C66" s="21" t="s">
        <v>141</v>
      </c>
      <c r="D66" s="21" t="s">
        <v>142</v>
      </c>
      <c r="E66" s="21" t="s">
        <v>142</v>
      </c>
      <c r="F66" s="21" t="s">
        <v>143</v>
      </c>
      <c r="G66" s="21" t="s">
        <v>100</v>
      </c>
      <c r="H66" s="21" t="s">
        <v>63</v>
      </c>
      <c r="I66" s="26">
        <v>1</v>
      </c>
      <c r="J66" s="26">
        <v>25</v>
      </c>
      <c r="K66" s="21" t="s">
        <v>52</v>
      </c>
      <c r="L66" s="27">
        <v>2730.25</v>
      </c>
      <c r="M66" s="21"/>
      <c r="N66" s="21"/>
      <c r="O66" s="21" t="s">
        <v>265</v>
      </c>
      <c r="P66" s="21" t="s">
        <v>54</v>
      </c>
      <c r="Q66" s="28">
        <v>46218</v>
      </c>
      <c r="R66" s="29">
        <v>46217.5677199074</v>
      </c>
      <c r="S66" s="21" t="s">
        <v>145</v>
      </c>
      <c r="T66" s="21"/>
      <c r="U66" s="21" t="s">
        <v>142</v>
      </c>
      <c r="V66" s="29">
        <v>46217.567662037</v>
      </c>
      <c r="W66">
        <f>VLOOKUP(H66,物料編碼!A:B,2,0)</f>
        <v>1300109002</v>
      </c>
      <c r="X66">
        <v>1300109</v>
      </c>
      <c r="Y66" t="str">
        <f>VLOOKUP(X66,物料編碼!D:G,4,0)</f>
        <v>面精肉</v>
      </c>
      <c r="Z66" t="str">
        <f>VLOOKUP(C66,客戶屬性1!A:C,2,0)</f>
        <v>新昌冻肉</v>
      </c>
      <c r="AA66">
        <f>IF(COUNTIF($O$1:O66,O66)=1,L66,0)</f>
        <v>2730.25</v>
      </c>
    </row>
    <row r="67" customHeight="1" spans="1:27">
      <c r="A67" s="21" t="s">
        <v>264</v>
      </c>
      <c r="B67" s="21" t="s">
        <v>45</v>
      </c>
      <c r="C67" s="21" t="s">
        <v>141</v>
      </c>
      <c r="D67" s="21" t="s">
        <v>142</v>
      </c>
      <c r="E67" s="21" t="s">
        <v>142</v>
      </c>
      <c r="F67" s="21" t="s">
        <v>143</v>
      </c>
      <c r="G67" s="21" t="s">
        <v>100</v>
      </c>
      <c r="H67" s="21" t="s">
        <v>60</v>
      </c>
      <c r="I67" s="26">
        <v>1</v>
      </c>
      <c r="J67" s="26">
        <v>25</v>
      </c>
      <c r="K67" s="21" t="s">
        <v>52</v>
      </c>
      <c r="L67" s="27">
        <v>2730.25</v>
      </c>
      <c r="M67" s="21"/>
      <c r="N67" s="21"/>
      <c r="O67" s="21" t="s">
        <v>265</v>
      </c>
      <c r="P67" s="21" t="s">
        <v>54</v>
      </c>
      <c r="Q67" s="28">
        <v>46218</v>
      </c>
      <c r="R67" s="29">
        <v>46217.5677199074</v>
      </c>
      <c r="S67" s="21" t="s">
        <v>145</v>
      </c>
      <c r="T67" s="21"/>
      <c r="U67" s="21" t="s">
        <v>142</v>
      </c>
      <c r="V67" s="29">
        <v>46217.567662037</v>
      </c>
      <c r="W67">
        <f>VLOOKUP(H67,物料編碼!A:B,2,0)</f>
        <v>1300101043</v>
      </c>
      <c r="X67">
        <v>1300101</v>
      </c>
      <c r="Y67" t="str">
        <f>VLOOKUP(X67,物料編碼!D:G,4,0)</f>
        <v>一號肉</v>
      </c>
      <c r="Z67" t="str">
        <f>VLOOKUP(C67,客戶屬性1!A:C,2,0)</f>
        <v>新昌冻肉</v>
      </c>
      <c r="AA67">
        <f>IF(COUNTIF($O$1:O67,O67)=1,L67,0)</f>
        <v>0</v>
      </c>
    </row>
    <row r="68" customHeight="1" spans="1:27">
      <c r="A68" s="21" t="s">
        <v>264</v>
      </c>
      <c r="B68" s="21" t="s">
        <v>45</v>
      </c>
      <c r="C68" s="21" t="s">
        <v>141</v>
      </c>
      <c r="D68" s="21" t="s">
        <v>142</v>
      </c>
      <c r="E68" s="21" t="s">
        <v>142</v>
      </c>
      <c r="F68" s="21" t="s">
        <v>143</v>
      </c>
      <c r="G68" s="21" t="s">
        <v>100</v>
      </c>
      <c r="H68" s="21" t="s">
        <v>146</v>
      </c>
      <c r="I68" s="26">
        <v>2</v>
      </c>
      <c r="J68" s="26">
        <v>30</v>
      </c>
      <c r="K68" s="21" t="s">
        <v>52</v>
      </c>
      <c r="L68" s="27">
        <v>2730.25</v>
      </c>
      <c r="M68" s="21"/>
      <c r="N68" s="21"/>
      <c r="O68" s="21" t="s">
        <v>265</v>
      </c>
      <c r="P68" s="21" t="s">
        <v>54</v>
      </c>
      <c r="Q68" s="28">
        <v>46218</v>
      </c>
      <c r="R68" s="29">
        <v>46217.5677199074</v>
      </c>
      <c r="S68" s="21" t="s">
        <v>145</v>
      </c>
      <c r="T68" s="21"/>
      <c r="U68" s="21" t="s">
        <v>142</v>
      </c>
      <c r="V68" s="29">
        <v>46217.567662037</v>
      </c>
      <c r="W68">
        <f>VLOOKUP(H68,物料編碼!A:B,2,0)</f>
        <v>1300603041</v>
      </c>
      <c r="X68">
        <v>1300603</v>
      </c>
      <c r="Y68" t="str">
        <f>VLOOKUP(X68,物料編碼!D:G,4,0)</f>
        <v>帶骨全腿</v>
      </c>
      <c r="Z68" t="str">
        <f>VLOOKUP(C68,客戶屬性1!A:C,2,0)</f>
        <v>新昌冻肉</v>
      </c>
      <c r="AA68">
        <f>IF(COUNTIF($O$1:O68,O68)=1,L68,0)</f>
        <v>0</v>
      </c>
    </row>
    <row r="69" customHeight="1" spans="1:27">
      <c r="A69" s="21" t="s">
        <v>264</v>
      </c>
      <c r="B69" s="21" t="s">
        <v>45</v>
      </c>
      <c r="C69" s="21" t="s">
        <v>141</v>
      </c>
      <c r="D69" s="21" t="s">
        <v>142</v>
      </c>
      <c r="E69" s="21" t="s">
        <v>142</v>
      </c>
      <c r="F69" s="21" t="s">
        <v>143</v>
      </c>
      <c r="G69" s="21" t="s">
        <v>100</v>
      </c>
      <c r="H69" s="21" t="s">
        <v>117</v>
      </c>
      <c r="I69" s="26">
        <v>3</v>
      </c>
      <c r="J69" s="26">
        <v>45</v>
      </c>
      <c r="K69" s="21" t="s">
        <v>52</v>
      </c>
      <c r="L69" s="27">
        <v>2730.25</v>
      </c>
      <c r="M69" s="21"/>
      <c r="N69" s="21"/>
      <c r="O69" s="21" t="s">
        <v>265</v>
      </c>
      <c r="P69" s="21" t="s">
        <v>54</v>
      </c>
      <c r="Q69" s="28">
        <v>46218</v>
      </c>
      <c r="R69" s="29">
        <v>46217.5677199074</v>
      </c>
      <c r="S69" s="21" t="s">
        <v>145</v>
      </c>
      <c r="T69" s="21"/>
      <c r="U69" s="21" t="s">
        <v>142</v>
      </c>
      <c r="V69" s="29">
        <v>46217.567662037</v>
      </c>
      <c r="W69">
        <f>VLOOKUP(H69,物料編碼!A:B,2,0)</f>
        <v>1300607015</v>
      </c>
      <c r="X69">
        <v>1300607</v>
      </c>
      <c r="Y69" t="str">
        <f>VLOOKUP(X69,物料編碼!D:G,4,0)</f>
        <v>帶皮腿扒</v>
      </c>
      <c r="Z69" t="str">
        <f>VLOOKUP(C69,客戶屬性1!A:C,2,0)</f>
        <v>新昌冻肉</v>
      </c>
      <c r="AA69">
        <f>IF(COUNTIF($O$1:O69,O69)=1,L69,0)</f>
        <v>0</v>
      </c>
    </row>
    <row r="70" customHeight="1" spans="1:27">
      <c r="A70" s="21" t="s">
        <v>266</v>
      </c>
      <c r="B70" s="21" t="s">
        <v>45</v>
      </c>
      <c r="C70" s="21" t="s">
        <v>171</v>
      </c>
      <c r="D70" s="21" t="s">
        <v>172</v>
      </c>
      <c r="E70" s="21" t="s">
        <v>173</v>
      </c>
      <c r="F70" s="21" t="s">
        <v>49</v>
      </c>
      <c r="G70" s="21" t="s">
        <v>174</v>
      </c>
      <c r="H70" s="21" t="s">
        <v>267</v>
      </c>
      <c r="I70" s="26">
        <v>2</v>
      </c>
      <c r="J70" s="26">
        <v>40</v>
      </c>
      <c r="K70" s="21" t="s">
        <v>52</v>
      </c>
      <c r="L70" s="27">
        <v>2376</v>
      </c>
      <c r="M70" s="21"/>
      <c r="N70" s="21"/>
      <c r="O70" s="21" t="s">
        <v>268</v>
      </c>
      <c r="P70" s="21" t="s">
        <v>54</v>
      </c>
      <c r="Q70" s="28">
        <v>46218</v>
      </c>
      <c r="R70" s="29">
        <v>46217.5344212963</v>
      </c>
      <c r="S70" s="21" t="s">
        <v>177</v>
      </c>
      <c r="T70" s="21"/>
      <c r="U70" s="21" t="s">
        <v>172</v>
      </c>
      <c r="V70" s="29">
        <v>46217.5343634259</v>
      </c>
      <c r="W70">
        <f>VLOOKUP(H70,物料編碼!A:B,2,0)</f>
        <v>1300511002</v>
      </c>
      <c r="X70">
        <v>1300511</v>
      </c>
      <c r="Y70" t="str">
        <f>VLOOKUP(X70,物料編碼!D:G,4,0)</f>
        <v>羊卷肉</v>
      </c>
      <c r="Z70" t="str">
        <f>VLOOKUP(C70,客戶屬性1!A:C,2,0)</f>
        <v>豪气有限公司</v>
      </c>
      <c r="AA70">
        <f>IF(COUNTIF($O$1:O70,O70)=1,L70,0)</f>
        <v>2376</v>
      </c>
    </row>
    <row r="71" customHeight="1" spans="1:27">
      <c r="A71" s="21" t="s">
        <v>269</v>
      </c>
      <c r="B71" s="21" t="s">
        <v>45</v>
      </c>
      <c r="C71" s="21" t="s">
        <v>97</v>
      </c>
      <c r="D71" s="21" t="s">
        <v>98</v>
      </c>
      <c r="E71" s="21" t="s">
        <v>99</v>
      </c>
      <c r="F71" s="21" t="s">
        <v>49</v>
      </c>
      <c r="G71" s="21" t="s">
        <v>100</v>
      </c>
      <c r="H71" s="21" t="s">
        <v>179</v>
      </c>
      <c r="I71" s="26">
        <v>2</v>
      </c>
      <c r="J71" s="26">
        <v>50</v>
      </c>
      <c r="K71" s="21" t="s">
        <v>52</v>
      </c>
      <c r="L71" s="27">
        <v>1623.6</v>
      </c>
      <c r="M71" s="21"/>
      <c r="N71" s="21"/>
      <c r="O71" s="21" t="s">
        <v>270</v>
      </c>
      <c r="P71" s="21" t="s">
        <v>54</v>
      </c>
      <c r="Q71" s="28">
        <v>46218</v>
      </c>
      <c r="R71" s="29">
        <v>46217.4893055556</v>
      </c>
      <c r="S71" s="21" t="s">
        <v>103</v>
      </c>
      <c r="T71" s="21"/>
      <c r="U71" s="21" t="s">
        <v>99</v>
      </c>
      <c r="V71" s="29">
        <v>46217.4892592593</v>
      </c>
      <c r="W71">
        <f>VLOOKUP(H71,物料編碼!A:B,2,0)</f>
        <v>1300109012</v>
      </c>
      <c r="X71">
        <v>1300109</v>
      </c>
      <c r="Y71" t="str">
        <f>VLOOKUP(X71,物料編碼!D:G,4,0)</f>
        <v>面精肉</v>
      </c>
      <c r="Z71" t="str">
        <f>VLOOKUP(C71,客戶屬性1!A:C,2,0)</f>
        <v>三明有限公司</v>
      </c>
      <c r="AA71">
        <f>IF(COUNTIF($O$1:O71,O71)=1,L71,0)</f>
        <v>1623.6</v>
      </c>
    </row>
    <row r="72" customHeight="1" spans="1:27">
      <c r="A72" s="21" t="s">
        <v>271</v>
      </c>
      <c r="B72" s="21" t="s">
        <v>45</v>
      </c>
      <c r="C72" s="21" t="s">
        <v>86</v>
      </c>
      <c r="D72" s="21" t="s">
        <v>87</v>
      </c>
      <c r="E72" s="21" t="s">
        <v>88</v>
      </c>
      <c r="F72" s="21" t="s">
        <v>49</v>
      </c>
      <c r="G72" s="21" t="s">
        <v>89</v>
      </c>
      <c r="H72" s="21" t="s">
        <v>63</v>
      </c>
      <c r="I72" s="26">
        <v>4</v>
      </c>
      <c r="J72" s="26">
        <v>100</v>
      </c>
      <c r="K72" s="21" t="s">
        <v>52</v>
      </c>
      <c r="L72" s="27">
        <v>3273.2</v>
      </c>
      <c r="M72" s="21"/>
      <c r="N72" s="21"/>
      <c r="O72" s="21" t="s">
        <v>272</v>
      </c>
      <c r="P72" s="21" t="s">
        <v>54</v>
      </c>
      <c r="Q72" s="28">
        <v>46218</v>
      </c>
      <c r="R72" s="29">
        <v>46217.4463194444</v>
      </c>
      <c r="S72" s="21" t="s">
        <v>91</v>
      </c>
      <c r="T72" s="21"/>
      <c r="U72" s="21" t="s">
        <v>88</v>
      </c>
      <c r="V72" s="29">
        <v>46217.4462731481</v>
      </c>
      <c r="W72">
        <f>VLOOKUP(H72,物料編碼!A:B,2,0)</f>
        <v>1300109002</v>
      </c>
      <c r="X72">
        <v>1300109</v>
      </c>
      <c r="Y72" t="str">
        <f>VLOOKUP(X72,物料編碼!D:G,4,0)</f>
        <v>面精肉</v>
      </c>
      <c r="Z72" t="str">
        <f>VLOOKUP(C72,客戶屬性1!A:C,2,0)</f>
        <v>新城发食品有限公司</v>
      </c>
      <c r="AA72">
        <f>IF(COUNTIF($O$1:O72,O72)=1,L72,0)</f>
        <v>3273.2</v>
      </c>
    </row>
    <row r="73" customHeight="1" spans="1:27">
      <c r="A73" s="21" t="s">
        <v>273</v>
      </c>
      <c r="B73" s="21" t="s">
        <v>45</v>
      </c>
      <c r="C73" s="21" t="s">
        <v>46</v>
      </c>
      <c r="D73" s="21" t="s">
        <v>47</v>
      </c>
      <c r="E73" s="21" t="s">
        <v>48</v>
      </c>
      <c r="F73" s="21" t="s">
        <v>49</v>
      </c>
      <c r="G73" s="21" t="s">
        <v>50</v>
      </c>
      <c r="H73" s="21" t="s">
        <v>274</v>
      </c>
      <c r="I73" s="26">
        <v>1</v>
      </c>
      <c r="J73" s="26">
        <v>10</v>
      </c>
      <c r="K73" s="21" t="s">
        <v>52</v>
      </c>
      <c r="L73" s="27">
        <v>128</v>
      </c>
      <c r="M73" s="21"/>
      <c r="N73" s="21"/>
      <c r="O73" s="21" t="s">
        <v>275</v>
      </c>
      <c r="P73" s="21" t="s">
        <v>54</v>
      </c>
      <c r="Q73" s="28">
        <v>46217</v>
      </c>
      <c r="R73" s="29">
        <v>46217.4213888889</v>
      </c>
      <c r="S73" s="21" t="s">
        <v>55</v>
      </c>
      <c r="T73" s="21"/>
      <c r="U73" s="21" t="s">
        <v>47</v>
      </c>
      <c r="V73" s="29">
        <v>46217.4213425926</v>
      </c>
      <c r="W73">
        <f>VLOOKUP(H73,物料編碼!A:B,2,0)</f>
        <v>1300626003</v>
      </c>
      <c r="X73">
        <v>1300626</v>
      </c>
      <c r="Y73" t="str">
        <f>VLOOKUP(X73,物料編碼!D:G,4,0)</f>
        <v>翅根</v>
      </c>
      <c r="Z73" t="str">
        <f>VLOOKUP(C73,客戶屬性1!A:C,2,0)</f>
        <v>明记冻肉</v>
      </c>
      <c r="AA73">
        <f>IF(COUNTIF($O$1:O73,O73)=1,L73,0)</f>
        <v>128</v>
      </c>
    </row>
    <row r="74" customHeight="1" spans="1:27">
      <c r="A74" s="21" t="s">
        <v>276</v>
      </c>
      <c r="B74" s="21" t="s">
        <v>45</v>
      </c>
      <c r="C74" s="21" t="s">
        <v>72</v>
      </c>
      <c r="D74" s="21" t="s">
        <v>73</v>
      </c>
      <c r="E74" s="21" t="s">
        <v>74</v>
      </c>
      <c r="F74" s="21" t="s">
        <v>49</v>
      </c>
      <c r="G74" s="21" t="s">
        <v>50</v>
      </c>
      <c r="H74" s="21" t="s">
        <v>190</v>
      </c>
      <c r="I74" s="26">
        <v>6</v>
      </c>
      <c r="J74" s="26">
        <v>72</v>
      </c>
      <c r="K74" s="21" t="s">
        <v>52</v>
      </c>
      <c r="L74" s="27">
        <v>1130.4</v>
      </c>
      <c r="M74" s="21"/>
      <c r="N74" s="21"/>
      <c r="O74" s="21" t="s">
        <v>277</v>
      </c>
      <c r="P74" s="21" t="s">
        <v>54</v>
      </c>
      <c r="Q74" s="28">
        <v>46217</v>
      </c>
      <c r="R74" s="29">
        <v>46217.4040509259</v>
      </c>
      <c r="S74" s="21" t="s">
        <v>77</v>
      </c>
      <c r="T74" s="21"/>
      <c r="U74" s="21" t="s">
        <v>74</v>
      </c>
      <c r="V74" s="29">
        <v>46217.4040046296</v>
      </c>
      <c r="W74">
        <f>VLOOKUP(H74,物料編碼!A:B,2,0)</f>
        <v>1300609001</v>
      </c>
      <c r="X74">
        <v>1300609</v>
      </c>
      <c r="Y74" t="str">
        <f>VLOOKUP(X74,物料編碼!D:G,4,0)</f>
        <v>去皮上腿肉</v>
      </c>
      <c r="Z74" t="str">
        <f>VLOOKUP(C74,客戶屬性1!A:C,2,0)</f>
        <v>恒辉贸易公司</v>
      </c>
      <c r="AA74">
        <f>IF(COUNTIF($O$1:O74,O74)=1,L74,0)</f>
        <v>1130.4</v>
      </c>
    </row>
    <row r="75" customHeight="1" spans="1:27">
      <c r="A75" s="21" t="s">
        <v>278</v>
      </c>
      <c r="B75" s="21" t="s">
        <v>45</v>
      </c>
      <c r="C75" s="21" t="s">
        <v>126</v>
      </c>
      <c r="D75" s="21" t="s">
        <v>127</v>
      </c>
      <c r="E75" s="21" t="s">
        <v>128</v>
      </c>
      <c r="F75" s="21" t="s">
        <v>49</v>
      </c>
      <c r="G75" s="21" t="s">
        <v>129</v>
      </c>
      <c r="H75" s="21" t="s">
        <v>75</v>
      </c>
      <c r="I75" s="26">
        <v>15</v>
      </c>
      <c r="J75" s="26">
        <v>225</v>
      </c>
      <c r="K75" s="21" t="s">
        <v>52</v>
      </c>
      <c r="L75" s="27">
        <v>2828.25</v>
      </c>
      <c r="M75" s="21"/>
      <c r="N75" s="21"/>
      <c r="O75" s="21" t="s">
        <v>279</v>
      </c>
      <c r="P75" s="21" t="s">
        <v>54</v>
      </c>
      <c r="Q75" s="28">
        <v>46217</v>
      </c>
      <c r="R75" s="29">
        <v>46217.3940162037</v>
      </c>
      <c r="S75" s="21" t="s">
        <v>131</v>
      </c>
      <c r="T75" s="21"/>
      <c r="U75" s="21" t="s">
        <v>127</v>
      </c>
      <c r="V75" s="29">
        <v>46217.3939699074</v>
      </c>
      <c r="W75">
        <f>VLOOKUP(H75,物料編碼!A:B,2,0)</f>
        <v>1300603040</v>
      </c>
      <c r="X75">
        <v>1300603</v>
      </c>
      <c r="Y75" t="str">
        <f>VLOOKUP(X75,物料編碼!D:G,4,0)</f>
        <v>帶骨全腿</v>
      </c>
      <c r="Z75" t="str">
        <f>VLOOKUP(C75,客戶屬性1!A:C,2,0)</f>
        <v>福源食品有限公司</v>
      </c>
      <c r="AA75">
        <f>IF(COUNTIF($O$1:O75,O75)=1,L75,0)</f>
        <v>2828.25</v>
      </c>
    </row>
    <row r="76" customHeight="1" spans="1:27">
      <c r="A76" s="21" t="s">
        <v>280</v>
      </c>
      <c r="B76" s="21" t="s">
        <v>45</v>
      </c>
      <c r="C76" s="21" t="s">
        <v>97</v>
      </c>
      <c r="D76" s="21" t="s">
        <v>98</v>
      </c>
      <c r="E76" s="21" t="s">
        <v>99</v>
      </c>
      <c r="F76" s="21" t="s">
        <v>49</v>
      </c>
      <c r="G76" s="21" t="s">
        <v>100</v>
      </c>
      <c r="H76" s="21" t="s">
        <v>179</v>
      </c>
      <c r="I76" s="26">
        <v>2</v>
      </c>
      <c r="J76" s="26">
        <v>50</v>
      </c>
      <c r="K76" s="21" t="s">
        <v>52</v>
      </c>
      <c r="L76" s="27">
        <v>1623.6</v>
      </c>
      <c r="M76" s="21"/>
      <c r="N76" s="21"/>
      <c r="O76" s="21" t="s">
        <v>281</v>
      </c>
      <c r="P76" s="21" t="s">
        <v>54</v>
      </c>
      <c r="Q76" s="28">
        <v>46217</v>
      </c>
      <c r="R76" s="29">
        <v>46216.6477083333</v>
      </c>
      <c r="S76" s="21" t="s">
        <v>103</v>
      </c>
      <c r="T76" s="21"/>
      <c r="U76" s="21" t="s">
        <v>99</v>
      </c>
      <c r="V76" s="29">
        <v>46216.647662037</v>
      </c>
      <c r="W76">
        <f>VLOOKUP(H76,物料編碼!A:B,2,0)</f>
        <v>1300109012</v>
      </c>
      <c r="X76">
        <v>1300109</v>
      </c>
      <c r="Y76" t="str">
        <f>VLOOKUP(X76,物料編碼!D:G,4,0)</f>
        <v>面精肉</v>
      </c>
      <c r="Z76" t="str">
        <f>VLOOKUP(C76,客戶屬性1!A:C,2,0)</f>
        <v>三明有限公司</v>
      </c>
      <c r="AA76">
        <f>IF(COUNTIF($O$1:O76,O76)=1,L76,0)</f>
        <v>1623.6</v>
      </c>
    </row>
    <row r="77" customHeight="1" spans="1:27">
      <c r="A77" s="21" t="s">
        <v>282</v>
      </c>
      <c r="B77" s="21" t="s">
        <v>45</v>
      </c>
      <c r="C77" s="21" t="s">
        <v>171</v>
      </c>
      <c r="D77" s="21" t="s">
        <v>172</v>
      </c>
      <c r="E77" s="21" t="s">
        <v>173</v>
      </c>
      <c r="F77" s="21" t="s">
        <v>49</v>
      </c>
      <c r="G77" s="21" t="s">
        <v>174</v>
      </c>
      <c r="H77" s="21" t="s">
        <v>283</v>
      </c>
      <c r="I77" s="26">
        <v>10</v>
      </c>
      <c r="J77" s="26">
        <v>250</v>
      </c>
      <c r="K77" s="21" t="s">
        <v>52</v>
      </c>
      <c r="L77" s="27">
        <v>4459</v>
      </c>
      <c r="M77" s="21"/>
      <c r="N77" s="21"/>
      <c r="O77" s="21" t="s">
        <v>284</v>
      </c>
      <c r="P77" s="21" t="s">
        <v>54</v>
      </c>
      <c r="Q77" s="28">
        <v>46217</v>
      </c>
      <c r="R77" s="29">
        <v>46216.6440740741</v>
      </c>
      <c r="S77" s="21" t="s">
        <v>177</v>
      </c>
      <c r="T77" s="21"/>
      <c r="U77" s="21" t="s">
        <v>172</v>
      </c>
      <c r="V77" s="29">
        <v>46216.6440277778</v>
      </c>
      <c r="W77">
        <f>VLOOKUP(H77,物料編碼!A:B,2,0)</f>
        <v>1300104005</v>
      </c>
      <c r="X77">
        <v>1300104</v>
      </c>
      <c r="Y77" t="str">
        <f>VLOOKUP(X77,物料編碼!D:G,4,0)</f>
        <v>四號肉</v>
      </c>
      <c r="Z77" t="str">
        <f>VLOOKUP(C77,客戶屬性1!A:C,2,0)</f>
        <v>豪气有限公司</v>
      </c>
      <c r="AA77">
        <f>IF(COUNTIF($O$1:O77,O77)=1,L77,0)</f>
        <v>4459</v>
      </c>
    </row>
    <row r="78" customHeight="1" spans="1:27">
      <c r="A78" s="21" t="s">
        <v>285</v>
      </c>
      <c r="B78" s="21" t="s">
        <v>45</v>
      </c>
      <c r="C78" s="21" t="s">
        <v>72</v>
      </c>
      <c r="D78" s="21" t="s">
        <v>73</v>
      </c>
      <c r="E78" s="21" t="s">
        <v>74</v>
      </c>
      <c r="F78" s="21" t="s">
        <v>49</v>
      </c>
      <c r="G78" s="21" t="s">
        <v>50</v>
      </c>
      <c r="H78" s="21" t="s">
        <v>286</v>
      </c>
      <c r="I78" s="26">
        <v>1</v>
      </c>
      <c r="J78" s="26">
        <v>10</v>
      </c>
      <c r="K78" s="21" t="s">
        <v>52</v>
      </c>
      <c r="L78" s="27">
        <v>136</v>
      </c>
      <c r="M78" s="21"/>
      <c r="N78" s="21"/>
      <c r="O78" s="21" t="s">
        <v>287</v>
      </c>
      <c r="P78" s="21" t="s">
        <v>183</v>
      </c>
      <c r="Q78" s="28">
        <v>46217</v>
      </c>
      <c r="R78" s="29">
        <v>46216.6195717593</v>
      </c>
      <c r="S78" s="21" t="s">
        <v>288</v>
      </c>
      <c r="T78" s="21"/>
      <c r="U78" s="21" t="s">
        <v>82</v>
      </c>
      <c r="V78" s="29">
        <v>46216.619525463</v>
      </c>
      <c r="W78">
        <f>VLOOKUP(H78,物料編碼!A:B,2,0)</f>
        <v>1300903003</v>
      </c>
      <c r="X78">
        <v>1300903</v>
      </c>
      <c r="Y78" t="str">
        <f>VLOOKUP(X78,物料編碼!D:G,4,0)</f>
        <v>生鴨胸</v>
      </c>
      <c r="Z78" t="str">
        <f>VLOOKUP(C78,客戶屬性1!A:C,2,0)</f>
        <v>恒辉贸易公司</v>
      </c>
      <c r="AA78">
        <f>IF(COUNTIF($O$1:O78,O78)=1,L78,0)</f>
        <v>136</v>
      </c>
    </row>
    <row r="79" customHeight="1" spans="1:27">
      <c r="A79" s="21" t="s">
        <v>289</v>
      </c>
      <c r="B79" s="21" t="s">
        <v>45</v>
      </c>
      <c r="C79" s="21" t="s">
        <v>290</v>
      </c>
      <c r="D79" s="21" t="s">
        <v>291</v>
      </c>
      <c r="E79" s="21" t="s">
        <v>292</v>
      </c>
      <c r="F79" s="21" t="s">
        <v>49</v>
      </c>
      <c r="G79" s="21" t="s">
        <v>50</v>
      </c>
      <c r="H79" s="21" t="s">
        <v>121</v>
      </c>
      <c r="I79" s="26">
        <v>2</v>
      </c>
      <c r="J79" s="26">
        <v>40</v>
      </c>
      <c r="K79" s="21" t="s">
        <v>52</v>
      </c>
      <c r="L79" s="27">
        <v>970.2</v>
      </c>
      <c r="M79" s="21"/>
      <c r="N79" s="21"/>
      <c r="O79" s="21" t="s">
        <v>293</v>
      </c>
      <c r="P79" s="21" t="s">
        <v>54</v>
      </c>
      <c r="Q79" s="28">
        <v>46217</v>
      </c>
      <c r="R79" s="29">
        <v>46216.4841319444</v>
      </c>
      <c r="S79" s="21" t="s">
        <v>294</v>
      </c>
      <c r="T79" s="21"/>
      <c r="U79" s="21" t="s">
        <v>292</v>
      </c>
      <c r="V79" s="29">
        <v>46216.4840856481</v>
      </c>
      <c r="W79">
        <f>VLOOKUP(H79,物料編碼!A:B,2,0)</f>
        <v>1300114011</v>
      </c>
      <c r="X79">
        <v>1300114</v>
      </c>
      <c r="Y79" t="str">
        <f>VLOOKUP(X79,物料編碼!D:G,4,0)</f>
        <v>熟食</v>
      </c>
      <c r="Z79" t="str">
        <f>VLOOKUP(C79,客戶屬性1!A:C,2,0)</f>
        <v>溢利食品(香港)有限公司</v>
      </c>
      <c r="AA79">
        <f>IF(COUNTIF($O$1:O79,O79)=1,L79,0)</f>
        <v>970.2</v>
      </c>
    </row>
    <row r="80" customHeight="1" spans="1:27">
      <c r="A80" s="21" t="s">
        <v>295</v>
      </c>
      <c r="B80" s="21" t="s">
        <v>45</v>
      </c>
      <c r="C80" s="21" t="s">
        <v>141</v>
      </c>
      <c r="D80" s="21" t="s">
        <v>142</v>
      </c>
      <c r="E80" s="21" t="s">
        <v>142</v>
      </c>
      <c r="F80" s="21" t="s">
        <v>143</v>
      </c>
      <c r="G80" s="21" t="s">
        <v>100</v>
      </c>
      <c r="H80" s="21" t="s">
        <v>296</v>
      </c>
      <c r="I80" s="26">
        <v>1</v>
      </c>
      <c r="J80" s="26">
        <v>10</v>
      </c>
      <c r="K80" s="21" t="s">
        <v>52</v>
      </c>
      <c r="L80" s="27">
        <v>1264.05</v>
      </c>
      <c r="M80" s="21"/>
      <c r="N80" s="21"/>
      <c r="O80" s="21" t="s">
        <v>297</v>
      </c>
      <c r="P80" s="21" t="s">
        <v>54</v>
      </c>
      <c r="Q80" s="28">
        <v>46217</v>
      </c>
      <c r="R80" s="29">
        <v>46216.4794675926</v>
      </c>
      <c r="S80" s="21" t="s">
        <v>145</v>
      </c>
      <c r="T80" s="21"/>
      <c r="U80" s="21" t="s">
        <v>142</v>
      </c>
      <c r="V80" s="29">
        <v>46216.4794097222</v>
      </c>
      <c r="W80">
        <f>VLOOKUP(H80,物料編碼!A:B,2,0)</f>
        <v>1300902011</v>
      </c>
      <c r="X80">
        <v>1300902</v>
      </c>
      <c r="Y80" t="str">
        <f>VLOOKUP(X80,物料編碼!D:G,4,0)</f>
        <v>帶骨整腿</v>
      </c>
      <c r="Z80" t="str">
        <f>VLOOKUP(C80,客戶屬性1!A:C,2,0)</f>
        <v>新昌冻肉</v>
      </c>
      <c r="AA80">
        <f>IF(COUNTIF($O$1:O80,O80)=1,L80,0)</f>
        <v>1264.05</v>
      </c>
    </row>
    <row r="81" customHeight="1" spans="1:27">
      <c r="A81" s="21" t="s">
        <v>295</v>
      </c>
      <c r="B81" s="21" t="s">
        <v>45</v>
      </c>
      <c r="C81" s="21" t="s">
        <v>141</v>
      </c>
      <c r="D81" s="21" t="s">
        <v>142</v>
      </c>
      <c r="E81" s="21" t="s">
        <v>142</v>
      </c>
      <c r="F81" s="21" t="s">
        <v>143</v>
      </c>
      <c r="G81" s="21" t="s">
        <v>100</v>
      </c>
      <c r="H81" s="21" t="s">
        <v>298</v>
      </c>
      <c r="I81" s="26">
        <v>1</v>
      </c>
      <c r="J81" s="26">
        <v>10</v>
      </c>
      <c r="K81" s="21" t="s">
        <v>52</v>
      </c>
      <c r="L81" s="27">
        <v>1264.05</v>
      </c>
      <c r="M81" s="21"/>
      <c r="N81" s="21"/>
      <c r="O81" s="21" t="s">
        <v>297</v>
      </c>
      <c r="P81" s="21" t="s">
        <v>54</v>
      </c>
      <c r="Q81" s="28">
        <v>46217</v>
      </c>
      <c r="R81" s="29">
        <v>46216.4794675926</v>
      </c>
      <c r="S81" s="21" t="s">
        <v>145</v>
      </c>
      <c r="T81" s="21"/>
      <c r="U81" s="21" t="s">
        <v>142</v>
      </c>
      <c r="V81" s="29">
        <v>46216.4794097222</v>
      </c>
      <c r="W81">
        <f>VLOOKUP(H81,物料編碼!A:B,2,0)</f>
        <v>1300111003</v>
      </c>
      <c r="X81">
        <v>1300111</v>
      </c>
      <c r="Y81" t="str">
        <f>VLOOKUP(X81,物料編碼!D:G,4,0)</f>
        <v>寸骨</v>
      </c>
      <c r="Z81" t="str">
        <f>VLOOKUP(C81,客戶屬性1!A:C,2,0)</f>
        <v>新昌冻肉</v>
      </c>
      <c r="AA81">
        <f>IF(COUNTIF($O$1:O81,O81)=1,L81,0)</f>
        <v>0</v>
      </c>
    </row>
    <row r="82" customHeight="1" spans="1:27">
      <c r="A82" s="21" t="s">
        <v>295</v>
      </c>
      <c r="B82" s="21" t="s">
        <v>45</v>
      </c>
      <c r="C82" s="21" t="s">
        <v>141</v>
      </c>
      <c r="D82" s="21" t="s">
        <v>142</v>
      </c>
      <c r="E82" s="21" t="s">
        <v>142</v>
      </c>
      <c r="F82" s="21" t="s">
        <v>143</v>
      </c>
      <c r="G82" s="21" t="s">
        <v>100</v>
      </c>
      <c r="H82" s="21" t="s">
        <v>117</v>
      </c>
      <c r="I82" s="26">
        <v>3</v>
      </c>
      <c r="J82" s="26">
        <v>45</v>
      </c>
      <c r="K82" s="21" t="s">
        <v>52</v>
      </c>
      <c r="L82" s="27">
        <v>1264.05</v>
      </c>
      <c r="M82" s="21"/>
      <c r="N82" s="21"/>
      <c r="O82" s="21" t="s">
        <v>297</v>
      </c>
      <c r="P82" s="21" t="s">
        <v>54</v>
      </c>
      <c r="Q82" s="28">
        <v>46217</v>
      </c>
      <c r="R82" s="29">
        <v>46216.4794675926</v>
      </c>
      <c r="S82" s="21" t="s">
        <v>145</v>
      </c>
      <c r="T82" s="21"/>
      <c r="U82" s="21" t="s">
        <v>142</v>
      </c>
      <c r="V82" s="29">
        <v>46216.4794097222</v>
      </c>
      <c r="W82">
        <f>VLOOKUP(H82,物料編碼!A:B,2,0)</f>
        <v>1300607015</v>
      </c>
      <c r="X82">
        <v>1300607</v>
      </c>
      <c r="Y82" t="str">
        <f>VLOOKUP(X82,物料編碼!D:G,4,0)</f>
        <v>帶皮腿扒</v>
      </c>
      <c r="Z82" t="str">
        <f>VLOOKUP(C82,客戶屬性1!A:C,2,0)</f>
        <v>新昌冻肉</v>
      </c>
      <c r="AA82">
        <f>IF(COUNTIF($O$1:O82,O82)=1,L82,0)</f>
        <v>0</v>
      </c>
    </row>
    <row r="83" customHeight="1" spans="1:27">
      <c r="A83" s="21" t="s">
        <v>299</v>
      </c>
      <c r="B83" s="21" t="s">
        <v>45</v>
      </c>
      <c r="C83" s="21" t="s">
        <v>97</v>
      </c>
      <c r="D83" s="21" t="s">
        <v>98</v>
      </c>
      <c r="E83" s="21" t="s">
        <v>99</v>
      </c>
      <c r="F83" s="21" t="s">
        <v>49</v>
      </c>
      <c r="G83" s="21" t="s">
        <v>100</v>
      </c>
      <c r="H83" s="21" t="s">
        <v>300</v>
      </c>
      <c r="I83" s="26">
        <v>6</v>
      </c>
      <c r="J83" s="26">
        <v>72</v>
      </c>
      <c r="K83" s="21" t="s">
        <v>52</v>
      </c>
      <c r="L83" s="27">
        <v>2196</v>
      </c>
      <c r="M83" s="21"/>
      <c r="N83" s="21"/>
      <c r="O83" s="21" t="s">
        <v>301</v>
      </c>
      <c r="P83" s="21" t="s">
        <v>54</v>
      </c>
      <c r="Q83" s="28">
        <v>46216</v>
      </c>
      <c r="R83" s="29">
        <v>46216.4772916667</v>
      </c>
      <c r="S83" s="21" t="s">
        <v>103</v>
      </c>
      <c r="T83" s="21"/>
      <c r="U83" s="21" t="s">
        <v>99</v>
      </c>
      <c r="V83" s="29">
        <v>46216.4772453704</v>
      </c>
      <c r="W83">
        <f>VLOOKUP(H83,物料編碼!A:B,2,0)</f>
        <v>1300610038</v>
      </c>
      <c r="X83">
        <v>1300610</v>
      </c>
      <c r="Y83" t="str">
        <f>VLOOKUP(X83,物料編碼!D:G,4,0)</f>
        <v>帶皮上腿肉</v>
      </c>
      <c r="Z83" t="str">
        <f>VLOOKUP(C83,客戶屬性1!A:C,2,0)</f>
        <v>三明有限公司</v>
      </c>
      <c r="AA83">
        <f>IF(COUNTIF($O$1:O83,O83)=1,L83,0)</f>
        <v>2196</v>
      </c>
    </row>
    <row r="84" customHeight="1" spans="1:27">
      <c r="A84" s="21" t="s">
        <v>299</v>
      </c>
      <c r="B84" s="21" t="s">
        <v>45</v>
      </c>
      <c r="C84" s="21" t="s">
        <v>97</v>
      </c>
      <c r="D84" s="21" t="s">
        <v>98</v>
      </c>
      <c r="E84" s="21" t="s">
        <v>99</v>
      </c>
      <c r="F84" s="21" t="s">
        <v>49</v>
      </c>
      <c r="G84" s="21" t="s">
        <v>100</v>
      </c>
      <c r="H84" s="21" t="s">
        <v>302</v>
      </c>
      <c r="I84" s="26">
        <v>6</v>
      </c>
      <c r="J84" s="26">
        <v>72</v>
      </c>
      <c r="K84" s="21" t="s">
        <v>52</v>
      </c>
      <c r="L84" s="27">
        <v>2196</v>
      </c>
      <c r="M84" s="21"/>
      <c r="N84" s="21"/>
      <c r="O84" s="21" t="s">
        <v>301</v>
      </c>
      <c r="P84" s="21" t="s">
        <v>54</v>
      </c>
      <c r="Q84" s="28">
        <v>46216</v>
      </c>
      <c r="R84" s="29">
        <v>46216.4772916667</v>
      </c>
      <c r="S84" s="21" t="s">
        <v>103</v>
      </c>
      <c r="T84" s="21"/>
      <c r="U84" s="21" t="s">
        <v>99</v>
      </c>
      <c r="V84" s="29">
        <v>46216.4772453704</v>
      </c>
      <c r="W84">
        <f>VLOOKUP(H84,物料編碼!A:B,2,0)</f>
        <v>1300609018</v>
      </c>
      <c r="X84">
        <v>1300609</v>
      </c>
      <c r="Y84" t="str">
        <f>VLOOKUP(X84,物料編碼!D:G,4,0)</f>
        <v>去皮上腿肉</v>
      </c>
      <c r="Z84" t="str">
        <f>VLOOKUP(C84,客戶屬性1!A:C,2,0)</f>
        <v>三明有限公司</v>
      </c>
      <c r="AA84">
        <f>IF(COUNTIF($O$1:O84,O84)=1,L84,0)</f>
        <v>0</v>
      </c>
    </row>
    <row r="85" customHeight="1" spans="1:27">
      <c r="A85" s="21" t="s">
        <v>303</v>
      </c>
      <c r="B85" s="21" t="s">
        <v>45</v>
      </c>
      <c r="C85" s="21" t="s">
        <v>304</v>
      </c>
      <c r="D85" s="21" t="s">
        <v>305</v>
      </c>
      <c r="E85" s="21" t="s">
        <v>306</v>
      </c>
      <c r="F85" s="21" t="s">
        <v>49</v>
      </c>
      <c r="G85" s="21" t="s">
        <v>307</v>
      </c>
      <c r="H85" s="21" t="s">
        <v>308</v>
      </c>
      <c r="I85" s="26">
        <v>20</v>
      </c>
      <c r="J85" s="26">
        <v>200</v>
      </c>
      <c r="K85" s="21" t="s">
        <v>52</v>
      </c>
      <c r="L85" s="27">
        <v>7469</v>
      </c>
      <c r="M85" s="21"/>
      <c r="N85" s="21"/>
      <c r="O85" s="21" t="s">
        <v>309</v>
      </c>
      <c r="P85" s="21" t="s">
        <v>54</v>
      </c>
      <c r="Q85" s="28">
        <v>46216</v>
      </c>
      <c r="R85" s="29">
        <v>46216.4650694444</v>
      </c>
      <c r="S85" s="21" t="s">
        <v>310</v>
      </c>
      <c r="T85" s="21"/>
      <c r="U85" s="21" t="s">
        <v>306</v>
      </c>
      <c r="V85" s="29">
        <v>46216.4650231482</v>
      </c>
      <c r="W85">
        <f>VLOOKUP(H85,物料編碼!A:B,2,0)</f>
        <v>1800108097</v>
      </c>
      <c r="X85">
        <v>1800108</v>
      </c>
      <c r="Y85" t="str">
        <f>VLOOKUP(X85,物料編碼!D:G,4,0)</f>
        <v>魚.其他</v>
      </c>
      <c r="Z85" t="str">
        <f>VLOOKUP(C85,客戶屬性1!A:C,2,0)</f>
        <v>三宝食品集团有限公司</v>
      </c>
      <c r="AA85">
        <f>IF(COUNTIF($O$1:O85,O85)=1,L85,0)</f>
        <v>7469</v>
      </c>
    </row>
    <row r="86" customHeight="1" spans="1:27">
      <c r="A86" s="21" t="s">
        <v>311</v>
      </c>
      <c r="B86" s="21" t="s">
        <v>45</v>
      </c>
      <c r="C86" s="21" t="s">
        <v>187</v>
      </c>
      <c r="D86" s="21" t="s">
        <v>188</v>
      </c>
      <c r="E86" s="21" t="s">
        <v>189</v>
      </c>
      <c r="F86" s="21" t="s">
        <v>49</v>
      </c>
      <c r="G86" s="21" t="s">
        <v>68</v>
      </c>
      <c r="H86" s="21" t="s">
        <v>190</v>
      </c>
      <c r="I86" s="26">
        <v>5</v>
      </c>
      <c r="J86" s="26">
        <v>60</v>
      </c>
      <c r="K86" s="21" t="s">
        <v>52</v>
      </c>
      <c r="L86" s="27">
        <v>942</v>
      </c>
      <c r="M86" s="21"/>
      <c r="N86" s="21"/>
      <c r="O86" s="21" t="s">
        <v>312</v>
      </c>
      <c r="P86" s="21" t="s">
        <v>54</v>
      </c>
      <c r="Q86" s="28">
        <v>46217</v>
      </c>
      <c r="R86" s="29">
        <v>46216.4485648148</v>
      </c>
      <c r="S86" s="21" t="s">
        <v>192</v>
      </c>
      <c r="T86" s="21"/>
      <c r="U86" s="21" t="s">
        <v>193</v>
      </c>
      <c r="V86" s="29">
        <v>46216.4485185185</v>
      </c>
      <c r="W86">
        <f>VLOOKUP(H86,物料編碼!A:B,2,0)</f>
        <v>1300609001</v>
      </c>
      <c r="X86">
        <v>1300609</v>
      </c>
      <c r="Y86" t="str">
        <f>VLOOKUP(X86,物料編碼!D:G,4,0)</f>
        <v>去皮上腿肉</v>
      </c>
      <c r="Z86" t="str">
        <f>VLOOKUP(C86,客戶屬性1!A:C,2,0)</f>
        <v>佳城兴业有限公司/火炭</v>
      </c>
      <c r="AA86">
        <f>IF(COUNTIF($O$1:O86,O86)=1,L86,0)</f>
        <v>942</v>
      </c>
    </row>
    <row r="87" customHeight="1" spans="1:27">
      <c r="A87" s="21" t="s">
        <v>313</v>
      </c>
      <c r="B87" s="21" t="s">
        <v>45</v>
      </c>
      <c r="C87" s="21" t="s">
        <v>97</v>
      </c>
      <c r="D87" s="21" t="s">
        <v>98</v>
      </c>
      <c r="E87" s="21" t="s">
        <v>99</v>
      </c>
      <c r="F87" s="21" t="s">
        <v>49</v>
      </c>
      <c r="G87" s="21" t="s">
        <v>100</v>
      </c>
      <c r="H87" s="21" t="s">
        <v>298</v>
      </c>
      <c r="I87" s="26">
        <v>2</v>
      </c>
      <c r="J87" s="26">
        <v>20</v>
      </c>
      <c r="K87" s="21" t="s">
        <v>52</v>
      </c>
      <c r="L87" s="27">
        <v>950.4</v>
      </c>
      <c r="M87" s="21"/>
      <c r="N87" s="21"/>
      <c r="O87" s="21" t="s">
        <v>314</v>
      </c>
      <c r="P87" s="21" t="s">
        <v>54</v>
      </c>
      <c r="Q87" s="28">
        <v>46216</v>
      </c>
      <c r="R87" s="29">
        <v>46216.4282175926</v>
      </c>
      <c r="S87" s="21" t="s">
        <v>103</v>
      </c>
      <c r="T87" s="21"/>
      <c r="U87" s="21" t="s">
        <v>99</v>
      </c>
      <c r="V87" s="29">
        <v>46216.4281712963</v>
      </c>
      <c r="W87">
        <f>VLOOKUP(H87,物料編碼!A:B,2,0)</f>
        <v>1300111003</v>
      </c>
      <c r="X87">
        <v>1300111</v>
      </c>
      <c r="Y87" t="str">
        <f>VLOOKUP(X87,物料編碼!D:G,4,0)</f>
        <v>寸骨</v>
      </c>
      <c r="Z87" t="str">
        <f>VLOOKUP(C87,客戶屬性1!A:C,2,0)</f>
        <v>三明有限公司</v>
      </c>
      <c r="AA87">
        <f>IF(COUNTIF($O$1:O87,O87)=1,L87,0)</f>
        <v>950.4</v>
      </c>
    </row>
    <row r="88" customHeight="1" spans="1:27">
      <c r="A88" s="21" t="s">
        <v>315</v>
      </c>
      <c r="B88" s="21" t="s">
        <v>45</v>
      </c>
      <c r="C88" s="21" t="s">
        <v>46</v>
      </c>
      <c r="D88" s="21" t="s">
        <v>47</v>
      </c>
      <c r="E88" s="21" t="s">
        <v>48</v>
      </c>
      <c r="F88" s="21" t="s">
        <v>49</v>
      </c>
      <c r="G88" s="21" t="s">
        <v>50</v>
      </c>
      <c r="H88" s="21" t="s">
        <v>51</v>
      </c>
      <c r="I88" s="26">
        <v>1</v>
      </c>
      <c r="J88" s="26">
        <v>10</v>
      </c>
      <c r="K88" s="21" t="s">
        <v>52</v>
      </c>
      <c r="L88" s="27">
        <v>128</v>
      </c>
      <c r="M88" s="21"/>
      <c r="N88" s="21"/>
      <c r="O88" s="21" t="s">
        <v>316</v>
      </c>
      <c r="P88" s="21" t="s">
        <v>54</v>
      </c>
      <c r="Q88" s="28">
        <v>46216</v>
      </c>
      <c r="R88" s="29">
        <v>46216.4220486111</v>
      </c>
      <c r="S88" s="21" t="s">
        <v>55</v>
      </c>
      <c r="T88" s="21"/>
      <c r="U88" s="21" t="s">
        <v>47</v>
      </c>
      <c r="V88" s="29">
        <v>46216.4220023148</v>
      </c>
      <c r="W88">
        <f>VLOOKUP(H88,物料編碼!A:B,2,0)</f>
        <v>1300624103</v>
      </c>
      <c r="X88">
        <v>1300624</v>
      </c>
      <c r="Y88" t="str">
        <f>VLOOKUP(X88,物料編碼!D:G,4,0)</f>
        <v>琵琶腿</v>
      </c>
      <c r="Z88" t="str">
        <f>VLOOKUP(C88,客戶屬性1!A:C,2,0)</f>
        <v>明记冻肉</v>
      </c>
      <c r="AA88">
        <f>IF(COUNTIF($O$1:O88,O88)=1,L88,0)</f>
        <v>128</v>
      </c>
    </row>
    <row r="89" customHeight="1" spans="1:27">
      <c r="A89" s="21" t="s">
        <v>317</v>
      </c>
      <c r="B89" s="21" t="s">
        <v>45</v>
      </c>
      <c r="C89" s="21" t="s">
        <v>72</v>
      </c>
      <c r="D89" s="21" t="s">
        <v>73</v>
      </c>
      <c r="E89" s="21" t="s">
        <v>74</v>
      </c>
      <c r="F89" s="21" t="s">
        <v>49</v>
      </c>
      <c r="G89" s="21" t="s">
        <v>50</v>
      </c>
      <c r="H89" s="21" t="s">
        <v>190</v>
      </c>
      <c r="I89" s="26">
        <v>5</v>
      </c>
      <c r="J89" s="26">
        <v>60</v>
      </c>
      <c r="K89" s="21" t="s">
        <v>52</v>
      </c>
      <c r="L89" s="27">
        <v>1385.4</v>
      </c>
      <c r="M89" s="21"/>
      <c r="N89" s="21"/>
      <c r="O89" s="21" t="s">
        <v>318</v>
      </c>
      <c r="P89" s="21" t="s">
        <v>54</v>
      </c>
      <c r="Q89" s="28">
        <v>46216</v>
      </c>
      <c r="R89" s="29">
        <v>46216.4072222222</v>
      </c>
      <c r="S89" s="21" t="s">
        <v>77</v>
      </c>
      <c r="T89" s="21"/>
      <c r="U89" s="21" t="s">
        <v>74</v>
      </c>
      <c r="V89" s="29">
        <v>46216.4071643519</v>
      </c>
      <c r="W89">
        <f>VLOOKUP(H89,物料編碼!A:B,2,0)</f>
        <v>1300609001</v>
      </c>
      <c r="X89">
        <v>1300609</v>
      </c>
      <c r="Y89" t="str">
        <f>VLOOKUP(X89,物料編碼!D:G,4,0)</f>
        <v>去皮上腿肉</v>
      </c>
      <c r="Z89" t="str">
        <f>VLOOKUP(C89,客戶屬性1!A:C,2,0)</f>
        <v>恒辉贸易公司</v>
      </c>
      <c r="AA89">
        <f>IF(COUNTIF($O$1:O89,O89)=1,L89,0)</f>
        <v>1385.4</v>
      </c>
    </row>
    <row r="90" customHeight="1" spans="1:27">
      <c r="A90" s="21" t="s">
        <v>317</v>
      </c>
      <c r="B90" s="21" t="s">
        <v>45</v>
      </c>
      <c r="C90" s="21" t="s">
        <v>72</v>
      </c>
      <c r="D90" s="21" t="s">
        <v>73</v>
      </c>
      <c r="E90" s="21" t="s">
        <v>74</v>
      </c>
      <c r="F90" s="21" t="s">
        <v>49</v>
      </c>
      <c r="G90" s="21" t="s">
        <v>50</v>
      </c>
      <c r="H90" s="21" t="s">
        <v>78</v>
      </c>
      <c r="I90" s="26">
        <v>2</v>
      </c>
      <c r="J90" s="26">
        <v>30</v>
      </c>
      <c r="K90" s="21" t="s">
        <v>52</v>
      </c>
      <c r="L90" s="27">
        <v>1385.4</v>
      </c>
      <c r="M90" s="21"/>
      <c r="N90" s="21"/>
      <c r="O90" s="21" t="s">
        <v>318</v>
      </c>
      <c r="P90" s="21" t="s">
        <v>54</v>
      </c>
      <c r="Q90" s="28">
        <v>46216</v>
      </c>
      <c r="R90" s="29">
        <v>46216.4072222222</v>
      </c>
      <c r="S90" s="21" t="s">
        <v>77</v>
      </c>
      <c r="T90" s="21"/>
      <c r="U90" s="21" t="s">
        <v>74</v>
      </c>
      <c r="V90" s="29">
        <v>46216.4071643519</v>
      </c>
      <c r="W90">
        <f>VLOOKUP(H90,物料編碼!A:B,2,0)</f>
        <v>1300607014</v>
      </c>
      <c r="X90">
        <v>1300607</v>
      </c>
      <c r="Y90" t="str">
        <f>VLOOKUP(X90,物料編碼!D:G,4,0)</f>
        <v>帶皮腿扒</v>
      </c>
      <c r="Z90" t="str">
        <f>VLOOKUP(C90,客戶屬性1!A:C,2,0)</f>
        <v>恒辉贸易公司</v>
      </c>
      <c r="AA90">
        <f>IF(COUNTIF($O$1:O90,O90)=1,L90,0)</f>
        <v>0</v>
      </c>
    </row>
    <row r="91" customHeight="1" spans="1:27">
      <c r="A91" s="21" t="s">
        <v>319</v>
      </c>
      <c r="B91" s="21" t="s">
        <v>45</v>
      </c>
      <c r="C91" s="21" t="s">
        <v>72</v>
      </c>
      <c r="D91" s="21" t="s">
        <v>73</v>
      </c>
      <c r="E91" s="21" t="s">
        <v>74</v>
      </c>
      <c r="F91" s="21" t="s">
        <v>49</v>
      </c>
      <c r="G91" s="21" t="s">
        <v>50</v>
      </c>
      <c r="H91" s="21" t="s">
        <v>298</v>
      </c>
      <c r="I91" s="26">
        <v>1</v>
      </c>
      <c r="J91" s="26">
        <v>10</v>
      </c>
      <c r="K91" s="21" t="s">
        <v>52</v>
      </c>
      <c r="L91" s="27">
        <v>480</v>
      </c>
      <c r="M91" s="21"/>
      <c r="N91" s="21"/>
      <c r="O91" s="21" t="s">
        <v>320</v>
      </c>
      <c r="P91" s="21" t="s">
        <v>54</v>
      </c>
      <c r="Q91" s="28">
        <v>46216</v>
      </c>
      <c r="R91" s="29">
        <v>46216.3748842593</v>
      </c>
      <c r="S91" s="21" t="s">
        <v>81</v>
      </c>
      <c r="T91" s="21"/>
      <c r="U91" s="21" t="s">
        <v>82</v>
      </c>
      <c r="V91" s="29">
        <v>46216.3748263889</v>
      </c>
      <c r="W91">
        <f>VLOOKUP(H91,物料編碼!A:B,2,0)</f>
        <v>1300111003</v>
      </c>
      <c r="X91">
        <v>1300111</v>
      </c>
      <c r="Y91" t="str">
        <f>VLOOKUP(X91,物料編碼!D:G,4,0)</f>
        <v>寸骨</v>
      </c>
      <c r="Z91" t="str">
        <f>VLOOKUP(C91,客戶屬性1!A:C,2,0)</f>
        <v>恒辉贸易公司</v>
      </c>
      <c r="AA91">
        <f>IF(COUNTIF($O$1:O91,O91)=1,L91,0)</f>
        <v>480</v>
      </c>
    </row>
    <row r="92" customHeight="1" spans="1:27">
      <c r="A92" s="21" t="s">
        <v>321</v>
      </c>
      <c r="B92" s="21" t="s">
        <v>45</v>
      </c>
      <c r="C92" s="21" t="s">
        <v>72</v>
      </c>
      <c r="D92" s="21" t="s">
        <v>73</v>
      </c>
      <c r="E92" s="21" t="s">
        <v>74</v>
      </c>
      <c r="F92" s="21" t="s">
        <v>49</v>
      </c>
      <c r="G92" s="21" t="s">
        <v>50</v>
      </c>
      <c r="H92" s="21" t="s">
        <v>63</v>
      </c>
      <c r="I92" s="26">
        <v>6</v>
      </c>
      <c r="J92" s="26">
        <v>150</v>
      </c>
      <c r="K92" s="21" t="s">
        <v>52</v>
      </c>
      <c r="L92" s="27">
        <v>4859.7</v>
      </c>
      <c r="M92" s="21"/>
      <c r="N92" s="21"/>
      <c r="O92" s="21" t="s">
        <v>322</v>
      </c>
      <c r="P92" s="21" t="s">
        <v>54</v>
      </c>
      <c r="Q92" s="28">
        <v>46216</v>
      </c>
      <c r="R92" s="29">
        <v>46214.4702083333</v>
      </c>
      <c r="S92" s="21" t="s">
        <v>81</v>
      </c>
      <c r="T92" s="21"/>
      <c r="U92" s="21" t="s">
        <v>82</v>
      </c>
      <c r="V92" s="29">
        <v>46214.470162037</v>
      </c>
      <c r="W92">
        <f>VLOOKUP(H92,物料編碼!A:B,2,0)</f>
        <v>1300109002</v>
      </c>
      <c r="X92">
        <v>1300109</v>
      </c>
      <c r="Y92" t="str">
        <f>VLOOKUP(X92,物料編碼!D:G,4,0)</f>
        <v>面精肉</v>
      </c>
      <c r="Z92" t="str">
        <f>VLOOKUP(C92,客戶屬性1!A:C,2,0)</f>
        <v>恒辉贸易公司</v>
      </c>
      <c r="AA92">
        <f>IF(COUNTIF($O$1:O92,O92)=1,L92,0)</f>
        <v>4859.7</v>
      </c>
    </row>
    <row r="93" customHeight="1" spans="1:27">
      <c r="A93" s="21" t="s">
        <v>323</v>
      </c>
      <c r="B93" s="21" t="s">
        <v>45</v>
      </c>
      <c r="C93" s="21" t="s">
        <v>46</v>
      </c>
      <c r="D93" s="21" t="s">
        <v>47</v>
      </c>
      <c r="E93" s="21" t="s">
        <v>48</v>
      </c>
      <c r="F93" s="21" t="s">
        <v>49</v>
      </c>
      <c r="G93" s="21" t="s">
        <v>50</v>
      </c>
      <c r="H93" s="21" t="s">
        <v>51</v>
      </c>
      <c r="I93" s="26">
        <v>1</v>
      </c>
      <c r="J93" s="26">
        <v>10</v>
      </c>
      <c r="K93" s="21" t="s">
        <v>52</v>
      </c>
      <c r="L93" s="27">
        <v>128</v>
      </c>
      <c r="M93" s="21"/>
      <c r="N93" s="21"/>
      <c r="O93" s="21" t="s">
        <v>324</v>
      </c>
      <c r="P93" s="21" t="s">
        <v>54</v>
      </c>
      <c r="Q93" s="28">
        <v>46214</v>
      </c>
      <c r="R93" s="29">
        <v>46214.4454050926</v>
      </c>
      <c r="S93" s="21" t="s">
        <v>55</v>
      </c>
      <c r="T93" s="21"/>
      <c r="U93" s="21" t="s">
        <v>47</v>
      </c>
      <c r="V93" s="29">
        <v>46214.4453587963</v>
      </c>
      <c r="W93">
        <f>VLOOKUP(H93,物料編碼!A:B,2,0)</f>
        <v>1300624103</v>
      </c>
      <c r="X93">
        <v>1300624</v>
      </c>
      <c r="Y93" t="str">
        <f>VLOOKUP(X93,物料編碼!D:G,4,0)</f>
        <v>琵琶腿</v>
      </c>
      <c r="Z93" t="str">
        <f>VLOOKUP(C93,客戶屬性1!A:C,2,0)</f>
        <v>明记冻肉</v>
      </c>
      <c r="AA93">
        <f>IF(COUNTIF($O$1:O93,O93)=1,L93,0)</f>
        <v>128</v>
      </c>
    </row>
    <row r="94" customHeight="1" spans="1:27">
      <c r="A94" s="21" t="s">
        <v>325</v>
      </c>
      <c r="B94" s="21" t="s">
        <v>45</v>
      </c>
      <c r="C94" s="21" t="s">
        <v>46</v>
      </c>
      <c r="D94" s="21" t="s">
        <v>47</v>
      </c>
      <c r="E94" s="21" t="s">
        <v>48</v>
      </c>
      <c r="F94" s="21" t="s">
        <v>49</v>
      </c>
      <c r="G94" s="21" t="s">
        <v>50</v>
      </c>
      <c r="H94" s="21" t="s">
        <v>63</v>
      </c>
      <c r="I94" s="26">
        <v>1</v>
      </c>
      <c r="J94" s="26">
        <v>25</v>
      </c>
      <c r="K94" s="21" t="s">
        <v>52</v>
      </c>
      <c r="L94" s="27">
        <v>826.65</v>
      </c>
      <c r="M94" s="21"/>
      <c r="N94" s="21"/>
      <c r="O94" s="21" t="s">
        <v>326</v>
      </c>
      <c r="P94" s="21" t="s">
        <v>54</v>
      </c>
      <c r="Q94" s="28">
        <v>46214</v>
      </c>
      <c r="R94" s="29">
        <v>46214.3883680556</v>
      </c>
      <c r="S94" s="21" t="s">
        <v>55</v>
      </c>
      <c r="T94" s="21"/>
      <c r="U94" s="21" t="s">
        <v>47</v>
      </c>
      <c r="V94" s="29">
        <v>46214.3882986111</v>
      </c>
      <c r="W94">
        <f>VLOOKUP(H94,物料編碼!A:B,2,0)</f>
        <v>1300109002</v>
      </c>
      <c r="X94">
        <v>1300109</v>
      </c>
      <c r="Y94" t="str">
        <f>VLOOKUP(X94,物料編碼!D:G,4,0)</f>
        <v>面精肉</v>
      </c>
      <c r="Z94" t="str">
        <f>VLOOKUP(C94,客戶屬性1!A:C,2,0)</f>
        <v>明记冻肉</v>
      </c>
      <c r="AA94">
        <f>IF(COUNTIF($O$1:O94,O94)=1,L94,0)</f>
        <v>826.65</v>
      </c>
    </row>
    <row r="95" customHeight="1" spans="1:27">
      <c r="A95" s="21" t="s">
        <v>327</v>
      </c>
      <c r="B95" s="21" t="s">
        <v>45</v>
      </c>
      <c r="C95" s="21" t="s">
        <v>72</v>
      </c>
      <c r="D95" s="21" t="s">
        <v>73</v>
      </c>
      <c r="E95" s="21" t="s">
        <v>74</v>
      </c>
      <c r="F95" s="21" t="s">
        <v>49</v>
      </c>
      <c r="G95" s="21" t="s">
        <v>50</v>
      </c>
      <c r="H95" s="21" t="s">
        <v>328</v>
      </c>
      <c r="I95" s="26">
        <v>2</v>
      </c>
      <c r="J95" s="26">
        <v>30</v>
      </c>
      <c r="K95" s="21" t="s">
        <v>52</v>
      </c>
      <c r="L95" s="27">
        <v>436.5</v>
      </c>
      <c r="M95" s="21"/>
      <c r="N95" s="21"/>
      <c r="O95" s="21" t="s">
        <v>329</v>
      </c>
      <c r="P95" s="21" t="s">
        <v>54</v>
      </c>
      <c r="Q95" s="28">
        <v>46214</v>
      </c>
      <c r="R95" s="29">
        <v>46214.387025463</v>
      </c>
      <c r="S95" s="21" t="s">
        <v>288</v>
      </c>
      <c r="T95" s="21"/>
      <c r="U95" s="21" t="s">
        <v>82</v>
      </c>
      <c r="V95" s="29">
        <v>46214.3869791667</v>
      </c>
      <c r="W95">
        <f>VLOOKUP(H95,物料編碼!A:B,2,0)</f>
        <v>1300603038</v>
      </c>
      <c r="X95">
        <v>1300603</v>
      </c>
      <c r="Y95" t="str">
        <f>VLOOKUP(X95,物料編碼!D:G,4,0)</f>
        <v>帶骨全腿</v>
      </c>
      <c r="Z95" t="str">
        <f>VLOOKUP(C95,客戶屬性1!A:C,2,0)</f>
        <v>恒辉贸易公司</v>
      </c>
      <c r="AA95">
        <f>IF(COUNTIF($O$1:O95,O95)=1,L95,0)</f>
        <v>436.5</v>
      </c>
    </row>
    <row r="96" customHeight="1" spans="1:27">
      <c r="A96" s="21" t="s">
        <v>330</v>
      </c>
      <c r="B96" s="21" t="s">
        <v>45</v>
      </c>
      <c r="C96" s="21" t="s">
        <v>331</v>
      </c>
      <c r="D96" s="21" t="s">
        <v>332</v>
      </c>
      <c r="E96" s="21" t="s">
        <v>333</v>
      </c>
      <c r="F96" s="21" t="s">
        <v>49</v>
      </c>
      <c r="G96" s="21" t="s">
        <v>136</v>
      </c>
      <c r="H96" s="21" t="s">
        <v>219</v>
      </c>
      <c r="I96" s="26">
        <v>1</v>
      </c>
      <c r="J96" s="26">
        <v>10</v>
      </c>
      <c r="K96" s="21" t="s">
        <v>52</v>
      </c>
      <c r="L96" s="27">
        <v>1029.6</v>
      </c>
      <c r="M96" s="21"/>
      <c r="N96" s="21"/>
      <c r="O96" s="21" t="s">
        <v>334</v>
      </c>
      <c r="P96" s="21" t="s">
        <v>54</v>
      </c>
      <c r="Q96" s="28">
        <v>46214</v>
      </c>
      <c r="R96" s="29">
        <v>46214.3499537037</v>
      </c>
      <c r="S96" s="21" t="s">
        <v>335</v>
      </c>
      <c r="T96" s="21"/>
      <c r="U96" s="21" t="s">
        <v>332</v>
      </c>
      <c r="V96" s="29">
        <v>46214.3498958333</v>
      </c>
      <c r="W96">
        <f>VLOOKUP(H96,物料編碼!A:B,2,0)</f>
        <v>1300501022</v>
      </c>
      <c r="X96">
        <v>1300501</v>
      </c>
      <c r="Y96" t="str">
        <f>VLOOKUP(X96,物料編碼!D:G,4,0)</f>
        <v>羊排</v>
      </c>
      <c r="Z96" t="str">
        <f>VLOOKUP(C96,客戶屬性1!A:C,2,0)</f>
        <v>天后肉食有限公司</v>
      </c>
      <c r="AA96">
        <f>IF(COUNTIF($O$1:O96,O96)=1,L96,0)</f>
        <v>1029.6</v>
      </c>
    </row>
    <row r="97" customHeight="1" spans="1:27">
      <c r="A97" s="21" t="s">
        <v>336</v>
      </c>
      <c r="B97" s="21" t="s">
        <v>45</v>
      </c>
      <c r="C97" s="21" t="s">
        <v>216</v>
      </c>
      <c r="D97" s="21" t="s">
        <v>217</v>
      </c>
      <c r="E97" s="21" t="s">
        <v>218</v>
      </c>
      <c r="F97" s="21" t="s">
        <v>49</v>
      </c>
      <c r="G97" s="21" t="s">
        <v>68</v>
      </c>
      <c r="H97" s="21" t="s">
        <v>267</v>
      </c>
      <c r="I97" s="26">
        <v>2</v>
      </c>
      <c r="J97" s="26">
        <v>40</v>
      </c>
      <c r="K97" s="21" t="s">
        <v>52</v>
      </c>
      <c r="L97" s="27">
        <v>2376</v>
      </c>
      <c r="M97" s="21"/>
      <c r="N97" s="21"/>
      <c r="O97" s="21" t="s">
        <v>337</v>
      </c>
      <c r="P97" s="21" t="s">
        <v>54</v>
      </c>
      <c r="Q97" s="28">
        <v>46214</v>
      </c>
      <c r="R97" s="29">
        <v>46213.7003703704</v>
      </c>
      <c r="S97" s="21" t="s">
        <v>221</v>
      </c>
      <c r="T97" s="21"/>
      <c r="U97" s="21" t="s">
        <v>222</v>
      </c>
      <c r="V97" s="29">
        <v>46213.7003240741</v>
      </c>
      <c r="W97">
        <f>VLOOKUP(H97,物料編碼!A:B,2,0)</f>
        <v>1300511002</v>
      </c>
      <c r="X97">
        <v>1300511</v>
      </c>
      <c r="Y97" t="str">
        <f>VLOOKUP(X97,物料編碼!D:G,4,0)</f>
        <v>羊卷肉</v>
      </c>
      <c r="Z97" t="str">
        <f>VLOOKUP(C97,客戶屬性1!A:C,2,0)</f>
        <v>天恒食品有限公司</v>
      </c>
      <c r="AA97">
        <f>IF(COUNTIF($O$1:O97,O97)=1,L97,0)</f>
        <v>2376</v>
      </c>
    </row>
    <row r="98" customHeight="1" spans="1:27">
      <c r="A98" s="21" t="s">
        <v>338</v>
      </c>
      <c r="B98" s="21" t="s">
        <v>45</v>
      </c>
      <c r="C98" s="21" t="s">
        <v>197</v>
      </c>
      <c r="D98" s="21" t="s">
        <v>198</v>
      </c>
      <c r="E98" s="21" t="s">
        <v>199</v>
      </c>
      <c r="F98" s="21" t="s">
        <v>49</v>
      </c>
      <c r="G98" s="21" t="s">
        <v>136</v>
      </c>
      <c r="H98" s="21" t="s">
        <v>63</v>
      </c>
      <c r="I98" s="26">
        <v>2</v>
      </c>
      <c r="J98" s="26">
        <v>50</v>
      </c>
      <c r="K98" s="21" t="s">
        <v>52</v>
      </c>
      <c r="L98" s="27">
        <v>6019.4</v>
      </c>
      <c r="M98" s="21"/>
      <c r="N98" s="21"/>
      <c r="O98" s="21" t="s">
        <v>339</v>
      </c>
      <c r="P98" s="21" t="s">
        <v>54</v>
      </c>
      <c r="Q98" s="28">
        <v>46216</v>
      </c>
      <c r="R98" s="29">
        <v>46213.6762152778</v>
      </c>
      <c r="S98" s="21" t="s">
        <v>340</v>
      </c>
      <c r="T98" s="21"/>
      <c r="U98" s="21" t="s">
        <v>199</v>
      </c>
      <c r="V98" s="29">
        <v>46213.6761689815</v>
      </c>
      <c r="W98">
        <f>VLOOKUP(H98,物料編碼!A:B,2,0)</f>
        <v>1300109002</v>
      </c>
      <c r="X98">
        <v>1300109</v>
      </c>
      <c r="Y98" t="str">
        <f>VLOOKUP(X98,物料編碼!D:G,4,0)</f>
        <v>面精肉</v>
      </c>
      <c r="Z98" t="str">
        <f>VLOOKUP(C98,客戶屬性1!A:C,2,0)</f>
        <v>信隆(亚洲)有限公司</v>
      </c>
      <c r="AA98">
        <f>IF(COUNTIF($O$1:O98,O98)=1,L98,0)</f>
        <v>6019.4</v>
      </c>
    </row>
    <row r="99" customHeight="1" spans="1:27">
      <c r="A99" s="21" t="s">
        <v>338</v>
      </c>
      <c r="B99" s="21" t="s">
        <v>45</v>
      </c>
      <c r="C99" s="21" t="s">
        <v>197</v>
      </c>
      <c r="D99" s="21" t="s">
        <v>198</v>
      </c>
      <c r="E99" s="21" t="s">
        <v>199</v>
      </c>
      <c r="F99" s="21" t="s">
        <v>49</v>
      </c>
      <c r="G99" s="21" t="s">
        <v>136</v>
      </c>
      <c r="H99" s="21" t="s">
        <v>328</v>
      </c>
      <c r="I99" s="26">
        <v>10</v>
      </c>
      <c r="J99" s="26">
        <v>150</v>
      </c>
      <c r="K99" s="21" t="s">
        <v>52</v>
      </c>
      <c r="L99" s="27">
        <v>6019.4</v>
      </c>
      <c r="M99" s="21"/>
      <c r="N99" s="21"/>
      <c r="O99" s="21" t="s">
        <v>339</v>
      </c>
      <c r="P99" s="21" t="s">
        <v>54</v>
      </c>
      <c r="Q99" s="28">
        <v>46216</v>
      </c>
      <c r="R99" s="29">
        <v>46213.6762152778</v>
      </c>
      <c r="S99" s="21" t="s">
        <v>340</v>
      </c>
      <c r="T99" s="21"/>
      <c r="U99" s="21" t="s">
        <v>199</v>
      </c>
      <c r="V99" s="29">
        <v>46213.6761689815</v>
      </c>
      <c r="W99">
        <f>VLOOKUP(H99,物料編碼!A:B,2,0)</f>
        <v>1300603038</v>
      </c>
      <c r="X99">
        <v>1300603</v>
      </c>
      <c r="Y99" t="str">
        <f>VLOOKUP(X99,物料編碼!D:G,4,0)</f>
        <v>帶骨全腿</v>
      </c>
      <c r="Z99" t="str">
        <f>VLOOKUP(C99,客戶屬性1!A:C,2,0)</f>
        <v>信隆(亚洲)有限公司</v>
      </c>
      <c r="AA99">
        <f>IF(COUNTIF($O$1:O99,O99)=1,L99,0)</f>
        <v>0</v>
      </c>
    </row>
    <row r="100" customHeight="1" spans="1:27">
      <c r="A100" s="21" t="s">
        <v>338</v>
      </c>
      <c r="B100" s="21" t="s">
        <v>45</v>
      </c>
      <c r="C100" s="21" t="s">
        <v>197</v>
      </c>
      <c r="D100" s="21" t="s">
        <v>198</v>
      </c>
      <c r="E100" s="21" t="s">
        <v>199</v>
      </c>
      <c r="F100" s="21" t="s">
        <v>49</v>
      </c>
      <c r="G100" s="21" t="s">
        <v>136</v>
      </c>
      <c r="H100" s="21" t="s">
        <v>117</v>
      </c>
      <c r="I100" s="26">
        <v>10</v>
      </c>
      <c r="J100" s="26">
        <v>150</v>
      </c>
      <c r="K100" s="21" t="s">
        <v>52</v>
      </c>
      <c r="L100" s="27">
        <v>6019.4</v>
      </c>
      <c r="M100" s="21"/>
      <c r="N100" s="21"/>
      <c r="O100" s="21" t="s">
        <v>339</v>
      </c>
      <c r="P100" s="21" t="s">
        <v>54</v>
      </c>
      <c r="Q100" s="28">
        <v>46216</v>
      </c>
      <c r="R100" s="29">
        <v>46213.6762152778</v>
      </c>
      <c r="S100" s="21" t="s">
        <v>340</v>
      </c>
      <c r="T100" s="21"/>
      <c r="U100" s="21" t="s">
        <v>199</v>
      </c>
      <c r="V100" s="29">
        <v>46213.6761689815</v>
      </c>
      <c r="W100">
        <f>VLOOKUP(H100,物料編碼!A:B,2,0)</f>
        <v>1300607015</v>
      </c>
      <c r="X100">
        <v>1300607</v>
      </c>
      <c r="Y100" t="str">
        <f>VLOOKUP(X100,物料編碼!D:G,4,0)</f>
        <v>帶皮腿扒</v>
      </c>
      <c r="Z100" t="str">
        <f>VLOOKUP(C100,客戶屬性1!A:C,2,0)</f>
        <v>信隆(亚洲)有限公司</v>
      </c>
      <c r="AA100">
        <f>IF(COUNTIF($O$1:O100,O100)=1,L100,0)</f>
        <v>0</v>
      </c>
    </row>
    <row r="101" customHeight="1" spans="1:27">
      <c r="A101" s="21" t="s">
        <v>341</v>
      </c>
      <c r="B101" s="21" t="s">
        <v>45</v>
      </c>
      <c r="C101" s="21" t="s">
        <v>197</v>
      </c>
      <c r="D101" s="21" t="s">
        <v>198</v>
      </c>
      <c r="E101" s="21" t="s">
        <v>199</v>
      </c>
      <c r="F101" s="21" t="s">
        <v>49</v>
      </c>
      <c r="G101" s="21" t="s">
        <v>136</v>
      </c>
      <c r="H101" s="21" t="s">
        <v>328</v>
      </c>
      <c r="I101" s="26">
        <v>10</v>
      </c>
      <c r="J101" s="26">
        <v>150</v>
      </c>
      <c r="K101" s="21" t="s">
        <v>52</v>
      </c>
      <c r="L101" s="27">
        <v>2182.5</v>
      </c>
      <c r="M101" s="21"/>
      <c r="N101" s="21"/>
      <c r="O101" s="21" t="s">
        <v>342</v>
      </c>
      <c r="P101" s="21" t="s">
        <v>54</v>
      </c>
      <c r="Q101" s="28">
        <v>46214</v>
      </c>
      <c r="R101" s="29">
        <v>46213.6733680556</v>
      </c>
      <c r="S101" s="21" t="s">
        <v>340</v>
      </c>
      <c r="T101" s="21"/>
      <c r="U101" s="21" t="s">
        <v>199</v>
      </c>
      <c r="V101" s="29">
        <v>46213.6733217593</v>
      </c>
      <c r="W101">
        <f>VLOOKUP(H101,物料編碼!A:B,2,0)</f>
        <v>1300603038</v>
      </c>
      <c r="X101">
        <v>1300603</v>
      </c>
      <c r="Y101" t="str">
        <f>VLOOKUP(X101,物料編碼!D:G,4,0)</f>
        <v>帶骨全腿</v>
      </c>
      <c r="Z101" t="str">
        <f>VLOOKUP(C101,客戶屬性1!A:C,2,0)</f>
        <v>信隆(亚洲)有限公司</v>
      </c>
      <c r="AA101">
        <f>IF(COUNTIF($O$1:O101,O101)=1,L101,0)</f>
        <v>2182.5</v>
      </c>
    </row>
    <row r="102" customHeight="1" spans="1:27">
      <c r="A102" s="21" t="s">
        <v>343</v>
      </c>
      <c r="B102" s="21" t="s">
        <v>45</v>
      </c>
      <c r="C102" s="21" t="s">
        <v>97</v>
      </c>
      <c r="D102" s="21" t="s">
        <v>98</v>
      </c>
      <c r="E102" s="21" t="s">
        <v>99</v>
      </c>
      <c r="F102" s="21" t="s">
        <v>49</v>
      </c>
      <c r="G102" s="21" t="s">
        <v>100</v>
      </c>
      <c r="H102" s="21" t="s">
        <v>63</v>
      </c>
      <c r="I102" s="26">
        <v>5</v>
      </c>
      <c r="J102" s="26">
        <v>125</v>
      </c>
      <c r="K102" s="21" t="s">
        <v>52</v>
      </c>
      <c r="L102" s="27">
        <v>4091.5</v>
      </c>
      <c r="M102" s="21"/>
      <c r="N102" s="21"/>
      <c r="O102" s="21" t="s">
        <v>344</v>
      </c>
      <c r="P102" s="21" t="s">
        <v>54</v>
      </c>
      <c r="Q102" s="28">
        <v>46214</v>
      </c>
      <c r="R102" s="29">
        <v>46213.6232175926</v>
      </c>
      <c r="S102" s="21" t="s">
        <v>103</v>
      </c>
      <c r="T102" s="21"/>
      <c r="U102" s="21" t="s">
        <v>99</v>
      </c>
      <c r="V102" s="29">
        <v>46213.6231712963</v>
      </c>
      <c r="W102">
        <f>VLOOKUP(H102,物料編碼!A:B,2,0)</f>
        <v>1300109002</v>
      </c>
      <c r="X102">
        <v>1300109</v>
      </c>
      <c r="Y102" t="str">
        <f>VLOOKUP(X102,物料編碼!D:G,4,0)</f>
        <v>面精肉</v>
      </c>
      <c r="Z102" t="str">
        <f>VLOOKUP(C102,客戶屬性1!A:C,2,0)</f>
        <v>三明有限公司</v>
      </c>
      <c r="AA102">
        <f>IF(COUNTIF($O$1:O102,O102)=1,L102,0)</f>
        <v>4091.5</v>
      </c>
    </row>
    <row r="103" customHeight="1" spans="1:27">
      <c r="A103" s="21" t="s">
        <v>345</v>
      </c>
      <c r="B103" s="21" t="s">
        <v>45</v>
      </c>
      <c r="C103" s="21" t="s">
        <v>151</v>
      </c>
      <c r="D103" s="21" t="s">
        <v>152</v>
      </c>
      <c r="E103" s="21" t="s">
        <v>153</v>
      </c>
      <c r="F103" s="21" t="s">
        <v>49</v>
      </c>
      <c r="G103" s="21" t="s">
        <v>68</v>
      </c>
      <c r="H103" s="21" t="s">
        <v>154</v>
      </c>
      <c r="I103" s="26">
        <v>1</v>
      </c>
      <c r="J103" s="26">
        <v>15</v>
      </c>
      <c r="K103" s="21" t="s">
        <v>52</v>
      </c>
      <c r="L103" s="27">
        <v>234.75</v>
      </c>
      <c r="M103" s="21"/>
      <c r="N103" s="21"/>
      <c r="O103" s="21" t="s">
        <v>346</v>
      </c>
      <c r="P103" s="21" t="s">
        <v>54</v>
      </c>
      <c r="Q103" s="28">
        <v>46216</v>
      </c>
      <c r="R103" s="29">
        <v>46213.4814814815</v>
      </c>
      <c r="S103" s="21" t="s">
        <v>156</v>
      </c>
      <c r="T103" s="21"/>
      <c r="U103" s="21" t="s">
        <v>152</v>
      </c>
      <c r="V103" s="29">
        <v>46213.4814351852</v>
      </c>
      <c r="W103">
        <f>VLOOKUP(H103,物料編碼!A:B,2,0)</f>
        <v>1300603036</v>
      </c>
      <c r="X103">
        <v>1300603</v>
      </c>
      <c r="Y103" t="str">
        <f>VLOOKUP(X103,物料編碼!D:G,4,0)</f>
        <v>帶骨全腿</v>
      </c>
      <c r="Z103" t="str">
        <f>VLOOKUP(C103,客戶屬性1!A:C,2,0)</f>
        <v>信希食品有限公司</v>
      </c>
      <c r="AA103">
        <f>IF(COUNTIF($O$1:O103,O103)=1,L103,0)</f>
        <v>234.75</v>
      </c>
    </row>
    <row r="104" customHeight="1" spans="1:27">
      <c r="A104" s="21" t="s">
        <v>347</v>
      </c>
      <c r="B104" s="21" t="s">
        <v>45</v>
      </c>
      <c r="C104" s="21" t="s">
        <v>151</v>
      </c>
      <c r="D104" s="21" t="s">
        <v>152</v>
      </c>
      <c r="E104" s="21" t="s">
        <v>153</v>
      </c>
      <c r="F104" s="21" t="s">
        <v>49</v>
      </c>
      <c r="G104" s="21" t="s">
        <v>68</v>
      </c>
      <c r="H104" s="21" t="s">
        <v>154</v>
      </c>
      <c r="I104" s="26">
        <v>2</v>
      </c>
      <c r="J104" s="26">
        <v>30</v>
      </c>
      <c r="K104" s="21" t="s">
        <v>52</v>
      </c>
      <c r="L104" s="27">
        <v>469.5</v>
      </c>
      <c r="M104" s="21"/>
      <c r="N104" s="21"/>
      <c r="O104" s="21" t="s">
        <v>348</v>
      </c>
      <c r="P104" s="21" t="s">
        <v>183</v>
      </c>
      <c r="Q104" s="28">
        <v>46216</v>
      </c>
      <c r="R104" s="29">
        <v>46213.4754861111</v>
      </c>
      <c r="S104" s="21" t="s">
        <v>156</v>
      </c>
      <c r="T104" s="21"/>
      <c r="U104" s="21" t="s">
        <v>152</v>
      </c>
      <c r="V104" s="29">
        <v>46213.4754398148</v>
      </c>
      <c r="W104">
        <f>VLOOKUP(H104,物料編碼!A:B,2,0)</f>
        <v>1300603036</v>
      </c>
      <c r="X104">
        <v>1300603</v>
      </c>
      <c r="Y104" t="str">
        <f>VLOOKUP(X104,物料編碼!D:G,4,0)</f>
        <v>帶骨全腿</v>
      </c>
      <c r="Z104" t="str">
        <f>VLOOKUP(C104,客戶屬性1!A:C,2,0)</f>
        <v>信希食品有限公司</v>
      </c>
      <c r="AA104">
        <f>IF(COUNTIF($O$1:O104,O104)=1,L104,0)</f>
        <v>469.5</v>
      </c>
    </row>
    <row r="105" customHeight="1" spans="1:27">
      <c r="A105" s="21" t="s">
        <v>349</v>
      </c>
      <c r="B105" s="21" t="s">
        <v>45</v>
      </c>
      <c r="C105" s="21" t="s">
        <v>141</v>
      </c>
      <c r="D105" s="21" t="s">
        <v>142</v>
      </c>
      <c r="E105" s="21" t="s">
        <v>142</v>
      </c>
      <c r="F105" s="21" t="s">
        <v>143</v>
      </c>
      <c r="G105" s="21" t="s">
        <v>100</v>
      </c>
      <c r="H105" s="21" t="s">
        <v>60</v>
      </c>
      <c r="I105" s="26">
        <v>1</v>
      </c>
      <c r="J105" s="26">
        <v>25</v>
      </c>
      <c r="K105" s="21" t="s">
        <v>52</v>
      </c>
      <c r="L105" s="27">
        <v>3200.65</v>
      </c>
      <c r="M105" s="21"/>
      <c r="N105" s="21"/>
      <c r="O105" s="21" t="s">
        <v>350</v>
      </c>
      <c r="P105" s="21" t="s">
        <v>54</v>
      </c>
      <c r="Q105" s="28">
        <v>46216</v>
      </c>
      <c r="R105" s="29">
        <v>46213.4735416667</v>
      </c>
      <c r="S105" s="21" t="s">
        <v>145</v>
      </c>
      <c r="T105" s="21"/>
      <c r="U105" s="21" t="s">
        <v>142</v>
      </c>
      <c r="V105" s="29">
        <v>46213.4734953704</v>
      </c>
      <c r="W105">
        <f>VLOOKUP(H105,物料編碼!A:B,2,0)</f>
        <v>1300101043</v>
      </c>
      <c r="X105">
        <v>1300101</v>
      </c>
      <c r="Y105" t="str">
        <f>VLOOKUP(X105,物料編碼!D:G,4,0)</f>
        <v>一號肉</v>
      </c>
      <c r="Z105" t="str">
        <f>VLOOKUP(C105,客戶屬性1!A:C,2,0)</f>
        <v>新昌冻肉</v>
      </c>
      <c r="AA105">
        <f>IF(COUNTIF($O$1:O105,O105)=1,L105,0)</f>
        <v>3200.65</v>
      </c>
    </row>
    <row r="106" customHeight="1" spans="1:27">
      <c r="A106" s="21" t="s">
        <v>349</v>
      </c>
      <c r="B106" s="21" t="s">
        <v>45</v>
      </c>
      <c r="C106" s="21" t="s">
        <v>141</v>
      </c>
      <c r="D106" s="21" t="s">
        <v>142</v>
      </c>
      <c r="E106" s="21" t="s">
        <v>142</v>
      </c>
      <c r="F106" s="21" t="s">
        <v>143</v>
      </c>
      <c r="G106" s="21" t="s">
        <v>100</v>
      </c>
      <c r="H106" s="21" t="s">
        <v>298</v>
      </c>
      <c r="I106" s="26">
        <v>1</v>
      </c>
      <c r="J106" s="26">
        <v>10</v>
      </c>
      <c r="K106" s="21" t="s">
        <v>52</v>
      </c>
      <c r="L106" s="27">
        <v>3200.65</v>
      </c>
      <c r="M106" s="21"/>
      <c r="N106" s="21"/>
      <c r="O106" s="21" t="s">
        <v>350</v>
      </c>
      <c r="P106" s="21" t="s">
        <v>54</v>
      </c>
      <c r="Q106" s="28">
        <v>46216</v>
      </c>
      <c r="R106" s="29">
        <v>46213.4735416667</v>
      </c>
      <c r="S106" s="21" t="s">
        <v>145</v>
      </c>
      <c r="T106" s="21"/>
      <c r="U106" s="21" t="s">
        <v>142</v>
      </c>
      <c r="V106" s="29">
        <v>46213.4734953704</v>
      </c>
      <c r="W106">
        <f>VLOOKUP(H106,物料編碼!A:B,2,0)</f>
        <v>1300111003</v>
      </c>
      <c r="X106">
        <v>1300111</v>
      </c>
      <c r="Y106" t="str">
        <f>VLOOKUP(X106,物料編碼!D:G,4,0)</f>
        <v>寸骨</v>
      </c>
      <c r="Z106" t="str">
        <f>VLOOKUP(C106,客戶屬性1!A:C,2,0)</f>
        <v>新昌冻肉</v>
      </c>
      <c r="AA106">
        <f>IF(COUNTIF($O$1:O106,O106)=1,L106,0)</f>
        <v>0</v>
      </c>
    </row>
    <row r="107" customHeight="1" spans="1:27">
      <c r="A107" s="21" t="s">
        <v>349</v>
      </c>
      <c r="B107" s="21" t="s">
        <v>45</v>
      </c>
      <c r="C107" s="21" t="s">
        <v>141</v>
      </c>
      <c r="D107" s="21" t="s">
        <v>142</v>
      </c>
      <c r="E107" s="21" t="s">
        <v>142</v>
      </c>
      <c r="F107" s="21" t="s">
        <v>143</v>
      </c>
      <c r="G107" s="21" t="s">
        <v>100</v>
      </c>
      <c r="H107" s="21" t="s">
        <v>63</v>
      </c>
      <c r="I107" s="26">
        <v>1</v>
      </c>
      <c r="J107" s="26">
        <v>25</v>
      </c>
      <c r="K107" s="21" t="s">
        <v>52</v>
      </c>
      <c r="L107" s="27">
        <v>3200.65</v>
      </c>
      <c r="M107" s="21"/>
      <c r="N107" s="21"/>
      <c r="O107" s="21" t="s">
        <v>350</v>
      </c>
      <c r="P107" s="21" t="s">
        <v>54</v>
      </c>
      <c r="Q107" s="28">
        <v>46216</v>
      </c>
      <c r="R107" s="29">
        <v>46213.4735416667</v>
      </c>
      <c r="S107" s="21" t="s">
        <v>145</v>
      </c>
      <c r="T107" s="21"/>
      <c r="U107" s="21" t="s">
        <v>142</v>
      </c>
      <c r="V107" s="29">
        <v>46213.4734953704</v>
      </c>
      <c r="W107">
        <f>VLOOKUP(H107,物料編碼!A:B,2,0)</f>
        <v>1300109002</v>
      </c>
      <c r="X107">
        <v>1300109</v>
      </c>
      <c r="Y107" t="str">
        <f>VLOOKUP(X107,物料編碼!D:G,4,0)</f>
        <v>面精肉</v>
      </c>
      <c r="Z107" t="str">
        <f>VLOOKUP(C107,客戶屬性1!A:C,2,0)</f>
        <v>新昌冻肉</v>
      </c>
      <c r="AA107">
        <f>IF(COUNTIF($O$1:O107,O107)=1,L107,0)</f>
        <v>0</v>
      </c>
    </row>
    <row r="108" customHeight="1" spans="1:27">
      <c r="A108" s="21" t="s">
        <v>349</v>
      </c>
      <c r="B108" s="21" t="s">
        <v>45</v>
      </c>
      <c r="C108" s="21" t="s">
        <v>141</v>
      </c>
      <c r="D108" s="21" t="s">
        <v>142</v>
      </c>
      <c r="E108" s="21" t="s">
        <v>142</v>
      </c>
      <c r="F108" s="21" t="s">
        <v>143</v>
      </c>
      <c r="G108" s="21" t="s">
        <v>100</v>
      </c>
      <c r="H108" s="21" t="s">
        <v>146</v>
      </c>
      <c r="I108" s="26">
        <v>2</v>
      </c>
      <c r="J108" s="26">
        <v>30</v>
      </c>
      <c r="K108" s="21" t="s">
        <v>52</v>
      </c>
      <c r="L108" s="27">
        <v>3200.65</v>
      </c>
      <c r="M108" s="21"/>
      <c r="N108" s="21"/>
      <c r="O108" s="21" t="s">
        <v>350</v>
      </c>
      <c r="P108" s="21" t="s">
        <v>54</v>
      </c>
      <c r="Q108" s="28">
        <v>46216</v>
      </c>
      <c r="R108" s="29">
        <v>46213.4735416667</v>
      </c>
      <c r="S108" s="21" t="s">
        <v>145</v>
      </c>
      <c r="T108" s="21"/>
      <c r="U108" s="21" t="s">
        <v>142</v>
      </c>
      <c r="V108" s="29">
        <v>46213.4734953704</v>
      </c>
      <c r="W108">
        <f>VLOOKUP(H108,物料編碼!A:B,2,0)</f>
        <v>1300603041</v>
      </c>
      <c r="X108">
        <v>1300603</v>
      </c>
      <c r="Y108" t="str">
        <f>VLOOKUP(X108,物料編碼!D:G,4,0)</f>
        <v>帶骨全腿</v>
      </c>
      <c r="Z108" t="str">
        <f>VLOOKUP(C108,客戶屬性1!A:C,2,0)</f>
        <v>新昌冻肉</v>
      </c>
      <c r="AA108">
        <f>IF(COUNTIF($O$1:O108,O108)=1,L108,0)</f>
        <v>0</v>
      </c>
    </row>
    <row r="109" customHeight="1" spans="1:27">
      <c r="A109" s="21" t="s">
        <v>349</v>
      </c>
      <c r="B109" s="21" t="s">
        <v>45</v>
      </c>
      <c r="C109" s="21" t="s">
        <v>141</v>
      </c>
      <c r="D109" s="21" t="s">
        <v>142</v>
      </c>
      <c r="E109" s="21" t="s">
        <v>142</v>
      </c>
      <c r="F109" s="21" t="s">
        <v>143</v>
      </c>
      <c r="G109" s="21" t="s">
        <v>100</v>
      </c>
      <c r="H109" s="21" t="s">
        <v>117</v>
      </c>
      <c r="I109" s="26">
        <v>3</v>
      </c>
      <c r="J109" s="26">
        <v>45</v>
      </c>
      <c r="K109" s="21" t="s">
        <v>52</v>
      </c>
      <c r="L109" s="27">
        <v>3200.65</v>
      </c>
      <c r="M109" s="21"/>
      <c r="N109" s="21"/>
      <c r="O109" s="21" t="s">
        <v>350</v>
      </c>
      <c r="P109" s="21" t="s">
        <v>54</v>
      </c>
      <c r="Q109" s="28">
        <v>46216</v>
      </c>
      <c r="R109" s="29">
        <v>46213.4735416667</v>
      </c>
      <c r="S109" s="21" t="s">
        <v>145</v>
      </c>
      <c r="T109" s="21"/>
      <c r="U109" s="21" t="s">
        <v>142</v>
      </c>
      <c r="V109" s="29">
        <v>46213.4734953704</v>
      </c>
      <c r="W109">
        <f>VLOOKUP(H109,物料編碼!A:B,2,0)</f>
        <v>1300607015</v>
      </c>
      <c r="X109">
        <v>1300607</v>
      </c>
      <c r="Y109" t="str">
        <f>VLOOKUP(X109,物料編碼!D:G,4,0)</f>
        <v>帶皮腿扒</v>
      </c>
      <c r="Z109" t="str">
        <f>VLOOKUP(C109,客戶屬性1!A:C,2,0)</f>
        <v>新昌冻肉</v>
      </c>
      <c r="AA109">
        <f>IF(COUNTIF($O$1:O109,O109)=1,L109,0)</f>
        <v>0</v>
      </c>
    </row>
    <row r="110" customHeight="1" spans="1:27">
      <c r="A110" s="21" t="s">
        <v>351</v>
      </c>
      <c r="B110" s="21" t="s">
        <v>45</v>
      </c>
      <c r="C110" s="21" t="s">
        <v>290</v>
      </c>
      <c r="D110" s="21" t="s">
        <v>291</v>
      </c>
      <c r="E110" s="21" t="s">
        <v>292</v>
      </c>
      <c r="F110" s="21" t="s">
        <v>49</v>
      </c>
      <c r="G110" s="21" t="s">
        <v>50</v>
      </c>
      <c r="H110" s="21" t="s">
        <v>121</v>
      </c>
      <c r="I110" s="26">
        <v>1</v>
      </c>
      <c r="J110" s="26">
        <v>20</v>
      </c>
      <c r="K110" s="21" t="s">
        <v>52</v>
      </c>
      <c r="L110" s="27">
        <v>490</v>
      </c>
      <c r="M110" s="21"/>
      <c r="N110" s="21"/>
      <c r="O110" s="21" t="s">
        <v>352</v>
      </c>
      <c r="P110" s="21" t="s">
        <v>54</v>
      </c>
      <c r="Q110" s="28">
        <v>46214</v>
      </c>
      <c r="R110" s="29">
        <v>46213.4716666667</v>
      </c>
      <c r="S110" s="21" t="s">
        <v>294</v>
      </c>
      <c r="T110" s="21"/>
      <c r="U110" s="21" t="s">
        <v>292</v>
      </c>
      <c r="V110" s="29">
        <v>46213.4716203704</v>
      </c>
      <c r="W110">
        <f>VLOOKUP(H110,物料編碼!A:B,2,0)</f>
        <v>1300114011</v>
      </c>
      <c r="X110">
        <v>1300114</v>
      </c>
      <c r="Y110" t="str">
        <f>VLOOKUP(X110,物料編碼!D:G,4,0)</f>
        <v>熟食</v>
      </c>
      <c r="Z110" t="str">
        <f>VLOOKUP(C110,客戶屬性1!A:C,2,0)</f>
        <v>溢利食品(香港)有限公司</v>
      </c>
      <c r="AA110">
        <f>IF(COUNTIF($O$1:O110,O110)=1,L110,0)</f>
        <v>490</v>
      </c>
    </row>
    <row r="111" customHeight="1" spans="1:27">
      <c r="A111" s="21" t="s">
        <v>353</v>
      </c>
      <c r="B111" s="21" t="s">
        <v>45</v>
      </c>
      <c r="C111" s="21" t="s">
        <v>141</v>
      </c>
      <c r="D111" s="21" t="s">
        <v>142</v>
      </c>
      <c r="E111" s="21" t="s">
        <v>142</v>
      </c>
      <c r="F111" s="21" t="s">
        <v>143</v>
      </c>
      <c r="G111" s="21" t="s">
        <v>100</v>
      </c>
      <c r="H111" s="21" t="s">
        <v>168</v>
      </c>
      <c r="I111" s="26">
        <v>1</v>
      </c>
      <c r="J111" s="26">
        <v>10</v>
      </c>
      <c r="K111" s="21" t="s">
        <v>52</v>
      </c>
      <c r="L111" s="27">
        <v>1139.2</v>
      </c>
      <c r="M111" s="21"/>
      <c r="N111" s="21"/>
      <c r="O111" s="21" t="s">
        <v>354</v>
      </c>
      <c r="P111" s="21" t="s">
        <v>54</v>
      </c>
      <c r="Q111" s="28">
        <v>46214</v>
      </c>
      <c r="R111" s="29">
        <v>46213.4715277778</v>
      </c>
      <c r="S111" s="21" t="s">
        <v>145</v>
      </c>
      <c r="T111" s="21"/>
      <c r="U111" s="21" t="s">
        <v>142</v>
      </c>
      <c r="V111" s="29">
        <v>46213.4714814815</v>
      </c>
      <c r="W111">
        <f>VLOOKUP(H111,物料編碼!A:B,2,0)</f>
        <v>1300627002</v>
      </c>
      <c r="X111">
        <v>1300627</v>
      </c>
      <c r="Y111" t="str">
        <f>VLOOKUP(X111,物料編碼!D:G,4,0)</f>
        <v>翅尖</v>
      </c>
      <c r="Z111" t="str">
        <f>VLOOKUP(C111,客戶屬性1!A:C,2,0)</f>
        <v>新昌冻肉</v>
      </c>
      <c r="AA111">
        <f>IF(COUNTIF($O$1:O111,O111)=1,L111,0)</f>
        <v>1139.2</v>
      </c>
    </row>
    <row r="112" customHeight="1" spans="1:27">
      <c r="A112" s="21" t="s">
        <v>353</v>
      </c>
      <c r="B112" s="21" t="s">
        <v>45</v>
      </c>
      <c r="C112" s="21" t="s">
        <v>141</v>
      </c>
      <c r="D112" s="21" t="s">
        <v>142</v>
      </c>
      <c r="E112" s="21" t="s">
        <v>142</v>
      </c>
      <c r="F112" s="21" t="s">
        <v>143</v>
      </c>
      <c r="G112" s="21" t="s">
        <v>100</v>
      </c>
      <c r="H112" s="21" t="s">
        <v>146</v>
      </c>
      <c r="I112" s="26">
        <v>2</v>
      </c>
      <c r="J112" s="26">
        <v>30</v>
      </c>
      <c r="K112" s="21" t="s">
        <v>52</v>
      </c>
      <c r="L112" s="27">
        <v>1139.2</v>
      </c>
      <c r="M112" s="21"/>
      <c r="N112" s="21"/>
      <c r="O112" s="21" t="s">
        <v>354</v>
      </c>
      <c r="P112" s="21" t="s">
        <v>54</v>
      </c>
      <c r="Q112" s="28">
        <v>46214</v>
      </c>
      <c r="R112" s="29">
        <v>46213.4715277778</v>
      </c>
      <c r="S112" s="21" t="s">
        <v>145</v>
      </c>
      <c r="T112" s="21"/>
      <c r="U112" s="21" t="s">
        <v>142</v>
      </c>
      <c r="V112" s="29">
        <v>46213.4714814815</v>
      </c>
      <c r="W112">
        <f>VLOOKUP(H112,物料編碼!A:B,2,0)</f>
        <v>1300603041</v>
      </c>
      <c r="X112">
        <v>1300603</v>
      </c>
      <c r="Y112" t="str">
        <f>VLOOKUP(X112,物料編碼!D:G,4,0)</f>
        <v>帶骨全腿</v>
      </c>
      <c r="Z112" t="str">
        <f>VLOOKUP(C112,客戶屬性1!A:C,2,0)</f>
        <v>新昌冻肉</v>
      </c>
      <c r="AA112">
        <f>IF(COUNTIF($O$1:O112,O112)=1,L112,0)</f>
        <v>0</v>
      </c>
    </row>
    <row r="113" customHeight="1" spans="1:27">
      <c r="A113" s="21" t="s">
        <v>353</v>
      </c>
      <c r="B113" s="21" t="s">
        <v>45</v>
      </c>
      <c r="C113" s="21" t="s">
        <v>141</v>
      </c>
      <c r="D113" s="21" t="s">
        <v>142</v>
      </c>
      <c r="E113" s="21" t="s">
        <v>142</v>
      </c>
      <c r="F113" s="21" t="s">
        <v>143</v>
      </c>
      <c r="G113" s="21" t="s">
        <v>100</v>
      </c>
      <c r="H113" s="21" t="s">
        <v>117</v>
      </c>
      <c r="I113" s="26">
        <v>3</v>
      </c>
      <c r="J113" s="26">
        <v>45</v>
      </c>
      <c r="K113" s="21" t="s">
        <v>52</v>
      </c>
      <c r="L113" s="27">
        <v>1139.2</v>
      </c>
      <c r="M113" s="21"/>
      <c r="N113" s="21"/>
      <c r="O113" s="21" t="s">
        <v>354</v>
      </c>
      <c r="P113" s="21" t="s">
        <v>54</v>
      </c>
      <c r="Q113" s="28">
        <v>46214</v>
      </c>
      <c r="R113" s="29">
        <v>46213.4715277778</v>
      </c>
      <c r="S113" s="21" t="s">
        <v>145</v>
      </c>
      <c r="T113" s="21"/>
      <c r="U113" s="21" t="s">
        <v>142</v>
      </c>
      <c r="V113" s="29">
        <v>46213.4714814815</v>
      </c>
      <c r="W113">
        <f>VLOOKUP(H113,物料編碼!A:B,2,0)</f>
        <v>1300607015</v>
      </c>
      <c r="X113">
        <v>1300607</v>
      </c>
      <c r="Y113" t="str">
        <f>VLOOKUP(X113,物料編碼!D:G,4,0)</f>
        <v>帶皮腿扒</v>
      </c>
      <c r="Z113" t="str">
        <f>VLOOKUP(C113,客戶屬性1!A:C,2,0)</f>
        <v>新昌冻肉</v>
      </c>
      <c r="AA113">
        <f>IF(COUNTIF($O$1:O113,O113)=1,L113,0)</f>
        <v>0</v>
      </c>
    </row>
    <row r="114" customHeight="1" spans="1:27">
      <c r="A114" s="21" t="s">
        <v>355</v>
      </c>
      <c r="B114" s="21" t="s">
        <v>45</v>
      </c>
      <c r="C114" s="21" t="s">
        <v>216</v>
      </c>
      <c r="D114" s="21" t="s">
        <v>217</v>
      </c>
      <c r="E114" s="21" t="s">
        <v>218</v>
      </c>
      <c r="F114" s="21" t="s">
        <v>49</v>
      </c>
      <c r="G114" s="21" t="s">
        <v>68</v>
      </c>
      <c r="H114" s="21" t="s">
        <v>161</v>
      </c>
      <c r="I114" s="26">
        <v>1</v>
      </c>
      <c r="J114" s="26">
        <v>20</v>
      </c>
      <c r="K114" s="21" t="s">
        <v>52</v>
      </c>
      <c r="L114" s="27">
        <v>1900.8</v>
      </c>
      <c r="M114" s="21"/>
      <c r="N114" s="21"/>
      <c r="O114" s="21" t="s">
        <v>356</v>
      </c>
      <c r="P114" s="21" t="s">
        <v>54</v>
      </c>
      <c r="Q114" s="28">
        <v>46214</v>
      </c>
      <c r="R114" s="29">
        <v>46213.4659722222</v>
      </c>
      <c r="S114" s="21" t="s">
        <v>221</v>
      </c>
      <c r="T114" s="21"/>
      <c r="U114" s="21" t="s">
        <v>222</v>
      </c>
      <c r="V114" s="29">
        <v>46213.4659259259</v>
      </c>
      <c r="W114">
        <f>VLOOKUP(H114,物料編碼!A:B,2,0)</f>
        <v>1300501020</v>
      </c>
      <c r="X114">
        <v>1300501</v>
      </c>
      <c r="Y114" t="str">
        <f>VLOOKUP(X114,物料編碼!D:G,4,0)</f>
        <v>羊排</v>
      </c>
      <c r="Z114" t="str">
        <f>VLOOKUP(C114,客戶屬性1!A:C,2,0)</f>
        <v>天恒食品有限公司</v>
      </c>
      <c r="AA114">
        <f>IF(COUNTIF($O$1:O114,O114)=1,L114,0)</f>
        <v>1900.8</v>
      </c>
    </row>
    <row r="115" customHeight="1" spans="1:27">
      <c r="A115" s="21" t="s">
        <v>357</v>
      </c>
      <c r="B115" s="21" t="s">
        <v>45</v>
      </c>
      <c r="C115" s="21" t="s">
        <v>46</v>
      </c>
      <c r="D115" s="21" t="s">
        <v>47</v>
      </c>
      <c r="E115" s="21" t="s">
        <v>48</v>
      </c>
      <c r="F115" s="21" t="s">
        <v>49</v>
      </c>
      <c r="G115" s="21" t="s">
        <v>50</v>
      </c>
      <c r="H115" s="21" t="s">
        <v>219</v>
      </c>
      <c r="I115" s="26">
        <v>1</v>
      </c>
      <c r="J115" s="26">
        <v>10</v>
      </c>
      <c r="K115" s="21" t="s">
        <v>52</v>
      </c>
      <c r="L115" s="27">
        <v>1157.6</v>
      </c>
      <c r="M115" s="21"/>
      <c r="N115" s="21"/>
      <c r="O115" s="21" t="s">
        <v>358</v>
      </c>
      <c r="P115" s="21" t="s">
        <v>54</v>
      </c>
      <c r="Q115" s="28">
        <v>46213</v>
      </c>
      <c r="R115" s="29">
        <v>46213.4399537037</v>
      </c>
      <c r="S115" s="21" t="s">
        <v>55</v>
      </c>
      <c r="T115" s="21"/>
      <c r="U115" s="21" t="s">
        <v>47</v>
      </c>
      <c r="V115" s="29">
        <v>46213.4398958333</v>
      </c>
      <c r="W115">
        <f>VLOOKUP(H115,物料編碼!A:B,2,0)</f>
        <v>1300501022</v>
      </c>
      <c r="X115">
        <v>1300501</v>
      </c>
      <c r="Y115" t="str">
        <f>VLOOKUP(X115,物料編碼!D:G,4,0)</f>
        <v>羊排</v>
      </c>
      <c r="Z115" t="str">
        <f>VLOOKUP(C115,客戶屬性1!A:C,2,0)</f>
        <v>明记冻肉</v>
      </c>
      <c r="AA115">
        <f>IF(COUNTIF($O$1:O115,O115)=1,L115,0)</f>
        <v>1157.6</v>
      </c>
    </row>
    <row r="116" customHeight="1" spans="1:27">
      <c r="A116" s="21" t="s">
        <v>357</v>
      </c>
      <c r="B116" s="21" t="s">
        <v>45</v>
      </c>
      <c r="C116" s="21" t="s">
        <v>46</v>
      </c>
      <c r="D116" s="21" t="s">
        <v>47</v>
      </c>
      <c r="E116" s="21" t="s">
        <v>48</v>
      </c>
      <c r="F116" s="21" t="s">
        <v>49</v>
      </c>
      <c r="G116" s="21" t="s">
        <v>50</v>
      </c>
      <c r="H116" s="21" t="s">
        <v>51</v>
      </c>
      <c r="I116" s="26">
        <v>1</v>
      </c>
      <c r="J116" s="26">
        <v>10</v>
      </c>
      <c r="K116" s="21" t="s">
        <v>52</v>
      </c>
      <c r="L116" s="27">
        <v>1157.6</v>
      </c>
      <c r="M116" s="21"/>
      <c r="N116" s="21"/>
      <c r="O116" s="21" t="s">
        <v>358</v>
      </c>
      <c r="P116" s="21" t="s">
        <v>54</v>
      </c>
      <c r="Q116" s="28">
        <v>46213</v>
      </c>
      <c r="R116" s="29">
        <v>46213.4399537037</v>
      </c>
      <c r="S116" s="21" t="s">
        <v>55</v>
      </c>
      <c r="T116" s="21"/>
      <c r="U116" s="21" t="s">
        <v>47</v>
      </c>
      <c r="V116" s="29">
        <v>46213.4398958333</v>
      </c>
      <c r="W116">
        <f>VLOOKUP(H116,物料編碼!A:B,2,0)</f>
        <v>1300624103</v>
      </c>
      <c r="X116">
        <v>1300624</v>
      </c>
      <c r="Y116" t="str">
        <f>VLOOKUP(X116,物料編碼!D:G,4,0)</f>
        <v>琵琶腿</v>
      </c>
      <c r="Z116" t="str">
        <f>VLOOKUP(C116,客戶屬性1!A:C,2,0)</f>
        <v>明记冻肉</v>
      </c>
      <c r="AA116">
        <f>IF(COUNTIF($O$1:O116,O116)=1,L116,0)</f>
        <v>0</v>
      </c>
    </row>
    <row r="117" customHeight="1" spans="1:27">
      <c r="A117" s="21" t="s">
        <v>359</v>
      </c>
      <c r="B117" s="21" t="s">
        <v>45</v>
      </c>
      <c r="C117" s="21" t="s">
        <v>65</v>
      </c>
      <c r="D117" s="21" t="s">
        <v>66</v>
      </c>
      <c r="E117" s="21" t="s">
        <v>67</v>
      </c>
      <c r="F117" s="21" t="s">
        <v>49</v>
      </c>
      <c r="G117" s="21" t="s">
        <v>68</v>
      </c>
      <c r="H117" s="21" t="s">
        <v>60</v>
      </c>
      <c r="I117" s="26">
        <v>6</v>
      </c>
      <c r="J117" s="26">
        <v>150</v>
      </c>
      <c r="K117" s="21" t="s">
        <v>52</v>
      </c>
      <c r="L117" s="27">
        <v>5165.25</v>
      </c>
      <c r="M117" s="21"/>
      <c r="N117" s="21"/>
      <c r="O117" s="21" t="s">
        <v>360</v>
      </c>
      <c r="P117" s="21" t="s">
        <v>54</v>
      </c>
      <c r="Q117" s="28">
        <v>46213</v>
      </c>
      <c r="R117" s="29">
        <v>46213.3898032407</v>
      </c>
      <c r="S117" s="21" t="s">
        <v>70</v>
      </c>
      <c r="T117" s="21"/>
      <c r="U117" s="21" t="s">
        <v>67</v>
      </c>
      <c r="V117" s="29">
        <v>46213.3897569444</v>
      </c>
      <c r="W117">
        <f>VLOOKUP(H117,物料編碼!A:B,2,0)</f>
        <v>1300101043</v>
      </c>
      <c r="X117">
        <v>1300101</v>
      </c>
      <c r="Y117" t="str">
        <f>VLOOKUP(X117,物料編碼!D:G,4,0)</f>
        <v>一號肉</v>
      </c>
      <c r="Z117" t="str">
        <f>VLOOKUP(C117,客戶屬性1!A:C,2,0)</f>
        <v>万骏贸易公司</v>
      </c>
      <c r="AA117">
        <f>IF(COUNTIF($O$1:O117,O117)=1,L117,0)</f>
        <v>5165.25</v>
      </c>
    </row>
    <row r="118" customHeight="1" spans="1:27">
      <c r="A118" s="21" t="s">
        <v>361</v>
      </c>
      <c r="B118" s="21" t="s">
        <v>45</v>
      </c>
      <c r="C118" s="21" t="s">
        <v>171</v>
      </c>
      <c r="D118" s="21" t="s">
        <v>172</v>
      </c>
      <c r="E118" s="21" t="s">
        <v>173</v>
      </c>
      <c r="F118" s="21" t="s">
        <v>49</v>
      </c>
      <c r="G118" s="21" t="s">
        <v>174</v>
      </c>
      <c r="H118" s="21" t="s">
        <v>362</v>
      </c>
      <c r="I118" s="26">
        <v>2</v>
      </c>
      <c r="J118" s="26">
        <v>27.2</v>
      </c>
      <c r="K118" s="21" t="s">
        <v>52</v>
      </c>
      <c r="L118" s="27">
        <v>2631.89</v>
      </c>
      <c r="M118" s="21"/>
      <c r="N118" s="21"/>
      <c r="O118" s="21" t="s">
        <v>363</v>
      </c>
      <c r="P118" s="21" t="s">
        <v>54</v>
      </c>
      <c r="Q118" s="28">
        <v>46213</v>
      </c>
      <c r="R118" s="29">
        <v>46212.7101157407</v>
      </c>
      <c r="S118" s="21" t="s">
        <v>177</v>
      </c>
      <c r="T118" s="21"/>
      <c r="U118" s="21" t="s">
        <v>172</v>
      </c>
      <c r="V118" s="29">
        <v>46212.7100694444</v>
      </c>
      <c r="W118">
        <f>VLOOKUP(H118,物料編碼!A:B,2,0)</f>
        <v>1300901005</v>
      </c>
      <c r="X118">
        <v>1300901</v>
      </c>
      <c r="Y118" t="str">
        <f>VLOOKUP(X118,物料編碼!D:G,4,0)</f>
        <v>整鴨</v>
      </c>
      <c r="Z118" t="str">
        <f>VLOOKUP(C118,客戶屬性1!A:C,2,0)</f>
        <v>豪气有限公司</v>
      </c>
      <c r="AA118">
        <f>IF(COUNTIF($O$1:O118,O118)=1,L118,0)</f>
        <v>2631.89</v>
      </c>
    </row>
    <row r="119" customHeight="1" spans="1:27">
      <c r="A119" s="21" t="s">
        <v>361</v>
      </c>
      <c r="B119" s="21" t="s">
        <v>45</v>
      </c>
      <c r="C119" s="21" t="s">
        <v>171</v>
      </c>
      <c r="D119" s="21" t="s">
        <v>172</v>
      </c>
      <c r="E119" s="21" t="s">
        <v>173</v>
      </c>
      <c r="F119" s="21" t="s">
        <v>49</v>
      </c>
      <c r="G119" s="21" t="s">
        <v>174</v>
      </c>
      <c r="H119" s="21" t="s">
        <v>267</v>
      </c>
      <c r="I119" s="26">
        <v>2</v>
      </c>
      <c r="J119" s="26">
        <v>40</v>
      </c>
      <c r="K119" s="21" t="s">
        <v>52</v>
      </c>
      <c r="L119" s="27">
        <v>2631.89</v>
      </c>
      <c r="M119" s="21"/>
      <c r="N119" s="21"/>
      <c r="O119" s="21" t="s">
        <v>363</v>
      </c>
      <c r="P119" s="21" t="s">
        <v>54</v>
      </c>
      <c r="Q119" s="28">
        <v>46213</v>
      </c>
      <c r="R119" s="29">
        <v>46212.7101157407</v>
      </c>
      <c r="S119" s="21" t="s">
        <v>177</v>
      </c>
      <c r="T119" s="21"/>
      <c r="U119" s="21" t="s">
        <v>172</v>
      </c>
      <c r="V119" s="29">
        <v>46212.7100694444</v>
      </c>
      <c r="W119">
        <f>VLOOKUP(H119,物料編碼!A:B,2,0)</f>
        <v>1300511002</v>
      </c>
      <c r="X119">
        <v>1300511</v>
      </c>
      <c r="Y119" t="str">
        <f>VLOOKUP(X119,物料編碼!D:G,4,0)</f>
        <v>羊卷肉</v>
      </c>
      <c r="Z119" t="str">
        <f>VLOOKUP(C119,客戶屬性1!A:C,2,0)</f>
        <v>豪气有限公司</v>
      </c>
      <c r="AA119">
        <f>IF(COUNTIF($O$1:O119,O119)=1,L119,0)</f>
        <v>0</v>
      </c>
    </row>
    <row r="120" customHeight="1" spans="1:27">
      <c r="A120" s="21" t="s">
        <v>364</v>
      </c>
      <c r="B120" s="21" t="s">
        <v>45</v>
      </c>
      <c r="C120" s="21" t="s">
        <v>365</v>
      </c>
      <c r="D120" s="21" t="s">
        <v>366</v>
      </c>
      <c r="E120" s="21" t="s">
        <v>367</v>
      </c>
      <c r="F120" s="21" t="s">
        <v>49</v>
      </c>
      <c r="G120" s="21" t="s">
        <v>136</v>
      </c>
      <c r="H120" s="21" t="s">
        <v>368</v>
      </c>
      <c r="I120" s="26">
        <v>2</v>
      </c>
      <c r="J120" s="26">
        <v>24</v>
      </c>
      <c r="K120" s="21" t="s">
        <v>52</v>
      </c>
      <c r="L120" s="27">
        <v>571.2</v>
      </c>
      <c r="M120" s="21"/>
      <c r="N120" s="21"/>
      <c r="O120" s="21"/>
      <c r="P120" s="21" t="s">
        <v>369</v>
      </c>
      <c r="Q120" s="28">
        <v>46213</v>
      </c>
      <c r="R120" s="29">
        <v>46212.6992708333</v>
      </c>
      <c r="S120" s="21" t="s">
        <v>370</v>
      </c>
      <c r="T120" s="21"/>
      <c r="U120" s="21" t="s">
        <v>371</v>
      </c>
      <c r="V120" s="29">
        <v>46212.699224537</v>
      </c>
      <c r="W120" t="e">
        <f>VLOOKUP(H120,物料編碼!A:B,2,0)</f>
        <v>#N/A</v>
      </c>
      <c r="X120" t="e">
        <v>#N/A</v>
      </c>
      <c r="Y120" t="e">
        <f>VLOOKUP(X120,物料編碼!D:G,4,0)</f>
        <v>#N/A</v>
      </c>
      <c r="Z120" t="str">
        <f>VLOOKUP(C120,客戶屬性1!A:C,2,0)</f>
        <v>新柏霖有限公司</v>
      </c>
      <c r="AA120">
        <f>IF(COUNTIF($O$1:O120,O120)=1,L120,0)</f>
        <v>0</v>
      </c>
    </row>
    <row r="121" customHeight="1" spans="1:27">
      <c r="A121" s="21" t="s">
        <v>372</v>
      </c>
      <c r="B121" s="21" t="s">
        <v>45</v>
      </c>
      <c r="C121" s="21" t="s">
        <v>365</v>
      </c>
      <c r="D121" s="21" t="s">
        <v>366</v>
      </c>
      <c r="E121" s="21" t="s">
        <v>367</v>
      </c>
      <c r="F121" s="21" t="s">
        <v>49</v>
      </c>
      <c r="G121" s="21" t="s">
        <v>136</v>
      </c>
      <c r="H121" s="21" t="s">
        <v>373</v>
      </c>
      <c r="I121" s="26">
        <v>2</v>
      </c>
      <c r="J121" s="26">
        <v>40</v>
      </c>
      <c r="K121" s="21" t="s">
        <v>52</v>
      </c>
      <c r="L121" s="27">
        <v>3096.8</v>
      </c>
      <c r="M121" s="21"/>
      <c r="N121" s="21"/>
      <c r="O121" s="21" t="s">
        <v>374</v>
      </c>
      <c r="P121" s="21" t="s">
        <v>54</v>
      </c>
      <c r="Q121" s="28">
        <v>46213</v>
      </c>
      <c r="R121" s="29">
        <v>46212.6399074074</v>
      </c>
      <c r="S121" s="21" t="s">
        <v>370</v>
      </c>
      <c r="T121" s="21"/>
      <c r="U121" s="21" t="s">
        <v>371</v>
      </c>
      <c r="V121" s="29">
        <v>46212.6398611111</v>
      </c>
      <c r="W121">
        <f>VLOOKUP(H121,物料編碼!A:B,2,0)</f>
        <v>1300501029</v>
      </c>
      <c r="X121">
        <v>1300501</v>
      </c>
      <c r="Y121" t="str">
        <f>VLOOKUP(X121,物料編碼!D:G,4,0)</f>
        <v>羊排</v>
      </c>
      <c r="Z121" t="str">
        <f>VLOOKUP(C121,客戶屬性1!A:C,2,0)</f>
        <v>新柏霖有限公司</v>
      </c>
      <c r="AA121">
        <f>IF(COUNTIF($O$1:O121,O121)=1,L121,0)</f>
        <v>3096.8</v>
      </c>
    </row>
    <row r="122" customHeight="1" spans="1:27">
      <c r="A122" s="21" t="s">
        <v>375</v>
      </c>
      <c r="B122" s="21" t="s">
        <v>45</v>
      </c>
      <c r="C122" s="21" t="s">
        <v>72</v>
      </c>
      <c r="D122" s="21" t="s">
        <v>73</v>
      </c>
      <c r="E122" s="21" t="s">
        <v>74</v>
      </c>
      <c r="F122" s="21" t="s">
        <v>49</v>
      </c>
      <c r="G122" s="21" t="s">
        <v>50</v>
      </c>
      <c r="H122" s="21" t="s">
        <v>298</v>
      </c>
      <c r="I122" s="26">
        <v>1</v>
      </c>
      <c r="J122" s="26">
        <v>10</v>
      </c>
      <c r="K122" s="21" t="s">
        <v>52</v>
      </c>
      <c r="L122" s="27">
        <v>480</v>
      </c>
      <c r="M122" s="21"/>
      <c r="N122" s="21"/>
      <c r="O122" s="21" t="s">
        <v>376</v>
      </c>
      <c r="P122" s="21" t="s">
        <v>54</v>
      </c>
      <c r="Q122" s="28">
        <v>46213</v>
      </c>
      <c r="R122" s="29">
        <v>46212.6039814815</v>
      </c>
      <c r="S122" s="21" t="s">
        <v>377</v>
      </c>
      <c r="T122" s="21"/>
      <c r="U122" s="21" t="s">
        <v>82</v>
      </c>
      <c r="V122" s="29">
        <v>46212.6039467593</v>
      </c>
      <c r="W122">
        <f>VLOOKUP(H122,物料編碼!A:B,2,0)</f>
        <v>1300111003</v>
      </c>
      <c r="X122">
        <v>1300111</v>
      </c>
      <c r="Y122" t="str">
        <f>VLOOKUP(X122,物料編碼!D:G,4,0)</f>
        <v>寸骨</v>
      </c>
      <c r="Z122" t="str">
        <f>VLOOKUP(C122,客戶屬性1!A:C,2,0)</f>
        <v>恒辉贸易公司</v>
      </c>
      <c r="AA122">
        <f>IF(COUNTIF($O$1:O122,O122)=1,L122,0)</f>
        <v>480</v>
      </c>
    </row>
    <row r="123" customHeight="1" spans="1:27">
      <c r="A123" s="21" t="s">
        <v>378</v>
      </c>
      <c r="B123" s="21" t="s">
        <v>45</v>
      </c>
      <c r="C123" s="21" t="s">
        <v>72</v>
      </c>
      <c r="D123" s="21" t="s">
        <v>73</v>
      </c>
      <c r="E123" s="21" t="s">
        <v>74</v>
      </c>
      <c r="F123" s="21" t="s">
        <v>49</v>
      </c>
      <c r="G123" s="21" t="s">
        <v>50</v>
      </c>
      <c r="H123" s="21" t="s">
        <v>117</v>
      </c>
      <c r="I123" s="26">
        <v>4</v>
      </c>
      <c r="J123" s="26">
        <v>60</v>
      </c>
      <c r="K123" s="21" t="s">
        <v>52</v>
      </c>
      <c r="L123" s="27">
        <v>886.8</v>
      </c>
      <c r="M123" s="21"/>
      <c r="N123" s="21"/>
      <c r="O123" s="21" t="s">
        <v>379</v>
      </c>
      <c r="P123" s="21" t="s">
        <v>54</v>
      </c>
      <c r="Q123" s="28">
        <v>46213</v>
      </c>
      <c r="R123" s="29">
        <v>46212.5870486111</v>
      </c>
      <c r="S123" s="21" t="s">
        <v>81</v>
      </c>
      <c r="T123" s="21"/>
      <c r="U123" s="21" t="s">
        <v>82</v>
      </c>
      <c r="V123" s="29">
        <v>46212.5869907407</v>
      </c>
      <c r="W123">
        <f>VLOOKUP(H123,物料編碼!A:B,2,0)</f>
        <v>1300607015</v>
      </c>
      <c r="X123">
        <v>1300607</v>
      </c>
      <c r="Y123" t="str">
        <f>VLOOKUP(X123,物料編碼!D:G,4,0)</f>
        <v>帶皮腿扒</v>
      </c>
      <c r="Z123" t="str">
        <f>VLOOKUP(C123,客戶屬性1!A:C,2,0)</f>
        <v>恒辉贸易公司</v>
      </c>
      <c r="AA123">
        <f>IF(COUNTIF($O$1:O123,O123)=1,L123,0)</f>
        <v>886.8</v>
      </c>
    </row>
    <row r="124" customHeight="1" spans="1:27">
      <c r="A124" s="21" t="s">
        <v>380</v>
      </c>
      <c r="B124" s="21" t="s">
        <v>45</v>
      </c>
      <c r="C124" s="21" t="s">
        <v>141</v>
      </c>
      <c r="D124" s="21" t="s">
        <v>142</v>
      </c>
      <c r="E124" s="21" t="s">
        <v>142</v>
      </c>
      <c r="F124" s="21" t="s">
        <v>143</v>
      </c>
      <c r="G124" s="21" t="s">
        <v>100</v>
      </c>
      <c r="H124" s="21" t="s">
        <v>60</v>
      </c>
      <c r="I124" s="26">
        <v>1</v>
      </c>
      <c r="J124" s="26">
        <v>25</v>
      </c>
      <c r="K124" s="21" t="s">
        <v>52</v>
      </c>
      <c r="L124" s="27">
        <v>3200.65</v>
      </c>
      <c r="M124" s="21"/>
      <c r="N124" s="21"/>
      <c r="O124" s="21" t="s">
        <v>381</v>
      </c>
      <c r="P124" s="21" t="s">
        <v>54</v>
      </c>
      <c r="Q124" s="28">
        <v>46213</v>
      </c>
      <c r="R124" s="29">
        <v>46212.5025578704</v>
      </c>
      <c r="S124" s="21" t="s">
        <v>145</v>
      </c>
      <c r="T124" s="21"/>
      <c r="U124" s="21" t="s">
        <v>142</v>
      </c>
      <c r="V124" s="29">
        <v>46212.5025</v>
      </c>
      <c r="W124">
        <f>VLOOKUP(H124,物料編碼!A:B,2,0)</f>
        <v>1300101043</v>
      </c>
      <c r="X124">
        <v>1300101</v>
      </c>
      <c r="Y124" t="str">
        <f>VLOOKUP(X124,物料編碼!D:G,4,0)</f>
        <v>一號肉</v>
      </c>
      <c r="Z124" t="str">
        <f>VLOOKUP(C124,客戶屬性1!A:C,2,0)</f>
        <v>新昌冻肉</v>
      </c>
      <c r="AA124">
        <f>IF(COUNTIF($O$1:O124,O124)=1,L124,0)</f>
        <v>3200.65</v>
      </c>
    </row>
    <row r="125" customHeight="1" spans="1:27">
      <c r="A125" s="21" t="s">
        <v>380</v>
      </c>
      <c r="B125" s="21" t="s">
        <v>45</v>
      </c>
      <c r="C125" s="21" t="s">
        <v>141</v>
      </c>
      <c r="D125" s="21" t="s">
        <v>142</v>
      </c>
      <c r="E125" s="21" t="s">
        <v>142</v>
      </c>
      <c r="F125" s="21" t="s">
        <v>143</v>
      </c>
      <c r="G125" s="21" t="s">
        <v>100</v>
      </c>
      <c r="H125" s="21" t="s">
        <v>298</v>
      </c>
      <c r="I125" s="26">
        <v>1</v>
      </c>
      <c r="J125" s="26">
        <v>10</v>
      </c>
      <c r="K125" s="21" t="s">
        <v>52</v>
      </c>
      <c r="L125" s="27">
        <v>3200.65</v>
      </c>
      <c r="M125" s="21"/>
      <c r="N125" s="21"/>
      <c r="O125" s="21" t="s">
        <v>381</v>
      </c>
      <c r="P125" s="21" t="s">
        <v>54</v>
      </c>
      <c r="Q125" s="28">
        <v>46213</v>
      </c>
      <c r="R125" s="29">
        <v>46212.5025578704</v>
      </c>
      <c r="S125" s="21" t="s">
        <v>145</v>
      </c>
      <c r="T125" s="21"/>
      <c r="U125" s="21" t="s">
        <v>142</v>
      </c>
      <c r="V125" s="29">
        <v>46212.5025</v>
      </c>
      <c r="W125">
        <f>VLOOKUP(H125,物料編碼!A:B,2,0)</f>
        <v>1300111003</v>
      </c>
      <c r="X125">
        <v>1300111</v>
      </c>
      <c r="Y125" t="str">
        <f>VLOOKUP(X125,物料編碼!D:G,4,0)</f>
        <v>寸骨</v>
      </c>
      <c r="Z125" t="str">
        <f>VLOOKUP(C125,客戶屬性1!A:C,2,0)</f>
        <v>新昌冻肉</v>
      </c>
      <c r="AA125">
        <f>IF(COUNTIF($O$1:O125,O125)=1,L125,0)</f>
        <v>0</v>
      </c>
    </row>
    <row r="126" customHeight="1" spans="1:27">
      <c r="A126" s="21" t="s">
        <v>380</v>
      </c>
      <c r="B126" s="21" t="s">
        <v>45</v>
      </c>
      <c r="C126" s="21" t="s">
        <v>141</v>
      </c>
      <c r="D126" s="21" t="s">
        <v>142</v>
      </c>
      <c r="E126" s="21" t="s">
        <v>142</v>
      </c>
      <c r="F126" s="21" t="s">
        <v>143</v>
      </c>
      <c r="G126" s="21" t="s">
        <v>100</v>
      </c>
      <c r="H126" s="21" t="s">
        <v>63</v>
      </c>
      <c r="I126" s="26">
        <v>1</v>
      </c>
      <c r="J126" s="26">
        <v>25</v>
      </c>
      <c r="K126" s="21" t="s">
        <v>52</v>
      </c>
      <c r="L126" s="27">
        <v>3200.65</v>
      </c>
      <c r="M126" s="21"/>
      <c r="N126" s="21"/>
      <c r="O126" s="21" t="s">
        <v>381</v>
      </c>
      <c r="P126" s="21" t="s">
        <v>54</v>
      </c>
      <c r="Q126" s="28">
        <v>46213</v>
      </c>
      <c r="R126" s="29">
        <v>46212.5025578704</v>
      </c>
      <c r="S126" s="21" t="s">
        <v>145</v>
      </c>
      <c r="T126" s="21"/>
      <c r="U126" s="21" t="s">
        <v>142</v>
      </c>
      <c r="V126" s="29">
        <v>46212.5025</v>
      </c>
      <c r="W126">
        <f>VLOOKUP(H126,物料編碼!A:B,2,0)</f>
        <v>1300109002</v>
      </c>
      <c r="X126">
        <v>1300109</v>
      </c>
      <c r="Y126" t="str">
        <f>VLOOKUP(X126,物料編碼!D:G,4,0)</f>
        <v>面精肉</v>
      </c>
      <c r="Z126" t="str">
        <f>VLOOKUP(C126,客戶屬性1!A:C,2,0)</f>
        <v>新昌冻肉</v>
      </c>
      <c r="AA126">
        <f>IF(COUNTIF($O$1:O126,O126)=1,L126,0)</f>
        <v>0</v>
      </c>
    </row>
    <row r="127" customHeight="1" spans="1:27">
      <c r="A127" s="21" t="s">
        <v>380</v>
      </c>
      <c r="B127" s="21" t="s">
        <v>45</v>
      </c>
      <c r="C127" s="21" t="s">
        <v>141</v>
      </c>
      <c r="D127" s="21" t="s">
        <v>142</v>
      </c>
      <c r="E127" s="21" t="s">
        <v>142</v>
      </c>
      <c r="F127" s="21" t="s">
        <v>143</v>
      </c>
      <c r="G127" s="21" t="s">
        <v>100</v>
      </c>
      <c r="H127" s="21" t="s">
        <v>146</v>
      </c>
      <c r="I127" s="26">
        <v>2</v>
      </c>
      <c r="J127" s="26">
        <v>30</v>
      </c>
      <c r="K127" s="21" t="s">
        <v>52</v>
      </c>
      <c r="L127" s="27">
        <v>3200.65</v>
      </c>
      <c r="M127" s="21"/>
      <c r="N127" s="21"/>
      <c r="O127" s="21" t="s">
        <v>381</v>
      </c>
      <c r="P127" s="21" t="s">
        <v>54</v>
      </c>
      <c r="Q127" s="28">
        <v>46213</v>
      </c>
      <c r="R127" s="29">
        <v>46212.5025578704</v>
      </c>
      <c r="S127" s="21" t="s">
        <v>145</v>
      </c>
      <c r="T127" s="21"/>
      <c r="U127" s="21" t="s">
        <v>142</v>
      </c>
      <c r="V127" s="29">
        <v>46212.5025</v>
      </c>
      <c r="W127">
        <f>VLOOKUP(H127,物料編碼!A:B,2,0)</f>
        <v>1300603041</v>
      </c>
      <c r="X127">
        <v>1300603</v>
      </c>
      <c r="Y127" t="str">
        <f>VLOOKUP(X127,物料編碼!D:G,4,0)</f>
        <v>帶骨全腿</v>
      </c>
      <c r="Z127" t="str">
        <f>VLOOKUP(C127,客戶屬性1!A:C,2,0)</f>
        <v>新昌冻肉</v>
      </c>
      <c r="AA127">
        <f>IF(COUNTIF($O$1:O127,O127)=1,L127,0)</f>
        <v>0</v>
      </c>
    </row>
    <row r="128" customHeight="1" spans="1:27">
      <c r="A128" s="21" t="s">
        <v>380</v>
      </c>
      <c r="B128" s="21" t="s">
        <v>45</v>
      </c>
      <c r="C128" s="21" t="s">
        <v>141</v>
      </c>
      <c r="D128" s="21" t="s">
        <v>142</v>
      </c>
      <c r="E128" s="21" t="s">
        <v>142</v>
      </c>
      <c r="F128" s="21" t="s">
        <v>143</v>
      </c>
      <c r="G128" s="21" t="s">
        <v>100</v>
      </c>
      <c r="H128" s="21" t="s">
        <v>117</v>
      </c>
      <c r="I128" s="26">
        <v>3</v>
      </c>
      <c r="J128" s="26">
        <v>45</v>
      </c>
      <c r="K128" s="21" t="s">
        <v>52</v>
      </c>
      <c r="L128" s="27">
        <v>3200.65</v>
      </c>
      <c r="M128" s="21"/>
      <c r="N128" s="21"/>
      <c r="O128" s="21" t="s">
        <v>381</v>
      </c>
      <c r="P128" s="21" t="s">
        <v>54</v>
      </c>
      <c r="Q128" s="28">
        <v>46213</v>
      </c>
      <c r="R128" s="29">
        <v>46212.5025578704</v>
      </c>
      <c r="S128" s="21" t="s">
        <v>145</v>
      </c>
      <c r="T128" s="21"/>
      <c r="U128" s="21" t="s">
        <v>142</v>
      </c>
      <c r="V128" s="29">
        <v>46212.5025</v>
      </c>
      <c r="W128">
        <f>VLOOKUP(H128,物料編碼!A:B,2,0)</f>
        <v>1300607015</v>
      </c>
      <c r="X128">
        <v>1300607</v>
      </c>
      <c r="Y128" t="str">
        <f>VLOOKUP(X128,物料編碼!D:G,4,0)</f>
        <v>帶皮腿扒</v>
      </c>
      <c r="Z128" t="str">
        <f>VLOOKUP(C128,客戶屬性1!A:C,2,0)</f>
        <v>新昌冻肉</v>
      </c>
      <c r="AA128">
        <f>IF(COUNTIF($O$1:O128,O128)=1,L128,0)</f>
        <v>0</v>
      </c>
    </row>
    <row r="129" customHeight="1" spans="1:27">
      <c r="A129" s="21" t="s">
        <v>382</v>
      </c>
      <c r="B129" s="21" t="s">
        <v>45</v>
      </c>
      <c r="C129" s="21" t="s">
        <v>383</v>
      </c>
      <c r="D129" s="21" t="s">
        <v>384</v>
      </c>
      <c r="E129" s="21" t="s">
        <v>385</v>
      </c>
      <c r="F129" s="21" t="s">
        <v>49</v>
      </c>
      <c r="G129" s="21" t="s">
        <v>50</v>
      </c>
      <c r="H129" s="21" t="s">
        <v>63</v>
      </c>
      <c r="I129" s="26">
        <v>3</v>
      </c>
      <c r="J129" s="26">
        <v>75</v>
      </c>
      <c r="K129" s="21" t="s">
        <v>52</v>
      </c>
      <c r="L129" s="27">
        <v>5601.07</v>
      </c>
      <c r="M129" s="21"/>
      <c r="N129" s="21"/>
      <c r="O129" s="21" t="s">
        <v>386</v>
      </c>
      <c r="P129" s="21" t="s">
        <v>54</v>
      </c>
      <c r="Q129" s="28">
        <v>46212</v>
      </c>
      <c r="R129" s="29">
        <v>46212.4547569444</v>
      </c>
      <c r="S129" s="21" t="s">
        <v>387</v>
      </c>
      <c r="T129" s="21"/>
      <c r="U129" s="21" t="s">
        <v>384</v>
      </c>
      <c r="V129" s="29">
        <v>46212.4546990741</v>
      </c>
      <c r="W129">
        <f>VLOOKUP(H129,物料編碼!A:B,2,0)</f>
        <v>1300109002</v>
      </c>
      <c r="X129">
        <v>1300109</v>
      </c>
      <c r="Y129" t="str">
        <f>VLOOKUP(X129,物料編碼!D:G,4,0)</f>
        <v>面精肉</v>
      </c>
      <c r="Z129" t="str">
        <f>VLOOKUP(C129,客戶屬性1!A:C,2,0)</f>
        <v>新协兴冻肉食品公司</v>
      </c>
      <c r="AA129">
        <f>IF(COUNTIF($O$1:O129,O129)=1,L129,0)</f>
        <v>5601.07</v>
      </c>
    </row>
    <row r="130" customHeight="1" spans="1:27">
      <c r="A130" s="21" t="s">
        <v>382</v>
      </c>
      <c r="B130" s="21" t="s">
        <v>45</v>
      </c>
      <c r="C130" s="21" t="s">
        <v>383</v>
      </c>
      <c r="D130" s="21" t="s">
        <v>384</v>
      </c>
      <c r="E130" s="21" t="s">
        <v>385</v>
      </c>
      <c r="F130" s="21" t="s">
        <v>49</v>
      </c>
      <c r="G130" s="21" t="s">
        <v>50</v>
      </c>
      <c r="H130" s="21" t="s">
        <v>137</v>
      </c>
      <c r="I130" s="26">
        <v>1</v>
      </c>
      <c r="J130" s="26">
        <v>18</v>
      </c>
      <c r="K130" s="21" t="s">
        <v>52</v>
      </c>
      <c r="L130" s="27">
        <v>5601.07</v>
      </c>
      <c r="M130" s="21"/>
      <c r="N130" s="21"/>
      <c r="O130" s="21" t="s">
        <v>386</v>
      </c>
      <c r="P130" s="21" t="s">
        <v>54</v>
      </c>
      <c r="Q130" s="28">
        <v>46212</v>
      </c>
      <c r="R130" s="29">
        <v>46212.4547569444</v>
      </c>
      <c r="S130" s="21" t="s">
        <v>387</v>
      </c>
      <c r="T130" s="21"/>
      <c r="U130" s="21" t="s">
        <v>384</v>
      </c>
      <c r="V130" s="29">
        <v>46212.4546990741</v>
      </c>
      <c r="W130">
        <f>VLOOKUP(H130,物料編碼!A:B,2,0)</f>
        <v>1300503009</v>
      </c>
      <c r="X130">
        <v>1300503</v>
      </c>
      <c r="Y130" t="str">
        <f>VLOOKUP(X130,物料編碼!D:G,4,0)</f>
        <v>羊肩卷肉</v>
      </c>
      <c r="Z130" t="str">
        <f>VLOOKUP(C130,客戶屬性1!A:C,2,0)</f>
        <v>新协兴冻肉食品公司</v>
      </c>
      <c r="AA130">
        <f>IF(COUNTIF($O$1:O130,O130)=1,L130,0)</f>
        <v>0</v>
      </c>
    </row>
    <row r="131" customHeight="1" spans="1:27">
      <c r="A131" s="21" t="s">
        <v>382</v>
      </c>
      <c r="B131" s="21" t="s">
        <v>45</v>
      </c>
      <c r="C131" s="21" t="s">
        <v>383</v>
      </c>
      <c r="D131" s="21" t="s">
        <v>384</v>
      </c>
      <c r="E131" s="21" t="s">
        <v>385</v>
      </c>
      <c r="F131" s="21" t="s">
        <v>49</v>
      </c>
      <c r="G131" s="21" t="s">
        <v>50</v>
      </c>
      <c r="H131" s="21" t="s">
        <v>283</v>
      </c>
      <c r="I131" s="26">
        <v>2</v>
      </c>
      <c r="J131" s="26">
        <v>50</v>
      </c>
      <c r="K131" s="21" t="s">
        <v>52</v>
      </c>
      <c r="L131" s="27">
        <v>5601.07</v>
      </c>
      <c r="M131" s="21"/>
      <c r="N131" s="21"/>
      <c r="O131" s="21" t="s">
        <v>386</v>
      </c>
      <c r="P131" s="21" t="s">
        <v>54</v>
      </c>
      <c r="Q131" s="28">
        <v>46212</v>
      </c>
      <c r="R131" s="29">
        <v>46212.4547569444</v>
      </c>
      <c r="S131" s="21" t="s">
        <v>387</v>
      </c>
      <c r="T131" s="21"/>
      <c r="U131" s="21" t="s">
        <v>384</v>
      </c>
      <c r="V131" s="29">
        <v>46212.4546990741</v>
      </c>
      <c r="W131">
        <f>VLOOKUP(H131,物料編碼!A:B,2,0)</f>
        <v>1300104005</v>
      </c>
      <c r="X131">
        <v>1300104</v>
      </c>
      <c r="Y131" t="str">
        <f>VLOOKUP(X131,物料編碼!D:G,4,0)</f>
        <v>四號肉</v>
      </c>
      <c r="Z131" t="str">
        <f>VLOOKUP(C131,客戶屬性1!A:C,2,0)</f>
        <v>新协兴冻肉食品公司</v>
      </c>
      <c r="AA131">
        <f>IF(COUNTIF($O$1:O131,O131)=1,L131,0)</f>
        <v>0</v>
      </c>
    </row>
    <row r="132" customHeight="1" spans="1:27">
      <c r="A132" s="21" t="s">
        <v>382</v>
      </c>
      <c r="B132" s="21" t="s">
        <v>45</v>
      </c>
      <c r="C132" s="21" t="s">
        <v>383</v>
      </c>
      <c r="D132" s="21" t="s">
        <v>384</v>
      </c>
      <c r="E132" s="21" t="s">
        <v>385</v>
      </c>
      <c r="F132" s="21" t="s">
        <v>49</v>
      </c>
      <c r="G132" s="21" t="s">
        <v>50</v>
      </c>
      <c r="H132" s="21" t="s">
        <v>388</v>
      </c>
      <c r="I132" s="26">
        <v>3</v>
      </c>
      <c r="J132" s="26">
        <v>36</v>
      </c>
      <c r="K132" s="21" t="s">
        <v>52</v>
      </c>
      <c r="L132" s="27">
        <v>5601.07</v>
      </c>
      <c r="M132" s="21"/>
      <c r="N132" s="21"/>
      <c r="O132" s="21" t="s">
        <v>386</v>
      </c>
      <c r="P132" s="21" t="s">
        <v>54</v>
      </c>
      <c r="Q132" s="28">
        <v>46212</v>
      </c>
      <c r="R132" s="29">
        <v>46212.4547569444</v>
      </c>
      <c r="S132" s="21" t="s">
        <v>387</v>
      </c>
      <c r="T132" s="21"/>
      <c r="U132" s="21" t="s">
        <v>384</v>
      </c>
      <c r="V132" s="29">
        <v>46212.4546990741</v>
      </c>
      <c r="W132" t="e">
        <f>VLOOKUP(H132,物料編碼!A:B,2,0)</f>
        <v>#N/A</v>
      </c>
      <c r="X132" t="e">
        <v>#N/A</v>
      </c>
      <c r="Y132" t="e">
        <f>VLOOKUP(X132,物料編碼!D:G,4,0)</f>
        <v>#N/A</v>
      </c>
      <c r="Z132" t="str">
        <f>VLOOKUP(C132,客戶屬性1!A:C,2,0)</f>
        <v>新协兴冻肉食品公司</v>
      </c>
      <c r="AA132">
        <f>IF(COUNTIF($O$1:O132,O132)=1,L132,0)</f>
        <v>0</v>
      </c>
    </row>
    <row r="133" customHeight="1" spans="1:27">
      <c r="A133" s="21" t="s">
        <v>389</v>
      </c>
      <c r="B133" s="21" t="s">
        <v>45</v>
      </c>
      <c r="C133" s="21" t="s">
        <v>390</v>
      </c>
      <c r="D133" s="21" t="s">
        <v>391</v>
      </c>
      <c r="E133" s="21" t="s">
        <v>392</v>
      </c>
      <c r="F133" s="21" t="s">
        <v>49</v>
      </c>
      <c r="G133" s="21" t="s">
        <v>89</v>
      </c>
      <c r="H133" s="21" t="s">
        <v>393</v>
      </c>
      <c r="I133" s="26">
        <v>25</v>
      </c>
      <c r="J133" s="26">
        <v>375</v>
      </c>
      <c r="K133" s="21" t="s">
        <v>52</v>
      </c>
      <c r="L133" s="27">
        <v>5542.5</v>
      </c>
      <c r="M133" s="21"/>
      <c r="N133" s="21"/>
      <c r="O133" s="21" t="s">
        <v>394</v>
      </c>
      <c r="P133" s="21" t="s">
        <v>54</v>
      </c>
      <c r="Q133" s="28">
        <v>46213</v>
      </c>
      <c r="R133" s="29">
        <v>46212.4015625</v>
      </c>
      <c r="S133" s="21" t="s">
        <v>395</v>
      </c>
      <c r="T133" s="21"/>
      <c r="U133" s="21" t="s">
        <v>392</v>
      </c>
      <c r="V133" s="29">
        <v>46212.4015046296</v>
      </c>
      <c r="W133">
        <f>VLOOKUP(H133,物料編碼!A:B,2,0)</f>
        <v>1300607016</v>
      </c>
      <c r="X133">
        <v>1300607</v>
      </c>
      <c r="Y133" t="str">
        <f>VLOOKUP(X133,物料編碼!D:G,4,0)</f>
        <v>帶皮腿扒</v>
      </c>
      <c r="Z133" t="str">
        <f>VLOOKUP(C133,客戶屬性1!A:C,2,0)</f>
        <v>美亚食品贸易有限公司</v>
      </c>
      <c r="AA133">
        <f>IF(COUNTIF($O$1:O133,O133)=1,L133,0)</f>
        <v>5542.5</v>
      </c>
    </row>
    <row r="134" customHeight="1" spans="1:27">
      <c r="A134" s="21" t="s">
        <v>396</v>
      </c>
      <c r="B134" s="21" t="s">
        <v>45</v>
      </c>
      <c r="C134" s="21" t="s">
        <v>72</v>
      </c>
      <c r="D134" s="21" t="s">
        <v>73</v>
      </c>
      <c r="E134" s="21" t="s">
        <v>74</v>
      </c>
      <c r="F134" s="21" t="s">
        <v>49</v>
      </c>
      <c r="G134" s="21" t="s">
        <v>50</v>
      </c>
      <c r="H134" s="21" t="s">
        <v>397</v>
      </c>
      <c r="I134" s="26">
        <v>1</v>
      </c>
      <c r="J134" s="26">
        <v>12</v>
      </c>
      <c r="K134" s="21" t="s">
        <v>52</v>
      </c>
      <c r="L134" s="27">
        <v>126</v>
      </c>
      <c r="M134" s="21"/>
      <c r="N134" s="21"/>
      <c r="O134" s="21" t="s">
        <v>398</v>
      </c>
      <c r="P134" s="21" t="s">
        <v>54</v>
      </c>
      <c r="Q134" s="28">
        <v>46212</v>
      </c>
      <c r="R134" s="29">
        <v>46212.3952083333</v>
      </c>
      <c r="S134" s="21" t="s">
        <v>288</v>
      </c>
      <c r="T134" s="21"/>
      <c r="U134" s="21" t="s">
        <v>82</v>
      </c>
      <c r="V134" s="29">
        <v>46212.395162037</v>
      </c>
      <c r="W134">
        <f>VLOOKUP(H134,物料編碼!A:B,2,0)</f>
        <v>1300901003</v>
      </c>
      <c r="X134">
        <v>1300901</v>
      </c>
      <c r="Y134" t="str">
        <f>VLOOKUP(X134,物料編碼!D:G,4,0)</f>
        <v>整鴨</v>
      </c>
      <c r="Z134" t="str">
        <f>VLOOKUP(C134,客戶屬性1!A:C,2,0)</f>
        <v>恒辉贸易公司</v>
      </c>
      <c r="AA134">
        <f>IF(COUNTIF($O$1:O134,O134)=1,L134,0)</f>
        <v>126</v>
      </c>
    </row>
    <row r="135" customHeight="1" spans="1:27">
      <c r="A135" s="21" t="s">
        <v>399</v>
      </c>
      <c r="B135" s="21" t="s">
        <v>45</v>
      </c>
      <c r="C135" s="21" t="s">
        <v>72</v>
      </c>
      <c r="D135" s="21" t="s">
        <v>73</v>
      </c>
      <c r="E135" s="21" t="s">
        <v>74</v>
      </c>
      <c r="F135" s="21" t="s">
        <v>49</v>
      </c>
      <c r="G135" s="21" t="s">
        <v>50</v>
      </c>
      <c r="H135" s="21" t="s">
        <v>298</v>
      </c>
      <c r="I135" s="26">
        <v>1</v>
      </c>
      <c r="J135" s="26">
        <v>10</v>
      </c>
      <c r="K135" s="21" t="s">
        <v>52</v>
      </c>
      <c r="L135" s="27">
        <v>480</v>
      </c>
      <c r="M135" s="21"/>
      <c r="N135" s="21"/>
      <c r="O135" s="21" t="s">
        <v>400</v>
      </c>
      <c r="P135" s="21" t="s">
        <v>54</v>
      </c>
      <c r="Q135" s="28">
        <v>46212</v>
      </c>
      <c r="R135" s="29">
        <v>46212.3919560185</v>
      </c>
      <c r="S135" s="21" t="s">
        <v>81</v>
      </c>
      <c r="T135" s="21"/>
      <c r="U135" s="21" t="s">
        <v>82</v>
      </c>
      <c r="V135" s="29">
        <v>46212.3918981481</v>
      </c>
      <c r="W135">
        <f>VLOOKUP(H135,物料編碼!A:B,2,0)</f>
        <v>1300111003</v>
      </c>
      <c r="X135">
        <v>1300111</v>
      </c>
      <c r="Y135" t="str">
        <f>VLOOKUP(X135,物料編碼!D:G,4,0)</f>
        <v>寸骨</v>
      </c>
      <c r="Z135" t="str">
        <f>VLOOKUP(C135,客戶屬性1!A:C,2,0)</f>
        <v>恒辉贸易公司</v>
      </c>
      <c r="AA135">
        <f>IF(COUNTIF($O$1:O135,O135)=1,L135,0)</f>
        <v>480</v>
      </c>
    </row>
    <row r="136" customHeight="1" spans="1:27">
      <c r="A136" s="21" t="s">
        <v>401</v>
      </c>
      <c r="B136" s="21" t="s">
        <v>45</v>
      </c>
      <c r="C136" s="21" t="s">
        <v>72</v>
      </c>
      <c r="D136" s="21" t="s">
        <v>73</v>
      </c>
      <c r="E136" s="21" t="s">
        <v>74</v>
      </c>
      <c r="F136" s="21" t="s">
        <v>49</v>
      </c>
      <c r="G136" s="21" t="s">
        <v>50</v>
      </c>
      <c r="H136" s="21" t="s">
        <v>402</v>
      </c>
      <c r="I136" s="26">
        <v>1</v>
      </c>
      <c r="J136" s="26">
        <v>10</v>
      </c>
      <c r="K136" s="21" t="s">
        <v>52</v>
      </c>
      <c r="L136" s="27">
        <v>136</v>
      </c>
      <c r="M136" s="21"/>
      <c r="N136" s="21"/>
      <c r="O136" s="21" t="s">
        <v>403</v>
      </c>
      <c r="P136" s="21" t="s">
        <v>54</v>
      </c>
      <c r="Q136" s="28">
        <v>46212</v>
      </c>
      <c r="R136" s="29">
        <v>46211.6442361111</v>
      </c>
      <c r="S136" s="21" t="s">
        <v>81</v>
      </c>
      <c r="T136" s="21"/>
      <c r="U136" s="21" t="s">
        <v>82</v>
      </c>
      <c r="V136" s="29">
        <v>46211.6441898148</v>
      </c>
      <c r="W136">
        <f>VLOOKUP(H136,物料編碼!A:B,2,0)</f>
        <v>1300903002</v>
      </c>
      <c r="X136">
        <v>1300903</v>
      </c>
      <c r="Y136" t="str">
        <f>VLOOKUP(X136,物料編碼!D:G,4,0)</f>
        <v>生鴨胸</v>
      </c>
      <c r="Z136" t="str">
        <f>VLOOKUP(C136,客戶屬性1!A:C,2,0)</f>
        <v>恒辉贸易公司</v>
      </c>
      <c r="AA136">
        <f>IF(COUNTIF($O$1:O136,O136)=1,L136,0)</f>
        <v>136</v>
      </c>
    </row>
    <row r="137" customHeight="1" spans="1:27">
      <c r="A137" s="21" t="s">
        <v>404</v>
      </c>
      <c r="B137" s="21" t="s">
        <v>45</v>
      </c>
      <c r="C137" s="21" t="s">
        <v>114</v>
      </c>
      <c r="D137" s="21" t="s">
        <v>115</v>
      </c>
      <c r="E137" s="21" t="s">
        <v>116</v>
      </c>
      <c r="F137" s="21" t="s">
        <v>49</v>
      </c>
      <c r="G137" s="21" t="s">
        <v>100</v>
      </c>
      <c r="H137" s="21" t="s">
        <v>298</v>
      </c>
      <c r="I137" s="26">
        <v>2</v>
      </c>
      <c r="J137" s="26">
        <v>20</v>
      </c>
      <c r="K137" s="21" t="s">
        <v>52</v>
      </c>
      <c r="L137" s="27">
        <v>950.4</v>
      </c>
      <c r="M137" s="21"/>
      <c r="N137" s="21"/>
      <c r="O137" s="21" t="s">
        <v>405</v>
      </c>
      <c r="P137" s="21" t="s">
        <v>54</v>
      </c>
      <c r="Q137" s="28">
        <v>46212</v>
      </c>
      <c r="R137" s="29">
        <v>46211.6313541667</v>
      </c>
      <c r="S137" s="21" t="s">
        <v>119</v>
      </c>
      <c r="T137" s="21"/>
      <c r="U137" s="21" t="s">
        <v>115</v>
      </c>
      <c r="V137" s="29">
        <v>46211.6313078704</v>
      </c>
      <c r="W137">
        <f>VLOOKUP(H137,物料編碼!A:B,2,0)</f>
        <v>1300111003</v>
      </c>
      <c r="X137">
        <v>1300111</v>
      </c>
      <c r="Y137" t="str">
        <f>VLOOKUP(X137,物料編碼!D:G,4,0)</f>
        <v>寸骨</v>
      </c>
      <c r="Z137" t="str">
        <f>VLOOKUP(C137,客戶屬性1!A:C,2,0)</f>
        <v>骏利贸易公司</v>
      </c>
      <c r="AA137">
        <f>IF(COUNTIF($O$1:O137,O137)=1,L137,0)</f>
        <v>950.4</v>
      </c>
    </row>
    <row r="138" customHeight="1" spans="1:27">
      <c r="A138" s="21" t="s">
        <v>406</v>
      </c>
      <c r="B138" s="21" t="s">
        <v>45</v>
      </c>
      <c r="C138" s="21" t="s">
        <v>141</v>
      </c>
      <c r="D138" s="21" t="s">
        <v>142</v>
      </c>
      <c r="E138" s="21" t="s">
        <v>142</v>
      </c>
      <c r="F138" s="21" t="s">
        <v>143</v>
      </c>
      <c r="G138" s="21" t="s">
        <v>100</v>
      </c>
      <c r="H138" s="21" t="s">
        <v>407</v>
      </c>
      <c r="I138" s="26">
        <v>1</v>
      </c>
      <c r="J138" s="26">
        <v>10</v>
      </c>
      <c r="K138" s="21" t="s">
        <v>52</v>
      </c>
      <c r="L138" s="27">
        <v>1307.52</v>
      </c>
      <c r="M138" s="21"/>
      <c r="N138" s="21"/>
      <c r="O138" s="21" t="s">
        <v>408</v>
      </c>
      <c r="P138" s="21" t="s">
        <v>54</v>
      </c>
      <c r="Q138" s="28">
        <v>46212</v>
      </c>
      <c r="R138" s="29">
        <v>46211.5619444444</v>
      </c>
      <c r="S138" s="21" t="s">
        <v>145</v>
      </c>
      <c r="T138" s="21"/>
      <c r="U138" s="21" t="s">
        <v>142</v>
      </c>
      <c r="V138" s="29">
        <v>46211.5618865741</v>
      </c>
      <c r="W138">
        <f>VLOOKUP(H138,物料編碼!A:B,2,0)</f>
        <v>1300904016</v>
      </c>
      <c r="X138">
        <v>1300904</v>
      </c>
      <c r="Y138" t="str">
        <f>VLOOKUP(X138,物料編碼!D:G,4,0)</f>
        <v>煙熏鴨胸</v>
      </c>
      <c r="Z138" t="str">
        <f>VLOOKUP(C138,客戶屬性1!A:C,2,0)</f>
        <v>新昌冻肉</v>
      </c>
      <c r="AA138">
        <f>IF(COUNTIF($O$1:O138,O138)=1,L138,0)</f>
        <v>1307.52</v>
      </c>
    </row>
    <row r="139" customHeight="1" spans="1:27">
      <c r="A139" s="21" t="s">
        <v>406</v>
      </c>
      <c r="B139" s="21" t="s">
        <v>45</v>
      </c>
      <c r="C139" s="21" t="s">
        <v>141</v>
      </c>
      <c r="D139" s="21" t="s">
        <v>142</v>
      </c>
      <c r="E139" s="21" t="s">
        <v>142</v>
      </c>
      <c r="F139" s="21" t="s">
        <v>143</v>
      </c>
      <c r="G139" s="21" t="s">
        <v>100</v>
      </c>
      <c r="H139" s="21" t="s">
        <v>146</v>
      </c>
      <c r="I139" s="26">
        <v>2</v>
      </c>
      <c r="J139" s="26">
        <v>30</v>
      </c>
      <c r="K139" s="21" t="s">
        <v>52</v>
      </c>
      <c r="L139" s="27">
        <v>1307.52</v>
      </c>
      <c r="M139" s="21"/>
      <c r="N139" s="21"/>
      <c r="O139" s="21" t="s">
        <v>408</v>
      </c>
      <c r="P139" s="21" t="s">
        <v>54</v>
      </c>
      <c r="Q139" s="28">
        <v>46212</v>
      </c>
      <c r="R139" s="29">
        <v>46211.5619444444</v>
      </c>
      <c r="S139" s="21" t="s">
        <v>145</v>
      </c>
      <c r="T139" s="21"/>
      <c r="U139" s="21" t="s">
        <v>142</v>
      </c>
      <c r="V139" s="29">
        <v>46211.5618865741</v>
      </c>
      <c r="W139">
        <f>VLOOKUP(H139,物料編碼!A:B,2,0)</f>
        <v>1300603041</v>
      </c>
      <c r="X139">
        <v>1300603</v>
      </c>
      <c r="Y139" t="str">
        <f>VLOOKUP(X139,物料編碼!D:G,4,0)</f>
        <v>帶骨全腿</v>
      </c>
      <c r="Z139" t="str">
        <f>VLOOKUP(C139,客戶屬性1!A:C,2,0)</f>
        <v>新昌冻肉</v>
      </c>
      <c r="AA139">
        <f>IF(COUNTIF($O$1:O139,O139)=1,L139,0)</f>
        <v>0</v>
      </c>
    </row>
    <row r="140" customHeight="1" spans="1:27">
      <c r="A140" s="21" t="s">
        <v>406</v>
      </c>
      <c r="B140" s="21" t="s">
        <v>45</v>
      </c>
      <c r="C140" s="21" t="s">
        <v>141</v>
      </c>
      <c r="D140" s="21" t="s">
        <v>142</v>
      </c>
      <c r="E140" s="21" t="s">
        <v>142</v>
      </c>
      <c r="F140" s="21" t="s">
        <v>143</v>
      </c>
      <c r="G140" s="21" t="s">
        <v>100</v>
      </c>
      <c r="H140" s="21" t="s">
        <v>117</v>
      </c>
      <c r="I140" s="26">
        <v>3</v>
      </c>
      <c r="J140" s="26">
        <v>45</v>
      </c>
      <c r="K140" s="21" t="s">
        <v>52</v>
      </c>
      <c r="L140" s="27">
        <v>1307.52</v>
      </c>
      <c r="M140" s="21"/>
      <c r="N140" s="21"/>
      <c r="O140" s="21" t="s">
        <v>408</v>
      </c>
      <c r="P140" s="21" t="s">
        <v>54</v>
      </c>
      <c r="Q140" s="28">
        <v>46212</v>
      </c>
      <c r="R140" s="29">
        <v>46211.5619444444</v>
      </c>
      <c r="S140" s="21" t="s">
        <v>145</v>
      </c>
      <c r="T140" s="21"/>
      <c r="U140" s="21" t="s">
        <v>142</v>
      </c>
      <c r="V140" s="29">
        <v>46211.5618865741</v>
      </c>
      <c r="W140">
        <f>VLOOKUP(H140,物料編碼!A:B,2,0)</f>
        <v>1300607015</v>
      </c>
      <c r="X140">
        <v>1300607</v>
      </c>
      <c r="Y140" t="str">
        <f>VLOOKUP(X140,物料編碼!D:G,4,0)</f>
        <v>帶皮腿扒</v>
      </c>
      <c r="Z140" t="str">
        <f>VLOOKUP(C140,客戶屬性1!A:C,2,0)</f>
        <v>新昌冻肉</v>
      </c>
      <c r="AA140">
        <f>IF(COUNTIF($O$1:O140,O140)=1,L140,0)</f>
        <v>0</v>
      </c>
    </row>
    <row r="141" customHeight="1" spans="1:27">
      <c r="A141" s="21" t="s">
        <v>409</v>
      </c>
      <c r="B141" s="21" t="s">
        <v>45</v>
      </c>
      <c r="C141" s="21" t="s">
        <v>290</v>
      </c>
      <c r="D141" s="21" t="s">
        <v>291</v>
      </c>
      <c r="E141" s="21" t="s">
        <v>292</v>
      </c>
      <c r="F141" s="21" t="s">
        <v>49</v>
      </c>
      <c r="G141" s="21" t="s">
        <v>50</v>
      </c>
      <c r="H141" s="21" t="s">
        <v>121</v>
      </c>
      <c r="I141" s="26">
        <v>1</v>
      </c>
      <c r="J141" s="26">
        <v>20</v>
      </c>
      <c r="K141" s="21" t="s">
        <v>52</v>
      </c>
      <c r="L141" s="27">
        <v>490</v>
      </c>
      <c r="M141" s="21"/>
      <c r="N141" s="21"/>
      <c r="O141" s="21" t="s">
        <v>410</v>
      </c>
      <c r="P141" s="21" t="s">
        <v>54</v>
      </c>
      <c r="Q141" s="28">
        <v>46212</v>
      </c>
      <c r="R141" s="29">
        <v>46211.4963773148</v>
      </c>
      <c r="S141" s="21" t="s">
        <v>294</v>
      </c>
      <c r="T141" s="21"/>
      <c r="U141" s="21" t="s">
        <v>292</v>
      </c>
      <c r="V141" s="29">
        <v>46211.4963310185</v>
      </c>
      <c r="W141">
        <f>VLOOKUP(H141,物料編碼!A:B,2,0)</f>
        <v>1300114011</v>
      </c>
      <c r="X141">
        <v>1300114</v>
      </c>
      <c r="Y141" t="str">
        <f>VLOOKUP(X141,物料編碼!D:G,4,0)</f>
        <v>熟食</v>
      </c>
      <c r="Z141" t="str">
        <f>VLOOKUP(C141,客戶屬性1!A:C,2,0)</f>
        <v>溢利食品(香港)有限公司</v>
      </c>
      <c r="AA141">
        <f>IF(COUNTIF($O$1:O141,O141)=1,L141,0)</f>
        <v>490</v>
      </c>
    </row>
    <row r="142" customHeight="1" spans="1:27">
      <c r="A142" s="21" t="s">
        <v>411</v>
      </c>
      <c r="B142" s="21" t="s">
        <v>45</v>
      </c>
      <c r="C142" s="21" t="s">
        <v>114</v>
      </c>
      <c r="D142" s="21" t="s">
        <v>115</v>
      </c>
      <c r="E142" s="21" t="s">
        <v>116</v>
      </c>
      <c r="F142" s="21" t="s">
        <v>49</v>
      </c>
      <c r="G142" s="21" t="s">
        <v>100</v>
      </c>
      <c r="H142" s="21" t="s">
        <v>219</v>
      </c>
      <c r="I142" s="26">
        <v>2</v>
      </c>
      <c r="J142" s="26">
        <v>20</v>
      </c>
      <c r="K142" s="21" t="s">
        <v>52</v>
      </c>
      <c r="L142" s="27">
        <v>2059.2</v>
      </c>
      <c r="M142" s="21"/>
      <c r="N142" s="21"/>
      <c r="O142" s="21" t="s">
        <v>412</v>
      </c>
      <c r="P142" s="21" t="s">
        <v>54</v>
      </c>
      <c r="Q142" s="28">
        <v>46212</v>
      </c>
      <c r="R142" s="29">
        <v>46211.4937615741</v>
      </c>
      <c r="S142" s="21" t="s">
        <v>119</v>
      </c>
      <c r="T142" s="21"/>
      <c r="U142" s="21" t="s">
        <v>115</v>
      </c>
      <c r="V142" s="29">
        <v>46211.4937268519</v>
      </c>
      <c r="W142">
        <f>VLOOKUP(H142,物料編碼!A:B,2,0)</f>
        <v>1300501022</v>
      </c>
      <c r="X142">
        <v>1300501</v>
      </c>
      <c r="Y142" t="str">
        <f>VLOOKUP(X142,物料編碼!D:G,4,0)</f>
        <v>羊排</v>
      </c>
      <c r="Z142" t="str">
        <f>VLOOKUP(C142,客戶屬性1!A:C,2,0)</f>
        <v>骏利贸易公司</v>
      </c>
      <c r="AA142">
        <f>IF(COUNTIF($O$1:O142,O142)=1,L142,0)</f>
        <v>2059.2</v>
      </c>
    </row>
    <row r="143" customHeight="1" spans="1:27">
      <c r="A143" s="21" t="s">
        <v>413</v>
      </c>
      <c r="B143" s="21" t="s">
        <v>45</v>
      </c>
      <c r="C143" s="21" t="s">
        <v>46</v>
      </c>
      <c r="D143" s="21" t="s">
        <v>47</v>
      </c>
      <c r="E143" s="21" t="s">
        <v>48</v>
      </c>
      <c r="F143" s="21" t="s">
        <v>49</v>
      </c>
      <c r="G143" s="21" t="s">
        <v>50</v>
      </c>
      <c r="H143" s="21" t="s">
        <v>51</v>
      </c>
      <c r="I143" s="26">
        <v>2</v>
      </c>
      <c r="J143" s="26">
        <v>20</v>
      </c>
      <c r="K143" s="21" t="s">
        <v>52</v>
      </c>
      <c r="L143" s="27">
        <v>256</v>
      </c>
      <c r="M143" s="21"/>
      <c r="N143" s="21"/>
      <c r="O143" s="21" t="s">
        <v>414</v>
      </c>
      <c r="P143" s="21" t="s">
        <v>54</v>
      </c>
      <c r="Q143" s="28">
        <v>46211</v>
      </c>
      <c r="R143" s="29">
        <v>46211.4409143518</v>
      </c>
      <c r="S143" s="21" t="s">
        <v>55</v>
      </c>
      <c r="T143" s="21"/>
      <c r="U143" s="21" t="s">
        <v>47</v>
      </c>
      <c r="V143" s="29">
        <v>46211.4408564815</v>
      </c>
      <c r="W143">
        <f>VLOOKUP(H143,物料編碼!A:B,2,0)</f>
        <v>1300624103</v>
      </c>
      <c r="X143">
        <v>1300624</v>
      </c>
      <c r="Y143" t="str">
        <f>VLOOKUP(X143,物料編碼!D:G,4,0)</f>
        <v>琵琶腿</v>
      </c>
      <c r="Z143" t="str">
        <f>VLOOKUP(C143,客戶屬性1!A:C,2,0)</f>
        <v>明记冻肉</v>
      </c>
      <c r="AA143">
        <f>IF(COUNTIF($O$1:O143,O143)=1,L143,0)</f>
        <v>256</v>
      </c>
    </row>
    <row r="144" customHeight="1" spans="1:27">
      <c r="A144" s="21" t="s">
        <v>415</v>
      </c>
      <c r="B144" s="21" t="s">
        <v>45</v>
      </c>
      <c r="C144" s="21" t="s">
        <v>57</v>
      </c>
      <c r="D144" s="21" t="s">
        <v>58</v>
      </c>
      <c r="E144" s="21" t="s">
        <v>59</v>
      </c>
      <c r="F144" s="21" t="s">
        <v>49</v>
      </c>
      <c r="G144" s="21" t="s">
        <v>50</v>
      </c>
      <c r="H144" s="21" t="s">
        <v>60</v>
      </c>
      <c r="I144" s="26">
        <v>20</v>
      </c>
      <c r="J144" s="26">
        <v>500</v>
      </c>
      <c r="K144" s="21" t="s">
        <v>52</v>
      </c>
      <c r="L144" s="27">
        <v>17217.5</v>
      </c>
      <c r="M144" s="21"/>
      <c r="N144" s="21"/>
      <c r="O144" s="21" t="s">
        <v>416</v>
      </c>
      <c r="P144" s="21" t="s">
        <v>54</v>
      </c>
      <c r="Q144" s="28">
        <v>46212</v>
      </c>
      <c r="R144" s="29">
        <v>46211.4245023148</v>
      </c>
      <c r="S144" s="21" t="s">
        <v>62</v>
      </c>
      <c r="T144" s="21"/>
      <c r="U144" s="21" t="s">
        <v>59</v>
      </c>
      <c r="V144" s="29">
        <v>46211.4244560185</v>
      </c>
      <c r="W144">
        <f>VLOOKUP(H144,物料編碼!A:B,2,0)</f>
        <v>1300101043</v>
      </c>
      <c r="X144">
        <v>1300101</v>
      </c>
      <c r="Y144" t="str">
        <f>VLOOKUP(X144,物料編碼!D:G,4,0)</f>
        <v>一號肉</v>
      </c>
      <c r="Z144" t="str">
        <f>VLOOKUP(C144,客戶屬性1!A:C,2,0)</f>
        <v>翎凰冻肉有限公司</v>
      </c>
      <c r="AA144">
        <f>IF(COUNTIF($O$1:O144,O144)=1,L144,0)</f>
        <v>17217.5</v>
      </c>
    </row>
    <row r="145" customHeight="1" spans="1:27">
      <c r="A145" s="21" t="s">
        <v>417</v>
      </c>
      <c r="B145" s="21" t="s">
        <v>45</v>
      </c>
      <c r="C145" s="21" t="s">
        <v>97</v>
      </c>
      <c r="D145" s="21" t="s">
        <v>98</v>
      </c>
      <c r="E145" s="21" t="s">
        <v>99</v>
      </c>
      <c r="F145" s="21" t="s">
        <v>49</v>
      </c>
      <c r="G145" s="21" t="s">
        <v>100</v>
      </c>
      <c r="H145" s="21" t="s">
        <v>101</v>
      </c>
      <c r="I145" s="26">
        <v>10</v>
      </c>
      <c r="J145" s="26">
        <v>250</v>
      </c>
      <c r="K145" s="21" t="s">
        <v>52</v>
      </c>
      <c r="L145" s="27">
        <v>6790</v>
      </c>
      <c r="M145" s="21"/>
      <c r="N145" s="21"/>
      <c r="O145" s="21" t="s">
        <v>418</v>
      </c>
      <c r="P145" s="21" t="s">
        <v>54</v>
      </c>
      <c r="Q145" s="28">
        <v>46211</v>
      </c>
      <c r="R145" s="29">
        <v>46211.4211226852</v>
      </c>
      <c r="S145" s="21" t="s">
        <v>103</v>
      </c>
      <c r="T145" s="21"/>
      <c r="U145" s="21" t="s">
        <v>99</v>
      </c>
      <c r="V145" s="29">
        <v>46211.4210648148</v>
      </c>
      <c r="W145">
        <f>VLOOKUP(H145,物料編碼!A:B,2,0)</f>
        <v>1300101018</v>
      </c>
      <c r="X145">
        <v>1300101</v>
      </c>
      <c r="Y145" t="str">
        <f>VLOOKUP(X145,物料編碼!D:G,4,0)</f>
        <v>一號肉</v>
      </c>
      <c r="Z145" t="str">
        <f>VLOOKUP(C145,客戶屬性1!A:C,2,0)</f>
        <v>三明有限公司</v>
      </c>
      <c r="AA145">
        <f>IF(COUNTIF($O$1:O145,O145)=1,L145,0)</f>
        <v>6790</v>
      </c>
    </row>
    <row r="146" customHeight="1" spans="1:27">
      <c r="A146" s="21" t="s">
        <v>419</v>
      </c>
      <c r="B146" s="21" t="s">
        <v>45</v>
      </c>
      <c r="C146" s="21" t="s">
        <v>171</v>
      </c>
      <c r="D146" s="21" t="s">
        <v>172</v>
      </c>
      <c r="E146" s="21" t="s">
        <v>173</v>
      </c>
      <c r="F146" s="21" t="s">
        <v>49</v>
      </c>
      <c r="G146" s="21" t="s">
        <v>174</v>
      </c>
      <c r="H146" s="21" t="s">
        <v>267</v>
      </c>
      <c r="I146" s="26">
        <v>1</v>
      </c>
      <c r="J146" s="26">
        <v>20</v>
      </c>
      <c r="K146" s="21" t="s">
        <v>52</v>
      </c>
      <c r="L146" s="27">
        <v>1188</v>
      </c>
      <c r="M146" s="21"/>
      <c r="N146" s="21"/>
      <c r="O146" s="21" t="s">
        <v>420</v>
      </c>
      <c r="P146" s="21" t="s">
        <v>54</v>
      </c>
      <c r="Q146" s="28">
        <v>46211</v>
      </c>
      <c r="R146" s="29">
        <v>46210.671087963</v>
      </c>
      <c r="S146" s="21" t="s">
        <v>177</v>
      </c>
      <c r="T146" s="21"/>
      <c r="U146" s="21" t="s">
        <v>172</v>
      </c>
      <c r="V146" s="29">
        <v>46210.6710532407</v>
      </c>
      <c r="W146">
        <f>VLOOKUP(H146,物料編碼!A:B,2,0)</f>
        <v>1300511002</v>
      </c>
      <c r="X146">
        <v>1300511</v>
      </c>
      <c r="Y146" t="str">
        <f>VLOOKUP(X146,物料編碼!D:G,4,0)</f>
        <v>羊卷肉</v>
      </c>
      <c r="Z146" t="str">
        <f>VLOOKUP(C146,客戶屬性1!A:C,2,0)</f>
        <v>豪气有限公司</v>
      </c>
      <c r="AA146">
        <f>IF(COUNTIF($O$1:O146,O146)=1,L146,0)</f>
        <v>1188</v>
      </c>
    </row>
    <row r="147" customHeight="1" spans="1:27">
      <c r="A147" s="21" t="s">
        <v>421</v>
      </c>
      <c r="B147" s="21" t="s">
        <v>45</v>
      </c>
      <c r="C147" s="21" t="s">
        <v>114</v>
      </c>
      <c r="D147" s="21" t="s">
        <v>115</v>
      </c>
      <c r="E147" s="21" t="s">
        <v>116</v>
      </c>
      <c r="F147" s="21" t="s">
        <v>49</v>
      </c>
      <c r="G147" s="21" t="s">
        <v>100</v>
      </c>
      <c r="H147" s="21" t="s">
        <v>117</v>
      </c>
      <c r="I147" s="26">
        <v>2</v>
      </c>
      <c r="J147" s="26">
        <v>30</v>
      </c>
      <c r="K147" s="21" t="s">
        <v>52</v>
      </c>
      <c r="L147" s="27">
        <v>443.4</v>
      </c>
      <c r="M147" s="21"/>
      <c r="N147" s="21"/>
      <c r="O147" s="21" t="s">
        <v>422</v>
      </c>
      <c r="P147" s="21" t="s">
        <v>54</v>
      </c>
      <c r="Q147" s="28">
        <v>46211</v>
      </c>
      <c r="R147" s="29">
        <v>46210.6471643519</v>
      </c>
      <c r="S147" s="21" t="s">
        <v>119</v>
      </c>
      <c r="T147" s="21"/>
      <c r="U147" s="21" t="s">
        <v>115</v>
      </c>
      <c r="V147" s="29">
        <v>46210.6471180556</v>
      </c>
      <c r="W147">
        <f>VLOOKUP(H147,物料編碼!A:B,2,0)</f>
        <v>1300607015</v>
      </c>
      <c r="X147">
        <v>1300607</v>
      </c>
      <c r="Y147" t="str">
        <f>VLOOKUP(X147,物料編碼!D:G,4,0)</f>
        <v>帶皮腿扒</v>
      </c>
      <c r="Z147" t="str">
        <f>VLOOKUP(C147,客戶屬性1!A:C,2,0)</f>
        <v>骏利贸易公司</v>
      </c>
      <c r="AA147">
        <f>IF(COUNTIF($O$1:O147,O147)=1,L147,0)</f>
        <v>443.4</v>
      </c>
    </row>
    <row r="148" customHeight="1" spans="1:27">
      <c r="A148" s="21" t="s">
        <v>423</v>
      </c>
      <c r="B148" s="21" t="s">
        <v>45</v>
      </c>
      <c r="C148" s="21" t="s">
        <v>158</v>
      </c>
      <c r="D148" s="21" t="s">
        <v>159</v>
      </c>
      <c r="E148" s="21" t="s">
        <v>160</v>
      </c>
      <c r="F148" s="21" t="s">
        <v>49</v>
      </c>
      <c r="G148" s="21" t="s">
        <v>68</v>
      </c>
      <c r="H148" s="21" t="s">
        <v>161</v>
      </c>
      <c r="I148" s="26">
        <v>10</v>
      </c>
      <c r="J148" s="26">
        <v>200</v>
      </c>
      <c r="K148" s="21" t="s">
        <v>52</v>
      </c>
      <c r="L148" s="27">
        <v>18624</v>
      </c>
      <c r="M148" s="21"/>
      <c r="N148" s="21"/>
      <c r="O148" s="21" t="s">
        <v>424</v>
      </c>
      <c r="P148" s="21" t="s">
        <v>54</v>
      </c>
      <c r="Q148" s="28">
        <v>46211</v>
      </c>
      <c r="R148" s="29">
        <v>46210.6436921296</v>
      </c>
      <c r="S148" s="21" t="s">
        <v>163</v>
      </c>
      <c r="T148" s="21"/>
      <c r="U148" s="21" t="s">
        <v>164</v>
      </c>
      <c r="V148" s="29">
        <v>46210.6436458333</v>
      </c>
      <c r="W148">
        <f>VLOOKUP(H148,物料編碼!A:B,2,0)</f>
        <v>1300501020</v>
      </c>
      <c r="X148">
        <v>1300501</v>
      </c>
      <c r="Y148" t="str">
        <f>VLOOKUP(X148,物料編碼!D:G,4,0)</f>
        <v>羊排</v>
      </c>
      <c r="Z148" t="str">
        <f>VLOOKUP(C148,客戶屬性1!A:C,2,0)</f>
        <v>先进食品国际有限公司</v>
      </c>
      <c r="AA148">
        <f>IF(COUNTIF($O$1:O148,O148)=1,L148,0)</f>
        <v>18624</v>
      </c>
    </row>
    <row r="149" customHeight="1" spans="1:27">
      <c r="A149" s="21" t="s">
        <v>425</v>
      </c>
      <c r="B149" s="21" t="s">
        <v>45</v>
      </c>
      <c r="C149" s="21" t="s">
        <v>141</v>
      </c>
      <c r="D149" s="21" t="s">
        <v>142</v>
      </c>
      <c r="E149" s="21" t="s">
        <v>142</v>
      </c>
      <c r="F149" s="21" t="s">
        <v>143</v>
      </c>
      <c r="G149" s="21" t="s">
        <v>100</v>
      </c>
      <c r="H149" s="21" t="s">
        <v>63</v>
      </c>
      <c r="I149" s="26">
        <v>1</v>
      </c>
      <c r="J149" s="26">
        <v>25</v>
      </c>
      <c r="K149" s="21" t="s">
        <v>52</v>
      </c>
      <c r="L149" s="27">
        <v>2730.25</v>
      </c>
      <c r="M149" s="21"/>
      <c r="N149" s="21"/>
      <c r="O149" s="21" t="s">
        <v>426</v>
      </c>
      <c r="P149" s="21" t="s">
        <v>54</v>
      </c>
      <c r="Q149" s="28">
        <v>46211</v>
      </c>
      <c r="R149" s="29">
        <v>46210.4843981481</v>
      </c>
      <c r="S149" s="21" t="s">
        <v>145</v>
      </c>
      <c r="T149" s="21"/>
      <c r="U149" s="21" t="s">
        <v>142</v>
      </c>
      <c r="V149" s="29">
        <v>46210.4843518519</v>
      </c>
      <c r="W149">
        <f>VLOOKUP(H149,物料編碼!A:B,2,0)</f>
        <v>1300109002</v>
      </c>
      <c r="X149">
        <v>1300109</v>
      </c>
      <c r="Y149" t="str">
        <f>VLOOKUP(X149,物料編碼!D:G,4,0)</f>
        <v>面精肉</v>
      </c>
      <c r="Z149" t="str">
        <f>VLOOKUP(C149,客戶屬性1!A:C,2,0)</f>
        <v>新昌冻肉</v>
      </c>
      <c r="AA149">
        <f>IF(COUNTIF($O$1:O149,O149)=1,L149,0)</f>
        <v>2730.25</v>
      </c>
    </row>
    <row r="150" customHeight="1" spans="1:27">
      <c r="A150" s="21" t="s">
        <v>425</v>
      </c>
      <c r="B150" s="21" t="s">
        <v>45</v>
      </c>
      <c r="C150" s="21" t="s">
        <v>141</v>
      </c>
      <c r="D150" s="21" t="s">
        <v>142</v>
      </c>
      <c r="E150" s="21" t="s">
        <v>142</v>
      </c>
      <c r="F150" s="21" t="s">
        <v>143</v>
      </c>
      <c r="G150" s="21" t="s">
        <v>100</v>
      </c>
      <c r="H150" s="21" t="s">
        <v>60</v>
      </c>
      <c r="I150" s="26">
        <v>1</v>
      </c>
      <c r="J150" s="26">
        <v>25</v>
      </c>
      <c r="K150" s="21" t="s">
        <v>52</v>
      </c>
      <c r="L150" s="27">
        <v>2730.25</v>
      </c>
      <c r="M150" s="21"/>
      <c r="N150" s="21"/>
      <c r="O150" s="21" t="s">
        <v>426</v>
      </c>
      <c r="P150" s="21" t="s">
        <v>54</v>
      </c>
      <c r="Q150" s="28">
        <v>46211</v>
      </c>
      <c r="R150" s="29">
        <v>46210.4843981481</v>
      </c>
      <c r="S150" s="21" t="s">
        <v>145</v>
      </c>
      <c r="T150" s="21"/>
      <c r="U150" s="21" t="s">
        <v>142</v>
      </c>
      <c r="V150" s="29">
        <v>46210.4843518519</v>
      </c>
      <c r="W150">
        <f>VLOOKUP(H150,物料編碼!A:B,2,0)</f>
        <v>1300101043</v>
      </c>
      <c r="X150">
        <v>1300101</v>
      </c>
      <c r="Y150" t="str">
        <f>VLOOKUP(X150,物料編碼!D:G,4,0)</f>
        <v>一號肉</v>
      </c>
      <c r="Z150" t="str">
        <f>VLOOKUP(C150,客戶屬性1!A:C,2,0)</f>
        <v>新昌冻肉</v>
      </c>
      <c r="AA150">
        <f>IF(COUNTIF($O$1:O150,O150)=1,L150,0)</f>
        <v>0</v>
      </c>
    </row>
    <row r="151" customHeight="1" spans="1:27">
      <c r="A151" s="21" t="s">
        <v>425</v>
      </c>
      <c r="B151" s="21" t="s">
        <v>45</v>
      </c>
      <c r="C151" s="21" t="s">
        <v>141</v>
      </c>
      <c r="D151" s="21" t="s">
        <v>142</v>
      </c>
      <c r="E151" s="21" t="s">
        <v>142</v>
      </c>
      <c r="F151" s="21" t="s">
        <v>143</v>
      </c>
      <c r="G151" s="21" t="s">
        <v>100</v>
      </c>
      <c r="H151" s="21" t="s">
        <v>146</v>
      </c>
      <c r="I151" s="26">
        <v>2</v>
      </c>
      <c r="J151" s="26">
        <v>30</v>
      </c>
      <c r="K151" s="21" t="s">
        <v>52</v>
      </c>
      <c r="L151" s="27">
        <v>2730.25</v>
      </c>
      <c r="M151" s="21"/>
      <c r="N151" s="21"/>
      <c r="O151" s="21" t="s">
        <v>426</v>
      </c>
      <c r="P151" s="21" t="s">
        <v>54</v>
      </c>
      <c r="Q151" s="28">
        <v>46211</v>
      </c>
      <c r="R151" s="29">
        <v>46210.4843981481</v>
      </c>
      <c r="S151" s="21" t="s">
        <v>145</v>
      </c>
      <c r="T151" s="21"/>
      <c r="U151" s="21" t="s">
        <v>142</v>
      </c>
      <c r="V151" s="29">
        <v>46210.4843518519</v>
      </c>
      <c r="W151">
        <f>VLOOKUP(H151,物料編碼!A:B,2,0)</f>
        <v>1300603041</v>
      </c>
      <c r="X151">
        <v>1300603</v>
      </c>
      <c r="Y151" t="str">
        <f>VLOOKUP(X151,物料編碼!D:G,4,0)</f>
        <v>帶骨全腿</v>
      </c>
      <c r="Z151" t="str">
        <f>VLOOKUP(C151,客戶屬性1!A:C,2,0)</f>
        <v>新昌冻肉</v>
      </c>
      <c r="AA151">
        <f>IF(COUNTIF($O$1:O151,O151)=1,L151,0)</f>
        <v>0</v>
      </c>
    </row>
    <row r="152" customHeight="1" spans="1:27">
      <c r="A152" s="21" t="s">
        <v>425</v>
      </c>
      <c r="B152" s="21" t="s">
        <v>45</v>
      </c>
      <c r="C152" s="21" t="s">
        <v>141</v>
      </c>
      <c r="D152" s="21" t="s">
        <v>142</v>
      </c>
      <c r="E152" s="21" t="s">
        <v>142</v>
      </c>
      <c r="F152" s="21" t="s">
        <v>143</v>
      </c>
      <c r="G152" s="21" t="s">
        <v>100</v>
      </c>
      <c r="H152" s="21" t="s">
        <v>117</v>
      </c>
      <c r="I152" s="26">
        <v>3</v>
      </c>
      <c r="J152" s="26">
        <v>45</v>
      </c>
      <c r="K152" s="21" t="s">
        <v>52</v>
      </c>
      <c r="L152" s="27">
        <v>2730.25</v>
      </c>
      <c r="M152" s="21"/>
      <c r="N152" s="21"/>
      <c r="O152" s="21" t="s">
        <v>426</v>
      </c>
      <c r="P152" s="21" t="s">
        <v>54</v>
      </c>
      <c r="Q152" s="28">
        <v>46211</v>
      </c>
      <c r="R152" s="29">
        <v>46210.4843981481</v>
      </c>
      <c r="S152" s="21" t="s">
        <v>145</v>
      </c>
      <c r="T152" s="21"/>
      <c r="U152" s="21" t="s">
        <v>142</v>
      </c>
      <c r="V152" s="29">
        <v>46210.4843518519</v>
      </c>
      <c r="W152">
        <f>VLOOKUP(H152,物料編碼!A:B,2,0)</f>
        <v>1300607015</v>
      </c>
      <c r="X152">
        <v>1300607</v>
      </c>
      <c r="Y152" t="str">
        <f>VLOOKUP(X152,物料編碼!D:G,4,0)</f>
        <v>帶皮腿扒</v>
      </c>
      <c r="Z152" t="str">
        <f>VLOOKUP(C152,客戶屬性1!A:C,2,0)</f>
        <v>新昌冻肉</v>
      </c>
      <c r="AA152">
        <f>IF(COUNTIF($O$1:O152,O152)=1,L152,0)</f>
        <v>0</v>
      </c>
    </row>
    <row r="153" customHeight="1" spans="1:27">
      <c r="A153" s="21" t="s">
        <v>427</v>
      </c>
      <c r="B153" s="21" t="s">
        <v>45</v>
      </c>
      <c r="C153" s="21" t="s">
        <v>72</v>
      </c>
      <c r="D153" s="21" t="s">
        <v>73</v>
      </c>
      <c r="E153" s="21" t="s">
        <v>74</v>
      </c>
      <c r="F153" s="21" t="s">
        <v>49</v>
      </c>
      <c r="G153" s="21" t="s">
        <v>50</v>
      </c>
      <c r="H153" s="21" t="s">
        <v>190</v>
      </c>
      <c r="I153" s="26">
        <v>10</v>
      </c>
      <c r="J153" s="26">
        <v>120</v>
      </c>
      <c r="K153" s="21" t="s">
        <v>52</v>
      </c>
      <c r="L153" s="27">
        <v>1884</v>
      </c>
      <c r="M153" s="21"/>
      <c r="N153" s="21"/>
      <c r="O153" s="21" t="s">
        <v>428</v>
      </c>
      <c r="P153" s="21" t="s">
        <v>54</v>
      </c>
      <c r="Q153" s="28">
        <v>46211</v>
      </c>
      <c r="R153" s="29">
        <v>46210.4760532407</v>
      </c>
      <c r="S153" s="21" t="s">
        <v>77</v>
      </c>
      <c r="T153" s="21"/>
      <c r="U153" s="21" t="s">
        <v>74</v>
      </c>
      <c r="V153" s="29">
        <v>46210.4760069444</v>
      </c>
      <c r="W153">
        <f>VLOOKUP(H153,物料編碼!A:B,2,0)</f>
        <v>1300609001</v>
      </c>
      <c r="X153">
        <v>1300609</v>
      </c>
      <c r="Y153" t="str">
        <f>VLOOKUP(X153,物料編碼!D:G,4,0)</f>
        <v>去皮上腿肉</v>
      </c>
      <c r="Z153" t="str">
        <f>VLOOKUP(C153,客戶屬性1!A:C,2,0)</f>
        <v>恒辉贸易公司</v>
      </c>
      <c r="AA153">
        <f>IF(COUNTIF($O$1:O153,O153)=1,L153,0)</f>
        <v>1884</v>
      </c>
    </row>
    <row r="154" customHeight="1" spans="1:27">
      <c r="A154" s="21" t="s">
        <v>429</v>
      </c>
      <c r="B154" s="21" t="s">
        <v>45</v>
      </c>
      <c r="C154" s="21" t="s">
        <v>114</v>
      </c>
      <c r="D154" s="21" t="s">
        <v>115</v>
      </c>
      <c r="E154" s="21" t="s">
        <v>116</v>
      </c>
      <c r="F154" s="21" t="s">
        <v>49</v>
      </c>
      <c r="G154" s="21" t="s">
        <v>100</v>
      </c>
      <c r="H154" s="21" t="s">
        <v>298</v>
      </c>
      <c r="I154" s="26">
        <v>1</v>
      </c>
      <c r="J154" s="26">
        <v>10</v>
      </c>
      <c r="K154" s="21" t="s">
        <v>52</v>
      </c>
      <c r="L154" s="27">
        <v>480</v>
      </c>
      <c r="M154" s="21"/>
      <c r="N154" s="21"/>
      <c r="O154" s="21" t="s">
        <v>430</v>
      </c>
      <c r="P154" s="21" t="s">
        <v>54</v>
      </c>
      <c r="Q154" s="28">
        <v>46210</v>
      </c>
      <c r="R154" s="29">
        <v>46210.4591435185</v>
      </c>
      <c r="S154" s="21" t="s">
        <v>119</v>
      </c>
      <c r="T154" s="21"/>
      <c r="U154" s="21" t="s">
        <v>115</v>
      </c>
      <c r="V154" s="29">
        <v>46210.4590972222</v>
      </c>
      <c r="W154">
        <f>VLOOKUP(H154,物料編碼!A:B,2,0)</f>
        <v>1300111003</v>
      </c>
      <c r="X154">
        <v>1300111</v>
      </c>
      <c r="Y154" t="str">
        <f>VLOOKUP(X154,物料編碼!D:G,4,0)</f>
        <v>寸骨</v>
      </c>
      <c r="Z154" t="str">
        <f>VLOOKUP(C154,客戶屬性1!A:C,2,0)</f>
        <v>骏利贸易公司</v>
      </c>
      <c r="AA154">
        <f>IF(COUNTIF($O$1:O154,O154)=1,L154,0)</f>
        <v>480</v>
      </c>
    </row>
    <row r="155" customHeight="1" spans="1:27">
      <c r="A155" s="21" t="s">
        <v>431</v>
      </c>
      <c r="B155" s="21" t="s">
        <v>45</v>
      </c>
      <c r="C155" s="21" t="s">
        <v>72</v>
      </c>
      <c r="D155" s="21" t="s">
        <v>73</v>
      </c>
      <c r="E155" s="21" t="s">
        <v>74</v>
      </c>
      <c r="F155" s="21" t="s">
        <v>49</v>
      </c>
      <c r="G155" s="21" t="s">
        <v>50</v>
      </c>
      <c r="H155" s="21" t="s">
        <v>190</v>
      </c>
      <c r="I155" s="26">
        <v>4</v>
      </c>
      <c r="J155" s="26">
        <v>48</v>
      </c>
      <c r="K155" s="21" t="s">
        <v>52</v>
      </c>
      <c r="L155" s="27">
        <v>753.6</v>
      </c>
      <c r="M155" s="21"/>
      <c r="N155" s="21"/>
      <c r="O155" s="21" t="s">
        <v>432</v>
      </c>
      <c r="P155" s="21" t="s">
        <v>54</v>
      </c>
      <c r="Q155" s="28">
        <v>46210</v>
      </c>
      <c r="R155" s="29">
        <v>46210.4012847222</v>
      </c>
      <c r="S155" s="21" t="s">
        <v>77</v>
      </c>
      <c r="T155" s="21"/>
      <c r="U155" s="21" t="s">
        <v>74</v>
      </c>
      <c r="V155" s="29">
        <v>46210.4012384259</v>
      </c>
      <c r="W155">
        <f>VLOOKUP(H155,物料編碼!A:B,2,0)</f>
        <v>1300609001</v>
      </c>
      <c r="X155">
        <v>1300609</v>
      </c>
      <c r="Y155" t="str">
        <f>VLOOKUP(X155,物料編碼!D:G,4,0)</f>
        <v>去皮上腿肉</v>
      </c>
      <c r="Z155" t="str">
        <f>VLOOKUP(C155,客戶屬性1!A:C,2,0)</f>
        <v>恒辉贸易公司</v>
      </c>
      <c r="AA155">
        <f>IF(COUNTIF($O$1:O155,O155)=1,L155,0)</f>
        <v>753.6</v>
      </c>
    </row>
    <row r="156" customHeight="1" spans="1:27">
      <c r="A156" s="21" t="s">
        <v>433</v>
      </c>
      <c r="B156" s="21" t="s">
        <v>45</v>
      </c>
      <c r="C156" s="21" t="s">
        <v>72</v>
      </c>
      <c r="D156" s="21" t="s">
        <v>73</v>
      </c>
      <c r="E156" s="21" t="s">
        <v>74</v>
      </c>
      <c r="F156" s="21" t="s">
        <v>49</v>
      </c>
      <c r="G156" s="21" t="s">
        <v>50</v>
      </c>
      <c r="H156" s="21" t="s">
        <v>397</v>
      </c>
      <c r="I156" s="26">
        <v>1</v>
      </c>
      <c r="J156" s="26">
        <v>12</v>
      </c>
      <c r="K156" s="21" t="s">
        <v>52</v>
      </c>
      <c r="L156" s="27">
        <v>127.2</v>
      </c>
      <c r="M156" s="21"/>
      <c r="N156" s="21"/>
      <c r="O156" s="21" t="s">
        <v>434</v>
      </c>
      <c r="P156" s="21" t="s">
        <v>54</v>
      </c>
      <c r="Q156" s="28">
        <v>46210</v>
      </c>
      <c r="R156" s="29">
        <v>46209.6924652778</v>
      </c>
      <c r="S156" s="21" t="s">
        <v>288</v>
      </c>
      <c r="T156" s="21"/>
      <c r="U156" s="21" t="s">
        <v>82</v>
      </c>
      <c r="V156" s="29">
        <v>46209.6924189815</v>
      </c>
      <c r="W156">
        <f>VLOOKUP(H156,物料編碼!A:B,2,0)</f>
        <v>1300901003</v>
      </c>
      <c r="X156">
        <v>1300901</v>
      </c>
      <c r="Y156" t="str">
        <f>VLOOKUP(X156,物料編碼!D:G,4,0)</f>
        <v>整鴨</v>
      </c>
      <c r="Z156" t="str">
        <f>VLOOKUP(C156,客戶屬性1!A:C,2,0)</f>
        <v>恒辉贸易公司</v>
      </c>
      <c r="AA156">
        <f>IF(COUNTIF($O$1:O156,O156)=1,L156,0)</f>
        <v>127.2</v>
      </c>
    </row>
    <row r="157" customHeight="1" spans="1:27">
      <c r="A157" s="21" t="s">
        <v>435</v>
      </c>
      <c r="B157" s="21" t="s">
        <v>45</v>
      </c>
      <c r="C157" s="21" t="s">
        <v>290</v>
      </c>
      <c r="D157" s="21" t="s">
        <v>291</v>
      </c>
      <c r="E157" s="21" t="s">
        <v>292</v>
      </c>
      <c r="F157" s="21" t="s">
        <v>49</v>
      </c>
      <c r="G157" s="21" t="s">
        <v>50</v>
      </c>
      <c r="H157" s="21" t="s">
        <v>101</v>
      </c>
      <c r="I157" s="26">
        <v>4</v>
      </c>
      <c r="J157" s="26">
        <v>100</v>
      </c>
      <c r="K157" s="21" t="s">
        <v>52</v>
      </c>
      <c r="L157" s="27">
        <v>2744</v>
      </c>
      <c r="M157" s="21"/>
      <c r="N157" s="21"/>
      <c r="O157" s="21" t="s">
        <v>436</v>
      </c>
      <c r="P157" s="21" t="s">
        <v>54</v>
      </c>
      <c r="Q157" s="28">
        <v>46210</v>
      </c>
      <c r="R157" s="29">
        <v>46209.5862384259</v>
      </c>
      <c r="S157" s="21" t="s">
        <v>294</v>
      </c>
      <c r="T157" s="21"/>
      <c r="U157" s="21" t="s">
        <v>292</v>
      </c>
      <c r="V157" s="29">
        <v>46209.5861921296</v>
      </c>
      <c r="W157">
        <f>VLOOKUP(H157,物料編碼!A:B,2,0)</f>
        <v>1300101018</v>
      </c>
      <c r="X157">
        <v>1300101</v>
      </c>
      <c r="Y157" t="str">
        <f>VLOOKUP(X157,物料編碼!D:G,4,0)</f>
        <v>一號肉</v>
      </c>
      <c r="Z157" t="str">
        <f>VLOOKUP(C157,客戶屬性1!A:C,2,0)</f>
        <v>溢利食品(香港)有限公司</v>
      </c>
      <c r="AA157">
        <f>IF(COUNTIF($O$1:O157,O157)=1,L157,0)</f>
        <v>2744</v>
      </c>
    </row>
    <row r="158" customHeight="1" spans="1:27">
      <c r="A158" s="21" t="s">
        <v>437</v>
      </c>
      <c r="B158" s="21" t="s">
        <v>45</v>
      </c>
      <c r="C158" s="21" t="s">
        <v>197</v>
      </c>
      <c r="D158" s="21" t="s">
        <v>198</v>
      </c>
      <c r="E158" s="21" t="s">
        <v>199</v>
      </c>
      <c r="F158" s="21" t="s">
        <v>49</v>
      </c>
      <c r="G158" s="21" t="s">
        <v>136</v>
      </c>
      <c r="H158" s="21" t="s">
        <v>63</v>
      </c>
      <c r="I158" s="26">
        <v>4</v>
      </c>
      <c r="J158" s="26">
        <v>100</v>
      </c>
      <c r="K158" s="21" t="s">
        <v>52</v>
      </c>
      <c r="L158" s="27">
        <v>6295.3</v>
      </c>
      <c r="M158" s="21"/>
      <c r="N158" s="21"/>
      <c r="O158" s="21" t="s">
        <v>438</v>
      </c>
      <c r="P158" s="21" t="s">
        <v>54</v>
      </c>
      <c r="Q158" s="28">
        <v>46210</v>
      </c>
      <c r="R158" s="29">
        <v>46209.5377314815</v>
      </c>
      <c r="S158" s="21" t="s">
        <v>202</v>
      </c>
      <c r="T158" s="21"/>
      <c r="U158" s="21" t="s">
        <v>203</v>
      </c>
      <c r="V158" s="29">
        <v>46209.5376851852</v>
      </c>
      <c r="W158">
        <f>VLOOKUP(H158,物料編碼!A:B,2,0)</f>
        <v>1300109002</v>
      </c>
      <c r="X158">
        <v>1300109</v>
      </c>
      <c r="Y158" t="str">
        <f>VLOOKUP(X158,物料編碼!D:G,4,0)</f>
        <v>面精肉</v>
      </c>
      <c r="Z158" t="str">
        <f>VLOOKUP(C158,客戶屬性1!A:C,2,0)</f>
        <v>信隆(亚洲)有限公司</v>
      </c>
      <c r="AA158">
        <f>IF(COUNTIF($O$1:O158,O158)=1,L158,0)</f>
        <v>6295.3</v>
      </c>
    </row>
    <row r="159" customHeight="1" spans="1:27">
      <c r="A159" s="21" t="s">
        <v>437</v>
      </c>
      <c r="B159" s="21" t="s">
        <v>45</v>
      </c>
      <c r="C159" s="21" t="s">
        <v>197</v>
      </c>
      <c r="D159" s="21" t="s">
        <v>198</v>
      </c>
      <c r="E159" s="21" t="s">
        <v>199</v>
      </c>
      <c r="F159" s="21" t="s">
        <v>49</v>
      </c>
      <c r="G159" s="21" t="s">
        <v>136</v>
      </c>
      <c r="H159" s="21" t="s">
        <v>239</v>
      </c>
      <c r="I159" s="26">
        <v>15</v>
      </c>
      <c r="J159" s="26">
        <v>150</v>
      </c>
      <c r="K159" s="21" t="s">
        <v>52</v>
      </c>
      <c r="L159" s="27">
        <v>6295.3</v>
      </c>
      <c r="M159" s="21"/>
      <c r="N159" s="21"/>
      <c r="O159" s="21" t="s">
        <v>438</v>
      </c>
      <c r="P159" s="21" t="s">
        <v>54</v>
      </c>
      <c r="Q159" s="28">
        <v>46210</v>
      </c>
      <c r="R159" s="29">
        <v>46209.5377314815</v>
      </c>
      <c r="S159" s="21" t="s">
        <v>202</v>
      </c>
      <c r="T159" s="21"/>
      <c r="U159" s="21" t="s">
        <v>203</v>
      </c>
      <c r="V159" s="29">
        <v>46209.5376851852</v>
      </c>
      <c r="W159">
        <f>VLOOKUP(H159,物料編碼!A:B,2,0)</f>
        <v>1300904023</v>
      </c>
      <c r="X159">
        <v>1300904</v>
      </c>
      <c r="Y159" t="str">
        <f>VLOOKUP(X159,物料編碼!D:G,4,0)</f>
        <v>煙熏鴨胸</v>
      </c>
      <c r="Z159" t="str">
        <f>VLOOKUP(C159,客戶屬性1!A:C,2,0)</f>
        <v>信隆(亚洲)有限公司</v>
      </c>
      <c r="AA159">
        <f>IF(COUNTIF($O$1:O159,O159)=1,L159,0)</f>
        <v>0</v>
      </c>
    </row>
    <row r="160" customHeight="1" spans="1:27">
      <c r="A160" s="21" t="s">
        <v>439</v>
      </c>
      <c r="B160" s="21" t="s">
        <v>45</v>
      </c>
      <c r="C160" s="21" t="s">
        <v>105</v>
      </c>
      <c r="D160" s="21" t="s">
        <v>106</v>
      </c>
      <c r="E160" s="21" t="s">
        <v>107</v>
      </c>
      <c r="F160" s="21" t="s">
        <v>49</v>
      </c>
      <c r="G160" s="21" t="s">
        <v>68</v>
      </c>
      <c r="H160" s="21" t="s">
        <v>60</v>
      </c>
      <c r="I160" s="26">
        <v>4</v>
      </c>
      <c r="J160" s="26">
        <v>100</v>
      </c>
      <c r="K160" s="21" t="s">
        <v>52</v>
      </c>
      <c r="L160" s="27">
        <v>3479</v>
      </c>
      <c r="M160" s="21"/>
      <c r="N160" s="21"/>
      <c r="O160" s="21" t="s">
        <v>440</v>
      </c>
      <c r="P160" s="21" t="s">
        <v>54</v>
      </c>
      <c r="Q160" s="28">
        <v>46210</v>
      </c>
      <c r="R160" s="29">
        <v>46209.5269328704</v>
      </c>
      <c r="S160" s="21" t="s">
        <v>109</v>
      </c>
      <c r="T160" s="21"/>
      <c r="U160" s="21" t="s">
        <v>110</v>
      </c>
      <c r="V160" s="29">
        <v>46209.5268865741</v>
      </c>
      <c r="W160">
        <f>VLOOKUP(H160,物料編碼!A:B,2,0)</f>
        <v>1300101043</v>
      </c>
      <c r="X160">
        <v>1300101</v>
      </c>
      <c r="Y160" t="str">
        <f>VLOOKUP(X160,物料編碼!D:G,4,0)</f>
        <v>一號肉</v>
      </c>
      <c r="Z160" t="str">
        <f>VLOOKUP(C160,客戶屬性1!A:C,2,0)</f>
        <v>MING KEE</v>
      </c>
      <c r="AA160">
        <f>IF(COUNTIF($O$1:O160,O160)=1,L160,0)</f>
        <v>3479</v>
      </c>
    </row>
    <row r="161" customHeight="1" spans="1:27">
      <c r="A161" s="21" t="s">
        <v>441</v>
      </c>
      <c r="B161" s="21" t="s">
        <v>45</v>
      </c>
      <c r="C161" s="21" t="s">
        <v>72</v>
      </c>
      <c r="D161" s="21" t="s">
        <v>73</v>
      </c>
      <c r="E161" s="21" t="s">
        <v>74</v>
      </c>
      <c r="F161" s="21" t="s">
        <v>49</v>
      </c>
      <c r="G161" s="21" t="s">
        <v>50</v>
      </c>
      <c r="H161" s="21" t="s">
        <v>190</v>
      </c>
      <c r="I161" s="26">
        <v>2</v>
      </c>
      <c r="J161" s="26">
        <v>24</v>
      </c>
      <c r="K161" s="21" t="s">
        <v>52</v>
      </c>
      <c r="L161" s="27">
        <v>376.8</v>
      </c>
      <c r="M161" s="21"/>
      <c r="N161" s="21"/>
      <c r="O161" s="21" t="s">
        <v>442</v>
      </c>
      <c r="P161" s="21" t="s">
        <v>54</v>
      </c>
      <c r="Q161" s="28">
        <v>46210</v>
      </c>
      <c r="R161" s="29">
        <v>46209.4857638889</v>
      </c>
      <c r="S161" s="21" t="s">
        <v>77</v>
      </c>
      <c r="T161" s="21"/>
      <c r="U161" s="21" t="s">
        <v>74</v>
      </c>
      <c r="V161" s="29">
        <v>46209.4857060185</v>
      </c>
      <c r="W161">
        <f>VLOOKUP(H161,物料編碼!A:B,2,0)</f>
        <v>1300609001</v>
      </c>
      <c r="X161">
        <v>1300609</v>
      </c>
      <c r="Y161" t="str">
        <f>VLOOKUP(X161,物料編碼!D:G,4,0)</f>
        <v>去皮上腿肉</v>
      </c>
      <c r="Z161" t="str">
        <f>VLOOKUP(C161,客戶屬性1!A:C,2,0)</f>
        <v>恒辉贸易公司</v>
      </c>
      <c r="AA161">
        <f>IF(COUNTIF($O$1:O161,O161)=1,L161,0)</f>
        <v>376.8</v>
      </c>
    </row>
    <row r="162" customHeight="1" spans="1:27">
      <c r="A162" s="21" t="s">
        <v>443</v>
      </c>
      <c r="B162" s="21" t="s">
        <v>45</v>
      </c>
      <c r="C162" s="21" t="s">
        <v>141</v>
      </c>
      <c r="D162" s="21" t="s">
        <v>142</v>
      </c>
      <c r="E162" s="21" t="s">
        <v>142</v>
      </c>
      <c r="F162" s="21" t="s">
        <v>143</v>
      </c>
      <c r="G162" s="21" t="s">
        <v>100</v>
      </c>
      <c r="H162" s="21" t="s">
        <v>298</v>
      </c>
      <c r="I162" s="26">
        <v>1</v>
      </c>
      <c r="J162" s="26">
        <v>10</v>
      </c>
      <c r="K162" s="21" t="s">
        <v>52</v>
      </c>
      <c r="L162" s="27">
        <v>1237.3</v>
      </c>
      <c r="M162" s="21"/>
      <c r="N162" s="21"/>
      <c r="O162" s="21" t="s">
        <v>444</v>
      </c>
      <c r="P162" s="21" t="s">
        <v>54</v>
      </c>
      <c r="Q162" s="28">
        <v>46210</v>
      </c>
      <c r="R162" s="29">
        <v>46209.4811458333</v>
      </c>
      <c r="S162" s="21" t="s">
        <v>145</v>
      </c>
      <c r="T162" s="21"/>
      <c r="U162" s="21" t="s">
        <v>142</v>
      </c>
      <c r="V162" s="29">
        <v>46209.481099537</v>
      </c>
      <c r="W162">
        <f>VLOOKUP(H162,物料編碼!A:B,2,0)</f>
        <v>1300111003</v>
      </c>
      <c r="X162">
        <v>1300111</v>
      </c>
      <c r="Y162" t="str">
        <f>VLOOKUP(X162,物料編碼!D:G,4,0)</f>
        <v>寸骨</v>
      </c>
      <c r="Z162" t="str">
        <f>VLOOKUP(C162,客戶屬性1!A:C,2,0)</f>
        <v>新昌冻肉</v>
      </c>
      <c r="AA162">
        <f>IF(COUNTIF($O$1:O162,O162)=1,L162,0)</f>
        <v>1237.3</v>
      </c>
    </row>
    <row r="163" customHeight="1" spans="1:27">
      <c r="A163" s="21" t="s">
        <v>443</v>
      </c>
      <c r="B163" s="21" t="s">
        <v>45</v>
      </c>
      <c r="C163" s="21" t="s">
        <v>141</v>
      </c>
      <c r="D163" s="21" t="s">
        <v>142</v>
      </c>
      <c r="E163" s="21" t="s">
        <v>142</v>
      </c>
      <c r="F163" s="21" t="s">
        <v>143</v>
      </c>
      <c r="G163" s="21" t="s">
        <v>100</v>
      </c>
      <c r="H163" s="21" t="s">
        <v>168</v>
      </c>
      <c r="I163" s="26">
        <v>1</v>
      </c>
      <c r="J163" s="26">
        <v>10</v>
      </c>
      <c r="K163" s="21" t="s">
        <v>52</v>
      </c>
      <c r="L163" s="27">
        <v>1237.3</v>
      </c>
      <c r="M163" s="21"/>
      <c r="N163" s="21"/>
      <c r="O163" s="21" t="s">
        <v>444</v>
      </c>
      <c r="P163" s="21" t="s">
        <v>54</v>
      </c>
      <c r="Q163" s="28">
        <v>46210</v>
      </c>
      <c r="R163" s="29">
        <v>46209.4811458333</v>
      </c>
      <c r="S163" s="21" t="s">
        <v>145</v>
      </c>
      <c r="T163" s="21"/>
      <c r="U163" s="21" t="s">
        <v>142</v>
      </c>
      <c r="V163" s="29">
        <v>46209.481099537</v>
      </c>
      <c r="W163">
        <f>VLOOKUP(H163,物料編碼!A:B,2,0)</f>
        <v>1300627002</v>
      </c>
      <c r="X163">
        <v>1300627</v>
      </c>
      <c r="Y163" t="str">
        <f>VLOOKUP(X163,物料編碼!D:G,4,0)</f>
        <v>翅尖</v>
      </c>
      <c r="Z163" t="str">
        <f>VLOOKUP(C163,客戶屬性1!A:C,2,0)</f>
        <v>新昌冻肉</v>
      </c>
      <c r="AA163">
        <f>IF(COUNTIF($O$1:O163,O163)=1,L163,0)</f>
        <v>0</v>
      </c>
    </row>
    <row r="164" customHeight="1" spans="1:27">
      <c r="A164" s="21" t="s">
        <v>443</v>
      </c>
      <c r="B164" s="21" t="s">
        <v>45</v>
      </c>
      <c r="C164" s="21" t="s">
        <v>141</v>
      </c>
      <c r="D164" s="21" t="s">
        <v>142</v>
      </c>
      <c r="E164" s="21" t="s">
        <v>142</v>
      </c>
      <c r="F164" s="21" t="s">
        <v>143</v>
      </c>
      <c r="G164" s="21" t="s">
        <v>100</v>
      </c>
      <c r="H164" s="21" t="s">
        <v>117</v>
      </c>
      <c r="I164" s="26">
        <v>3</v>
      </c>
      <c r="J164" s="26">
        <v>45</v>
      </c>
      <c r="K164" s="21" t="s">
        <v>52</v>
      </c>
      <c r="L164" s="27">
        <v>1237.3</v>
      </c>
      <c r="M164" s="21"/>
      <c r="N164" s="21"/>
      <c r="O164" s="21" t="s">
        <v>444</v>
      </c>
      <c r="P164" s="21" t="s">
        <v>54</v>
      </c>
      <c r="Q164" s="28">
        <v>46210</v>
      </c>
      <c r="R164" s="29">
        <v>46209.4811458333</v>
      </c>
      <c r="S164" s="21" t="s">
        <v>145</v>
      </c>
      <c r="T164" s="21"/>
      <c r="U164" s="21" t="s">
        <v>142</v>
      </c>
      <c r="V164" s="29">
        <v>46209.481099537</v>
      </c>
      <c r="W164">
        <f>VLOOKUP(H164,物料編碼!A:B,2,0)</f>
        <v>1300607015</v>
      </c>
      <c r="X164">
        <v>1300607</v>
      </c>
      <c r="Y164" t="str">
        <f>VLOOKUP(X164,物料編碼!D:G,4,0)</f>
        <v>帶皮腿扒</v>
      </c>
      <c r="Z164" t="str">
        <f>VLOOKUP(C164,客戶屬性1!A:C,2,0)</f>
        <v>新昌冻肉</v>
      </c>
      <c r="AA164">
        <f>IF(COUNTIF($O$1:O164,O164)=1,L164,0)</f>
        <v>0</v>
      </c>
    </row>
    <row r="165" customHeight="1" spans="1:27">
      <c r="A165" s="21" t="s">
        <v>445</v>
      </c>
      <c r="B165" s="21" t="s">
        <v>45</v>
      </c>
      <c r="C165" s="21" t="s">
        <v>72</v>
      </c>
      <c r="D165" s="21" t="s">
        <v>73</v>
      </c>
      <c r="E165" s="21" t="s">
        <v>74</v>
      </c>
      <c r="F165" s="21" t="s">
        <v>49</v>
      </c>
      <c r="G165" s="21" t="s">
        <v>50</v>
      </c>
      <c r="H165" s="21" t="s">
        <v>75</v>
      </c>
      <c r="I165" s="26">
        <v>1</v>
      </c>
      <c r="J165" s="26">
        <v>15</v>
      </c>
      <c r="K165" s="21" t="s">
        <v>52</v>
      </c>
      <c r="L165" s="27">
        <v>1962.15</v>
      </c>
      <c r="M165" s="21"/>
      <c r="N165" s="21"/>
      <c r="O165" s="21" t="s">
        <v>446</v>
      </c>
      <c r="P165" s="21" t="s">
        <v>54</v>
      </c>
      <c r="Q165" s="28">
        <v>46209</v>
      </c>
      <c r="R165" s="29">
        <v>46209.4054398148</v>
      </c>
      <c r="S165" s="21" t="s">
        <v>77</v>
      </c>
      <c r="T165" s="21"/>
      <c r="U165" s="21" t="s">
        <v>74</v>
      </c>
      <c r="V165" s="29">
        <v>46209.4053935185</v>
      </c>
      <c r="W165">
        <f>VLOOKUP(H165,物料編碼!A:B,2,0)</f>
        <v>1300603040</v>
      </c>
      <c r="X165">
        <v>1300603</v>
      </c>
      <c r="Y165" t="str">
        <f>VLOOKUP(X165,物料編碼!D:G,4,0)</f>
        <v>帶骨全腿</v>
      </c>
      <c r="Z165" t="str">
        <f>VLOOKUP(C165,客戶屬性1!A:C,2,0)</f>
        <v>恒辉贸易公司</v>
      </c>
      <c r="AA165">
        <f>IF(COUNTIF($O$1:O165,O165)=1,L165,0)</f>
        <v>1962.15</v>
      </c>
    </row>
    <row r="166" customHeight="1" spans="1:27">
      <c r="A166" s="21" t="s">
        <v>445</v>
      </c>
      <c r="B166" s="21" t="s">
        <v>45</v>
      </c>
      <c r="C166" s="21" t="s">
        <v>72</v>
      </c>
      <c r="D166" s="21" t="s">
        <v>73</v>
      </c>
      <c r="E166" s="21" t="s">
        <v>74</v>
      </c>
      <c r="F166" s="21" t="s">
        <v>49</v>
      </c>
      <c r="G166" s="21" t="s">
        <v>50</v>
      </c>
      <c r="H166" s="21" t="s">
        <v>78</v>
      </c>
      <c r="I166" s="26">
        <v>8</v>
      </c>
      <c r="J166" s="26">
        <v>120</v>
      </c>
      <c r="K166" s="21" t="s">
        <v>52</v>
      </c>
      <c r="L166" s="27">
        <v>1962.15</v>
      </c>
      <c r="M166" s="21"/>
      <c r="N166" s="21"/>
      <c r="O166" s="21" t="s">
        <v>446</v>
      </c>
      <c r="P166" s="21" t="s">
        <v>54</v>
      </c>
      <c r="Q166" s="28">
        <v>46209</v>
      </c>
      <c r="R166" s="29">
        <v>46209.4054398148</v>
      </c>
      <c r="S166" s="21" t="s">
        <v>77</v>
      </c>
      <c r="T166" s="21"/>
      <c r="U166" s="21" t="s">
        <v>74</v>
      </c>
      <c r="V166" s="29">
        <v>46209.4053935185</v>
      </c>
      <c r="W166">
        <f>VLOOKUP(H166,物料編碼!A:B,2,0)</f>
        <v>1300607014</v>
      </c>
      <c r="X166">
        <v>1300607</v>
      </c>
      <c r="Y166" t="str">
        <f>VLOOKUP(X166,物料編碼!D:G,4,0)</f>
        <v>帶皮腿扒</v>
      </c>
      <c r="Z166" t="str">
        <f>VLOOKUP(C166,客戶屬性1!A:C,2,0)</f>
        <v>恒辉贸易公司</v>
      </c>
      <c r="AA166">
        <f>IF(COUNTIF($O$1:O166,O166)=1,L166,0)</f>
        <v>0</v>
      </c>
    </row>
    <row r="167" customHeight="1" spans="1:27">
      <c r="A167" s="21" t="s">
        <v>447</v>
      </c>
      <c r="B167" s="21" t="s">
        <v>45</v>
      </c>
      <c r="C167" s="21" t="s">
        <v>187</v>
      </c>
      <c r="D167" s="21" t="s">
        <v>188</v>
      </c>
      <c r="E167" s="21" t="s">
        <v>189</v>
      </c>
      <c r="F167" s="21" t="s">
        <v>49</v>
      </c>
      <c r="G167" s="21" t="s">
        <v>68</v>
      </c>
      <c r="H167" s="21" t="s">
        <v>190</v>
      </c>
      <c r="I167" s="26">
        <v>5</v>
      </c>
      <c r="J167" s="26">
        <v>60</v>
      </c>
      <c r="K167" s="21" t="s">
        <v>52</v>
      </c>
      <c r="L167" s="27">
        <v>942</v>
      </c>
      <c r="M167" s="21"/>
      <c r="N167" s="21"/>
      <c r="O167" s="21" t="s">
        <v>448</v>
      </c>
      <c r="P167" s="21" t="s">
        <v>54</v>
      </c>
      <c r="Q167" s="28">
        <v>46210</v>
      </c>
      <c r="R167" s="29">
        <v>46209.4023263889</v>
      </c>
      <c r="S167" s="21" t="s">
        <v>192</v>
      </c>
      <c r="T167" s="21"/>
      <c r="U167" s="21" t="s">
        <v>193</v>
      </c>
      <c r="V167" s="29">
        <v>46209.4022800926</v>
      </c>
      <c r="W167">
        <f>VLOOKUP(H167,物料編碼!A:B,2,0)</f>
        <v>1300609001</v>
      </c>
      <c r="X167">
        <v>1300609</v>
      </c>
      <c r="Y167" t="str">
        <f>VLOOKUP(X167,物料編碼!D:G,4,0)</f>
        <v>去皮上腿肉</v>
      </c>
      <c r="Z167" t="str">
        <f>VLOOKUP(C167,客戶屬性1!A:C,2,0)</f>
        <v>佳城兴业有限公司/火炭</v>
      </c>
      <c r="AA167">
        <f>IF(COUNTIF($O$1:O167,O167)=1,L167,0)</f>
        <v>942</v>
      </c>
    </row>
    <row r="168" customHeight="1" spans="1:27">
      <c r="A168" s="21" t="s">
        <v>449</v>
      </c>
      <c r="B168" s="21" t="s">
        <v>45</v>
      </c>
      <c r="C168" s="21" t="s">
        <v>72</v>
      </c>
      <c r="D168" s="21" t="s">
        <v>73</v>
      </c>
      <c r="E168" s="21" t="s">
        <v>74</v>
      </c>
      <c r="F168" s="21" t="s">
        <v>49</v>
      </c>
      <c r="G168" s="21" t="s">
        <v>50</v>
      </c>
      <c r="H168" s="21" t="s">
        <v>450</v>
      </c>
      <c r="I168" s="26">
        <v>1</v>
      </c>
      <c r="J168" s="26">
        <v>20</v>
      </c>
      <c r="K168" s="21" t="s">
        <v>52</v>
      </c>
      <c r="L168" s="27">
        <v>1640</v>
      </c>
      <c r="M168" s="21"/>
      <c r="N168" s="21"/>
      <c r="O168" s="21" t="s">
        <v>451</v>
      </c>
      <c r="P168" s="21" t="s">
        <v>54</v>
      </c>
      <c r="Q168" s="28">
        <v>46209</v>
      </c>
      <c r="R168" s="29">
        <v>46209.3672916667</v>
      </c>
      <c r="S168" s="21" t="s">
        <v>81</v>
      </c>
      <c r="T168" s="21"/>
      <c r="U168" s="21" t="s">
        <v>82</v>
      </c>
      <c r="V168" s="29">
        <v>46209.3672337963</v>
      </c>
      <c r="W168">
        <f>VLOOKUP(H168,物料編碼!A:B,2,0)</f>
        <v>1300501019</v>
      </c>
      <c r="X168">
        <v>1300501</v>
      </c>
      <c r="Y168" t="str">
        <f>VLOOKUP(X168,物料編碼!D:G,4,0)</f>
        <v>羊排</v>
      </c>
      <c r="Z168" t="str">
        <f>VLOOKUP(C168,客戶屬性1!A:C,2,0)</f>
        <v>恒辉贸易公司</v>
      </c>
      <c r="AA168">
        <f>IF(COUNTIF($O$1:O168,O168)=1,L168,0)</f>
        <v>1640</v>
      </c>
    </row>
    <row r="169" customHeight="1" spans="1:27">
      <c r="A169" s="21" t="s">
        <v>452</v>
      </c>
      <c r="B169" s="21" t="s">
        <v>45</v>
      </c>
      <c r="C169" s="21" t="s">
        <v>72</v>
      </c>
      <c r="D169" s="21" t="s">
        <v>73</v>
      </c>
      <c r="E169" s="21" t="s">
        <v>74</v>
      </c>
      <c r="F169" s="21" t="s">
        <v>49</v>
      </c>
      <c r="G169" s="21" t="s">
        <v>50</v>
      </c>
      <c r="H169" s="21" t="s">
        <v>63</v>
      </c>
      <c r="I169" s="26">
        <v>7</v>
      </c>
      <c r="J169" s="26">
        <v>175</v>
      </c>
      <c r="K169" s="21" t="s">
        <v>52</v>
      </c>
      <c r="L169" s="27">
        <v>5669.65</v>
      </c>
      <c r="M169" s="21"/>
      <c r="N169" s="21"/>
      <c r="O169" s="21" t="s">
        <v>453</v>
      </c>
      <c r="P169" s="21" t="s">
        <v>54</v>
      </c>
      <c r="Q169" s="28">
        <v>46209</v>
      </c>
      <c r="R169" s="29">
        <v>46207.4536226852</v>
      </c>
      <c r="S169" s="21" t="s">
        <v>81</v>
      </c>
      <c r="T169" s="21"/>
      <c r="U169" s="21" t="s">
        <v>82</v>
      </c>
      <c r="V169" s="29">
        <v>46207.4535763889</v>
      </c>
      <c r="W169">
        <f>VLOOKUP(H169,物料編碼!A:B,2,0)</f>
        <v>1300109002</v>
      </c>
      <c r="X169">
        <v>1300109</v>
      </c>
      <c r="Y169" t="str">
        <f>VLOOKUP(X169,物料編碼!D:G,4,0)</f>
        <v>面精肉</v>
      </c>
      <c r="Z169" t="str">
        <f>VLOOKUP(C169,客戶屬性1!A:C,2,0)</f>
        <v>恒辉贸易公司</v>
      </c>
      <c r="AA169">
        <f>IF(COUNTIF($O$1:O169,O169)=1,L169,0)</f>
        <v>5669.65</v>
      </c>
    </row>
    <row r="170" customHeight="1" spans="1:27">
      <c r="A170" s="21" t="s">
        <v>454</v>
      </c>
      <c r="B170" s="21" t="s">
        <v>45</v>
      </c>
      <c r="C170" s="21" t="s">
        <v>46</v>
      </c>
      <c r="D170" s="21" t="s">
        <v>47</v>
      </c>
      <c r="E170" s="21" t="s">
        <v>48</v>
      </c>
      <c r="F170" s="21" t="s">
        <v>49</v>
      </c>
      <c r="G170" s="21" t="s">
        <v>50</v>
      </c>
      <c r="H170" s="21" t="s">
        <v>63</v>
      </c>
      <c r="I170" s="26">
        <v>1</v>
      </c>
      <c r="J170" s="26">
        <v>25</v>
      </c>
      <c r="K170" s="21" t="s">
        <v>52</v>
      </c>
      <c r="L170" s="27">
        <v>954.65</v>
      </c>
      <c r="M170" s="21"/>
      <c r="N170" s="21"/>
      <c r="O170" s="21" t="s">
        <v>455</v>
      </c>
      <c r="P170" s="21" t="s">
        <v>54</v>
      </c>
      <c r="Q170" s="28">
        <v>46207</v>
      </c>
      <c r="R170" s="29">
        <v>46207.4253935185</v>
      </c>
      <c r="S170" s="21" t="s">
        <v>55</v>
      </c>
      <c r="T170" s="21"/>
      <c r="U170" s="21" t="s">
        <v>47</v>
      </c>
      <c r="V170" s="29">
        <v>46207.4253356481</v>
      </c>
      <c r="W170">
        <f>VLOOKUP(H170,物料編碼!A:B,2,0)</f>
        <v>1300109002</v>
      </c>
      <c r="X170">
        <v>1300109</v>
      </c>
      <c r="Y170" t="str">
        <f>VLOOKUP(X170,物料編碼!D:G,4,0)</f>
        <v>面精肉</v>
      </c>
      <c r="Z170" t="str">
        <f>VLOOKUP(C170,客戶屬性1!A:C,2,0)</f>
        <v>明记冻肉</v>
      </c>
      <c r="AA170">
        <f>IF(COUNTIF($O$1:O170,O170)=1,L170,0)</f>
        <v>954.65</v>
      </c>
    </row>
    <row r="171" customHeight="1" spans="1:27">
      <c r="A171" s="21" t="s">
        <v>454</v>
      </c>
      <c r="B171" s="21" t="s">
        <v>45</v>
      </c>
      <c r="C171" s="21" t="s">
        <v>46</v>
      </c>
      <c r="D171" s="21" t="s">
        <v>47</v>
      </c>
      <c r="E171" s="21" t="s">
        <v>48</v>
      </c>
      <c r="F171" s="21" t="s">
        <v>49</v>
      </c>
      <c r="G171" s="21" t="s">
        <v>50</v>
      </c>
      <c r="H171" s="21" t="s">
        <v>51</v>
      </c>
      <c r="I171" s="26">
        <v>1</v>
      </c>
      <c r="J171" s="26">
        <v>10</v>
      </c>
      <c r="K171" s="21" t="s">
        <v>52</v>
      </c>
      <c r="L171" s="27">
        <v>954.65</v>
      </c>
      <c r="M171" s="21"/>
      <c r="N171" s="21"/>
      <c r="O171" s="21" t="s">
        <v>455</v>
      </c>
      <c r="P171" s="21" t="s">
        <v>54</v>
      </c>
      <c r="Q171" s="28">
        <v>46207</v>
      </c>
      <c r="R171" s="29">
        <v>46207.4253935185</v>
      </c>
      <c r="S171" s="21" t="s">
        <v>55</v>
      </c>
      <c r="T171" s="21"/>
      <c r="U171" s="21" t="s">
        <v>47</v>
      </c>
      <c r="V171" s="29">
        <v>46207.4253356481</v>
      </c>
      <c r="W171">
        <f>VLOOKUP(H171,物料編碼!A:B,2,0)</f>
        <v>1300624103</v>
      </c>
      <c r="X171">
        <v>1300624</v>
      </c>
      <c r="Y171" t="str">
        <f>VLOOKUP(X171,物料編碼!D:G,4,0)</f>
        <v>琵琶腿</v>
      </c>
      <c r="Z171" t="str">
        <f>VLOOKUP(C171,客戶屬性1!A:C,2,0)</f>
        <v>明记冻肉</v>
      </c>
      <c r="AA171">
        <f>IF(COUNTIF($O$1:O171,O171)=1,L171,0)</f>
        <v>0</v>
      </c>
    </row>
    <row r="172" customHeight="1" spans="1:27">
      <c r="A172" s="21" t="s">
        <v>456</v>
      </c>
      <c r="B172" s="21" t="s">
        <v>45</v>
      </c>
      <c r="C172" s="21" t="s">
        <v>457</v>
      </c>
      <c r="D172" s="21" t="s">
        <v>458</v>
      </c>
      <c r="E172" s="21" t="s">
        <v>459</v>
      </c>
      <c r="F172" s="21" t="s">
        <v>49</v>
      </c>
      <c r="G172" s="21" t="s">
        <v>68</v>
      </c>
      <c r="H172" s="21" t="s">
        <v>328</v>
      </c>
      <c r="I172" s="26">
        <v>15</v>
      </c>
      <c r="J172" s="26">
        <v>225</v>
      </c>
      <c r="K172" s="21" t="s">
        <v>52</v>
      </c>
      <c r="L172" s="27">
        <v>3273.75</v>
      </c>
      <c r="M172" s="21"/>
      <c r="N172" s="21"/>
      <c r="O172" s="21" t="s">
        <v>460</v>
      </c>
      <c r="P172" s="21" t="s">
        <v>54</v>
      </c>
      <c r="Q172" s="28">
        <v>46209</v>
      </c>
      <c r="R172" s="29">
        <v>46206.7412152778</v>
      </c>
      <c r="S172" s="21" t="s">
        <v>461</v>
      </c>
      <c r="T172" s="21"/>
      <c r="U172" s="21" t="s">
        <v>458</v>
      </c>
      <c r="V172" s="29">
        <v>46206.7411689815</v>
      </c>
      <c r="W172">
        <f>VLOOKUP(H172,物料編碼!A:B,2,0)</f>
        <v>1300603038</v>
      </c>
      <c r="X172">
        <v>1300603</v>
      </c>
      <c r="Y172" t="str">
        <f>VLOOKUP(X172,物料編碼!D:G,4,0)</f>
        <v>帶骨全腿</v>
      </c>
      <c r="Z172" t="str">
        <f>VLOOKUP(C172,客戶屬性1!A:C,2,0)</f>
        <v>福永行贸易有限公司</v>
      </c>
      <c r="AA172">
        <f>IF(COUNTIF($O$1:O172,O172)=1,L172,0)</f>
        <v>3273.75</v>
      </c>
    </row>
    <row r="173" customHeight="1" spans="1:27">
      <c r="A173" s="21" t="s">
        <v>462</v>
      </c>
      <c r="B173" s="21" t="s">
        <v>45</v>
      </c>
      <c r="C173" s="21" t="s">
        <v>457</v>
      </c>
      <c r="D173" s="21" t="s">
        <v>458</v>
      </c>
      <c r="E173" s="21" t="s">
        <v>459</v>
      </c>
      <c r="F173" s="21" t="s">
        <v>49</v>
      </c>
      <c r="G173" s="21" t="s">
        <v>68</v>
      </c>
      <c r="H173" s="21" t="s">
        <v>328</v>
      </c>
      <c r="I173" s="26">
        <v>10</v>
      </c>
      <c r="J173" s="26">
        <v>150</v>
      </c>
      <c r="K173" s="21" t="s">
        <v>52</v>
      </c>
      <c r="L173" s="27">
        <v>2182.5</v>
      </c>
      <c r="M173" s="21"/>
      <c r="N173" s="21"/>
      <c r="O173" s="21" t="s">
        <v>463</v>
      </c>
      <c r="P173" s="21" t="s">
        <v>183</v>
      </c>
      <c r="Q173" s="28">
        <v>46207</v>
      </c>
      <c r="R173" s="29">
        <v>46206.7247800926</v>
      </c>
      <c r="S173" s="21" t="s">
        <v>461</v>
      </c>
      <c r="T173" s="21"/>
      <c r="U173" s="21" t="s">
        <v>458</v>
      </c>
      <c r="V173" s="29">
        <v>46206.7247337963</v>
      </c>
      <c r="W173">
        <f>VLOOKUP(H173,物料編碼!A:B,2,0)</f>
        <v>1300603038</v>
      </c>
      <c r="X173">
        <v>1300603</v>
      </c>
      <c r="Y173" t="str">
        <f>VLOOKUP(X173,物料編碼!D:G,4,0)</f>
        <v>帶骨全腿</v>
      </c>
      <c r="Z173" t="str">
        <f>VLOOKUP(C173,客戶屬性1!A:C,2,0)</f>
        <v>福永行贸易有限公司</v>
      </c>
      <c r="AA173">
        <f>IF(COUNTIF($O$1:O173,O173)=1,L173,0)</f>
        <v>2182.5</v>
      </c>
    </row>
    <row r="174" customHeight="1" spans="1:27">
      <c r="A174" s="21" t="s">
        <v>464</v>
      </c>
      <c r="B174" s="21" t="s">
        <v>45</v>
      </c>
      <c r="C174" s="21" t="s">
        <v>465</v>
      </c>
      <c r="D174" s="21" t="s">
        <v>466</v>
      </c>
      <c r="E174" s="21" t="s">
        <v>467</v>
      </c>
      <c r="F174" s="21" t="s">
        <v>49</v>
      </c>
      <c r="G174" s="21" t="s">
        <v>68</v>
      </c>
      <c r="H174" s="21" t="s">
        <v>468</v>
      </c>
      <c r="I174" s="26">
        <v>8</v>
      </c>
      <c r="J174" s="26">
        <v>96</v>
      </c>
      <c r="K174" s="21" t="s">
        <v>52</v>
      </c>
      <c r="L174" s="27">
        <v>10470.41</v>
      </c>
      <c r="M174" s="21"/>
      <c r="N174" s="21"/>
      <c r="O174" s="21" t="s">
        <v>469</v>
      </c>
      <c r="P174" s="21" t="s">
        <v>54</v>
      </c>
      <c r="Q174" s="28">
        <v>46207</v>
      </c>
      <c r="R174" s="29">
        <v>46206.6324768519</v>
      </c>
      <c r="S174" s="21" t="s">
        <v>470</v>
      </c>
      <c r="T174" s="21"/>
      <c r="U174" s="21" t="s">
        <v>466</v>
      </c>
      <c r="V174" s="29">
        <v>46206.6324305556</v>
      </c>
      <c r="W174">
        <f>VLOOKUP(H174,物料編碼!A:B,2,0)</f>
        <v>1800108091</v>
      </c>
      <c r="X174">
        <v>1800108</v>
      </c>
      <c r="Y174" t="str">
        <f>VLOOKUP(X174,物料編碼!D:G,4,0)</f>
        <v>魚.其他</v>
      </c>
      <c r="Z174" t="str">
        <f>VLOOKUP(C174,客戶屬性1!A:C,2,0)</f>
        <v>利宝冻肉有限公司</v>
      </c>
      <c r="AA174">
        <f>IF(COUNTIF($O$1:O174,O174)=1,L174,0)</f>
        <v>10470.41</v>
      </c>
    </row>
    <row r="175" customHeight="1" spans="1:27">
      <c r="A175" s="21" t="s">
        <v>464</v>
      </c>
      <c r="B175" s="21" t="s">
        <v>45</v>
      </c>
      <c r="C175" s="21" t="s">
        <v>465</v>
      </c>
      <c r="D175" s="21" t="s">
        <v>466</v>
      </c>
      <c r="E175" s="21" t="s">
        <v>467</v>
      </c>
      <c r="F175" s="21" t="s">
        <v>49</v>
      </c>
      <c r="G175" s="21" t="s">
        <v>68</v>
      </c>
      <c r="H175" s="21" t="s">
        <v>471</v>
      </c>
      <c r="I175" s="26">
        <v>8</v>
      </c>
      <c r="J175" s="26">
        <v>96</v>
      </c>
      <c r="K175" s="21" t="s">
        <v>52</v>
      </c>
      <c r="L175" s="27">
        <v>10470.41</v>
      </c>
      <c r="M175" s="21"/>
      <c r="N175" s="21"/>
      <c r="O175" s="21" t="s">
        <v>469</v>
      </c>
      <c r="P175" s="21" t="s">
        <v>54</v>
      </c>
      <c r="Q175" s="28">
        <v>46207</v>
      </c>
      <c r="R175" s="29">
        <v>46206.6324768519</v>
      </c>
      <c r="S175" s="21" t="s">
        <v>470</v>
      </c>
      <c r="T175" s="21"/>
      <c r="U175" s="21" t="s">
        <v>466</v>
      </c>
      <c r="V175" s="29">
        <v>46206.6324305556</v>
      </c>
      <c r="W175">
        <f>VLOOKUP(H175,物料編碼!A:B,2,0)</f>
        <v>1800108092</v>
      </c>
      <c r="X175">
        <v>1800108</v>
      </c>
      <c r="Y175" t="str">
        <f>VLOOKUP(X175,物料編碼!D:G,4,0)</f>
        <v>魚.其他</v>
      </c>
      <c r="Z175" t="str">
        <f>VLOOKUP(C175,客戶屬性1!A:C,2,0)</f>
        <v>利宝冻肉有限公司</v>
      </c>
      <c r="AA175">
        <f>IF(COUNTIF($O$1:O175,O175)=1,L175,0)</f>
        <v>0</v>
      </c>
    </row>
    <row r="176" customHeight="1" spans="1:27">
      <c r="A176" s="21" t="s">
        <v>472</v>
      </c>
      <c r="B176" s="21" t="s">
        <v>45</v>
      </c>
      <c r="C176" s="21" t="s">
        <v>197</v>
      </c>
      <c r="D176" s="21" t="s">
        <v>198</v>
      </c>
      <c r="E176" s="21" t="s">
        <v>199</v>
      </c>
      <c r="F176" s="21" t="s">
        <v>49</v>
      </c>
      <c r="G176" s="21" t="s">
        <v>136</v>
      </c>
      <c r="H176" s="21" t="s">
        <v>200</v>
      </c>
      <c r="I176" s="26">
        <v>15</v>
      </c>
      <c r="J176" s="26">
        <v>150</v>
      </c>
      <c r="K176" s="21" t="s">
        <v>52</v>
      </c>
      <c r="L176" s="27">
        <v>5271</v>
      </c>
      <c r="M176" s="21"/>
      <c r="N176" s="21"/>
      <c r="O176" s="21" t="s">
        <v>473</v>
      </c>
      <c r="P176" s="21" t="s">
        <v>183</v>
      </c>
      <c r="Q176" s="28">
        <v>46209</v>
      </c>
      <c r="R176" s="29">
        <v>46206.6045601852</v>
      </c>
      <c r="S176" s="21" t="s">
        <v>202</v>
      </c>
      <c r="T176" s="21"/>
      <c r="U176" s="21" t="s">
        <v>203</v>
      </c>
      <c r="V176" s="29">
        <v>46206.6044907407</v>
      </c>
      <c r="W176">
        <f>VLOOKUP(H176,物料編碼!A:B,2,0)</f>
        <v>1300904024</v>
      </c>
      <c r="X176">
        <v>1300904</v>
      </c>
      <c r="Y176" t="str">
        <f>VLOOKUP(X176,物料編碼!D:G,4,0)</f>
        <v>煙熏鴨胸</v>
      </c>
      <c r="Z176" t="str">
        <f>VLOOKUP(C176,客戶屬性1!A:C,2,0)</f>
        <v>信隆(亚洲)有限公司</v>
      </c>
      <c r="AA176">
        <f>IF(COUNTIF($O$1:O176,O176)=1,L176,0)</f>
        <v>5271</v>
      </c>
    </row>
    <row r="177" customHeight="1" spans="1:27">
      <c r="A177" s="21" t="s">
        <v>472</v>
      </c>
      <c r="B177" s="21" t="s">
        <v>45</v>
      </c>
      <c r="C177" s="21" t="s">
        <v>197</v>
      </c>
      <c r="D177" s="21" t="s">
        <v>198</v>
      </c>
      <c r="E177" s="21" t="s">
        <v>199</v>
      </c>
      <c r="F177" s="21" t="s">
        <v>49</v>
      </c>
      <c r="G177" s="21" t="s">
        <v>136</v>
      </c>
      <c r="H177" s="21" t="s">
        <v>328</v>
      </c>
      <c r="I177" s="26">
        <v>10</v>
      </c>
      <c r="J177" s="26">
        <v>150</v>
      </c>
      <c r="K177" s="21" t="s">
        <v>52</v>
      </c>
      <c r="L177" s="27">
        <v>5271</v>
      </c>
      <c r="M177" s="21"/>
      <c r="N177" s="21"/>
      <c r="O177" s="21" t="s">
        <v>473</v>
      </c>
      <c r="P177" s="21" t="s">
        <v>183</v>
      </c>
      <c r="Q177" s="28">
        <v>46209</v>
      </c>
      <c r="R177" s="29">
        <v>46206.6045601852</v>
      </c>
      <c r="S177" s="21" t="s">
        <v>202</v>
      </c>
      <c r="T177" s="21"/>
      <c r="U177" s="21" t="s">
        <v>203</v>
      </c>
      <c r="V177" s="29">
        <v>46206.6044907407</v>
      </c>
      <c r="W177">
        <f>VLOOKUP(H177,物料編碼!A:B,2,0)</f>
        <v>1300603038</v>
      </c>
      <c r="X177">
        <v>1300603</v>
      </c>
      <c r="Y177" t="str">
        <f>VLOOKUP(X177,物料編碼!D:G,4,0)</f>
        <v>帶骨全腿</v>
      </c>
      <c r="Z177" t="str">
        <f>VLOOKUP(C177,客戶屬性1!A:C,2,0)</f>
        <v>信隆(亚洲)有限公司</v>
      </c>
      <c r="AA177">
        <f>IF(COUNTIF($O$1:O177,O177)=1,L177,0)</f>
        <v>0</v>
      </c>
    </row>
    <row r="178" customHeight="1" spans="1:27">
      <c r="A178" s="21" t="s">
        <v>474</v>
      </c>
      <c r="B178" s="21" t="s">
        <v>45</v>
      </c>
      <c r="C178" s="21" t="s">
        <v>141</v>
      </c>
      <c r="D178" s="21" t="s">
        <v>142</v>
      </c>
      <c r="E178" s="21" t="s">
        <v>142</v>
      </c>
      <c r="F178" s="21" t="s">
        <v>143</v>
      </c>
      <c r="G178" s="21" t="s">
        <v>100</v>
      </c>
      <c r="H178" s="21" t="s">
        <v>63</v>
      </c>
      <c r="I178" s="26">
        <v>1</v>
      </c>
      <c r="J178" s="26">
        <v>25</v>
      </c>
      <c r="K178" s="21" t="s">
        <v>52</v>
      </c>
      <c r="L178" s="27">
        <v>1868.85</v>
      </c>
      <c r="M178" s="21"/>
      <c r="N178" s="21"/>
      <c r="O178" s="21" t="s">
        <v>475</v>
      </c>
      <c r="P178" s="21" t="s">
        <v>183</v>
      </c>
      <c r="Q178" s="28">
        <v>46209</v>
      </c>
      <c r="R178" s="29">
        <v>46206.5362384259</v>
      </c>
      <c r="S178" s="21" t="s">
        <v>145</v>
      </c>
      <c r="T178" s="21"/>
      <c r="U178" s="21" t="s">
        <v>142</v>
      </c>
      <c r="V178" s="29">
        <v>46206.5361921296</v>
      </c>
      <c r="W178">
        <f>VLOOKUP(H178,物料編碼!A:B,2,0)</f>
        <v>1300109002</v>
      </c>
      <c r="X178">
        <v>1300109</v>
      </c>
      <c r="Y178" t="str">
        <f>VLOOKUP(X178,物料編碼!D:G,4,0)</f>
        <v>面精肉</v>
      </c>
      <c r="Z178" t="str">
        <f>VLOOKUP(C178,客戶屬性1!A:C,2,0)</f>
        <v>新昌冻肉</v>
      </c>
      <c r="AA178">
        <f>IF(COUNTIF($O$1:O178,O178)=1,L178,0)</f>
        <v>1868.85</v>
      </c>
    </row>
    <row r="179" customHeight="1" spans="1:27">
      <c r="A179" s="21" t="s">
        <v>474</v>
      </c>
      <c r="B179" s="21" t="s">
        <v>45</v>
      </c>
      <c r="C179" s="21" t="s">
        <v>141</v>
      </c>
      <c r="D179" s="21" t="s">
        <v>142</v>
      </c>
      <c r="E179" s="21" t="s">
        <v>142</v>
      </c>
      <c r="F179" s="21" t="s">
        <v>143</v>
      </c>
      <c r="G179" s="21" t="s">
        <v>100</v>
      </c>
      <c r="H179" s="21" t="s">
        <v>146</v>
      </c>
      <c r="I179" s="26">
        <v>2</v>
      </c>
      <c r="J179" s="26">
        <v>30</v>
      </c>
      <c r="K179" s="21" t="s">
        <v>52</v>
      </c>
      <c r="L179" s="27">
        <v>1868.85</v>
      </c>
      <c r="M179" s="21"/>
      <c r="N179" s="21"/>
      <c r="O179" s="21" t="s">
        <v>475</v>
      </c>
      <c r="P179" s="21" t="s">
        <v>183</v>
      </c>
      <c r="Q179" s="28">
        <v>46209</v>
      </c>
      <c r="R179" s="29">
        <v>46206.5362384259</v>
      </c>
      <c r="S179" s="21" t="s">
        <v>145</v>
      </c>
      <c r="T179" s="21"/>
      <c r="U179" s="21" t="s">
        <v>142</v>
      </c>
      <c r="V179" s="29">
        <v>46206.5361921296</v>
      </c>
      <c r="W179">
        <f>VLOOKUP(H179,物料編碼!A:B,2,0)</f>
        <v>1300603041</v>
      </c>
      <c r="X179">
        <v>1300603</v>
      </c>
      <c r="Y179" t="str">
        <f>VLOOKUP(X179,物料編碼!D:G,4,0)</f>
        <v>帶骨全腿</v>
      </c>
      <c r="Z179" t="str">
        <f>VLOOKUP(C179,客戶屬性1!A:C,2,0)</f>
        <v>新昌冻肉</v>
      </c>
      <c r="AA179">
        <f>IF(COUNTIF($O$1:O179,O179)=1,L179,0)</f>
        <v>0</v>
      </c>
    </row>
    <row r="180" customHeight="1" spans="1:27">
      <c r="A180" s="21" t="s">
        <v>474</v>
      </c>
      <c r="B180" s="21" t="s">
        <v>45</v>
      </c>
      <c r="C180" s="21" t="s">
        <v>141</v>
      </c>
      <c r="D180" s="21" t="s">
        <v>142</v>
      </c>
      <c r="E180" s="21" t="s">
        <v>142</v>
      </c>
      <c r="F180" s="21" t="s">
        <v>143</v>
      </c>
      <c r="G180" s="21" t="s">
        <v>100</v>
      </c>
      <c r="H180" s="21" t="s">
        <v>117</v>
      </c>
      <c r="I180" s="26">
        <v>3</v>
      </c>
      <c r="J180" s="26">
        <v>45</v>
      </c>
      <c r="K180" s="21" t="s">
        <v>52</v>
      </c>
      <c r="L180" s="27">
        <v>1868.85</v>
      </c>
      <c r="M180" s="21"/>
      <c r="N180" s="21"/>
      <c r="O180" s="21" t="s">
        <v>475</v>
      </c>
      <c r="P180" s="21" t="s">
        <v>183</v>
      </c>
      <c r="Q180" s="28">
        <v>46209</v>
      </c>
      <c r="R180" s="29">
        <v>46206.5362384259</v>
      </c>
      <c r="S180" s="21" t="s">
        <v>145</v>
      </c>
      <c r="T180" s="21"/>
      <c r="U180" s="21" t="s">
        <v>142</v>
      </c>
      <c r="V180" s="29">
        <v>46206.5361921296</v>
      </c>
      <c r="W180">
        <f>VLOOKUP(H180,物料編碼!A:B,2,0)</f>
        <v>1300607015</v>
      </c>
      <c r="X180">
        <v>1300607</v>
      </c>
      <c r="Y180" t="str">
        <f>VLOOKUP(X180,物料編碼!D:G,4,0)</f>
        <v>帶皮腿扒</v>
      </c>
      <c r="Z180" t="str">
        <f>VLOOKUP(C180,客戶屬性1!A:C,2,0)</f>
        <v>新昌冻肉</v>
      </c>
      <c r="AA180">
        <f>IF(COUNTIF($O$1:O180,O180)=1,L180,0)</f>
        <v>0</v>
      </c>
    </row>
    <row r="181" customHeight="1" spans="1:27">
      <c r="A181" s="21" t="s">
        <v>476</v>
      </c>
      <c r="B181" s="21" t="s">
        <v>45</v>
      </c>
      <c r="C181" s="21" t="s">
        <v>65</v>
      </c>
      <c r="D181" s="21" t="s">
        <v>66</v>
      </c>
      <c r="E181" s="21" t="s">
        <v>67</v>
      </c>
      <c r="F181" s="21" t="s">
        <v>49</v>
      </c>
      <c r="G181" s="21" t="s">
        <v>68</v>
      </c>
      <c r="H181" s="21" t="s">
        <v>60</v>
      </c>
      <c r="I181" s="26">
        <v>6</v>
      </c>
      <c r="J181" s="26">
        <v>150</v>
      </c>
      <c r="K181" s="21" t="s">
        <v>52</v>
      </c>
      <c r="L181" s="27">
        <v>5165.25</v>
      </c>
      <c r="M181" s="21"/>
      <c r="N181" s="21"/>
      <c r="O181" s="21" t="s">
        <v>477</v>
      </c>
      <c r="P181" s="21" t="s">
        <v>54</v>
      </c>
      <c r="Q181" s="28">
        <v>46207</v>
      </c>
      <c r="R181" s="29">
        <v>46206.5340393518</v>
      </c>
      <c r="S181" s="21" t="s">
        <v>70</v>
      </c>
      <c r="T181" s="21"/>
      <c r="U181" s="21" t="s">
        <v>67</v>
      </c>
      <c r="V181" s="29">
        <v>46206.5339930556</v>
      </c>
      <c r="W181">
        <f>VLOOKUP(H181,物料編碼!A:B,2,0)</f>
        <v>1300101043</v>
      </c>
      <c r="X181">
        <v>1300101</v>
      </c>
      <c r="Y181" t="str">
        <f>VLOOKUP(X181,物料編碼!D:G,4,0)</f>
        <v>一號肉</v>
      </c>
      <c r="Z181" t="str">
        <f>VLOOKUP(C181,客戶屬性1!A:C,2,0)</f>
        <v>万骏贸易公司</v>
      </c>
      <c r="AA181">
        <f>IF(COUNTIF($O$1:O181,O181)=1,L181,0)</f>
        <v>5165.25</v>
      </c>
    </row>
    <row r="182" customHeight="1" spans="1:27">
      <c r="A182" s="21" t="s">
        <v>478</v>
      </c>
      <c r="B182" s="21" t="s">
        <v>45</v>
      </c>
      <c r="C182" s="21" t="s">
        <v>72</v>
      </c>
      <c r="D182" s="21" t="s">
        <v>73</v>
      </c>
      <c r="E182" s="21" t="s">
        <v>74</v>
      </c>
      <c r="F182" s="21" t="s">
        <v>49</v>
      </c>
      <c r="G182" s="21" t="s">
        <v>50</v>
      </c>
      <c r="H182" s="21" t="s">
        <v>393</v>
      </c>
      <c r="I182" s="26">
        <v>1</v>
      </c>
      <c r="J182" s="26">
        <v>15</v>
      </c>
      <c r="K182" s="21" t="s">
        <v>52</v>
      </c>
      <c r="L182" s="27">
        <v>221.7</v>
      </c>
      <c r="M182" s="21"/>
      <c r="N182" s="21"/>
      <c r="O182" s="21" t="s">
        <v>479</v>
      </c>
      <c r="P182" s="21" t="s">
        <v>54</v>
      </c>
      <c r="Q182" s="28">
        <v>46207</v>
      </c>
      <c r="R182" s="29">
        <v>46206.505462963</v>
      </c>
      <c r="S182" s="21" t="s">
        <v>288</v>
      </c>
      <c r="T182" s="21"/>
      <c r="U182" s="21" t="s">
        <v>82</v>
      </c>
      <c r="V182" s="29">
        <v>46206.5054282407</v>
      </c>
      <c r="W182">
        <f>VLOOKUP(H182,物料編碼!A:B,2,0)</f>
        <v>1300607016</v>
      </c>
      <c r="X182">
        <v>1300607</v>
      </c>
      <c r="Y182" t="str">
        <f>VLOOKUP(X182,物料編碼!D:G,4,0)</f>
        <v>帶皮腿扒</v>
      </c>
      <c r="Z182" t="str">
        <f>VLOOKUP(C182,客戶屬性1!A:C,2,0)</f>
        <v>恒辉贸易公司</v>
      </c>
      <c r="AA182">
        <f>IF(COUNTIF($O$1:O182,O182)=1,L182,0)</f>
        <v>221.7</v>
      </c>
    </row>
    <row r="183" customHeight="1" spans="1:27">
      <c r="A183" s="21" t="s">
        <v>480</v>
      </c>
      <c r="B183" s="21" t="s">
        <v>45</v>
      </c>
      <c r="C183" s="21" t="s">
        <v>141</v>
      </c>
      <c r="D183" s="21" t="s">
        <v>142</v>
      </c>
      <c r="E183" s="21" t="s">
        <v>142</v>
      </c>
      <c r="F183" s="21" t="s">
        <v>143</v>
      </c>
      <c r="G183" s="21" t="s">
        <v>100</v>
      </c>
      <c r="H183" s="21" t="s">
        <v>296</v>
      </c>
      <c r="I183" s="26">
        <v>1</v>
      </c>
      <c r="J183" s="26">
        <v>10</v>
      </c>
      <c r="K183" s="21" t="s">
        <v>52</v>
      </c>
      <c r="L183" s="27">
        <v>1166.94</v>
      </c>
      <c r="M183" s="21"/>
      <c r="N183" s="21"/>
      <c r="O183" s="21" t="s">
        <v>481</v>
      </c>
      <c r="P183" s="21" t="s">
        <v>54</v>
      </c>
      <c r="Q183" s="28">
        <v>46207</v>
      </c>
      <c r="R183" s="29">
        <v>46206.4933449074</v>
      </c>
      <c r="S183" s="21" t="s">
        <v>145</v>
      </c>
      <c r="T183" s="21"/>
      <c r="U183" s="21" t="s">
        <v>142</v>
      </c>
      <c r="V183" s="29">
        <v>46206.493287037</v>
      </c>
      <c r="W183">
        <f>VLOOKUP(H183,物料編碼!A:B,2,0)</f>
        <v>1300902011</v>
      </c>
      <c r="X183">
        <v>1300902</v>
      </c>
      <c r="Y183" t="str">
        <f>VLOOKUP(X183,物料編碼!D:G,4,0)</f>
        <v>帶骨整腿</v>
      </c>
      <c r="Z183" t="str">
        <f>VLOOKUP(C183,客戶屬性1!A:C,2,0)</f>
        <v>新昌冻肉</v>
      </c>
      <c r="AA183">
        <f>IF(COUNTIF($O$1:O183,O183)=1,L183,0)</f>
        <v>1166.94</v>
      </c>
    </row>
    <row r="184" customHeight="1" spans="1:27">
      <c r="A184" s="21" t="s">
        <v>480</v>
      </c>
      <c r="B184" s="21" t="s">
        <v>45</v>
      </c>
      <c r="C184" s="21" t="s">
        <v>141</v>
      </c>
      <c r="D184" s="21" t="s">
        <v>142</v>
      </c>
      <c r="E184" s="21" t="s">
        <v>142</v>
      </c>
      <c r="F184" s="21" t="s">
        <v>143</v>
      </c>
      <c r="G184" s="21" t="s">
        <v>100</v>
      </c>
      <c r="H184" s="21" t="s">
        <v>146</v>
      </c>
      <c r="I184" s="26">
        <v>2</v>
      </c>
      <c r="J184" s="26">
        <v>30</v>
      </c>
      <c r="K184" s="21" t="s">
        <v>52</v>
      </c>
      <c r="L184" s="27">
        <v>1166.94</v>
      </c>
      <c r="M184" s="21"/>
      <c r="N184" s="21"/>
      <c r="O184" s="21" t="s">
        <v>481</v>
      </c>
      <c r="P184" s="21" t="s">
        <v>54</v>
      </c>
      <c r="Q184" s="28">
        <v>46207</v>
      </c>
      <c r="R184" s="29">
        <v>46206.4933449074</v>
      </c>
      <c r="S184" s="21" t="s">
        <v>145</v>
      </c>
      <c r="T184" s="21"/>
      <c r="U184" s="21" t="s">
        <v>142</v>
      </c>
      <c r="V184" s="29">
        <v>46206.493287037</v>
      </c>
      <c r="W184">
        <f>VLOOKUP(H184,物料編碼!A:B,2,0)</f>
        <v>1300603041</v>
      </c>
      <c r="X184">
        <v>1300603</v>
      </c>
      <c r="Y184" t="str">
        <f>VLOOKUP(X184,物料編碼!D:G,4,0)</f>
        <v>帶骨全腿</v>
      </c>
      <c r="Z184" t="str">
        <f>VLOOKUP(C184,客戶屬性1!A:C,2,0)</f>
        <v>新昌冻肉</v>
      </c>
      <c r="AA184">
        <f>IF(COUNTIF($O$1:O184,O184)=1,L184,0)</f>
        <v>0</v>
      </c>
    </row>
    <row r="185" customHeight="1" spans="1:27">
      <c r="A185" s="21" t="s">
        <v>480</v>
      </c>
      <c r="B185" s="21" t="s">
        <v>45</v>
      </c>
      <c r="C185" s="21" t="s">
        <v>141</v>
      </c>
      <c r="D185" s="21" t="s">
        <v>142</v>
      </c>
      <c r="E185" s="21" t="s">
        <v>142</v>
      </c>
      <c r="F185" s="21" t="s">
        <v>143</v>
      </c>
      <c r="G185" s="21" t="s">
        <v>100</v>
      </c>
      <c r="H185" s="21" t="s">
        <v>117</v>
      </c>
      <c r="I185" s="26">
        <v>3</v>
      </c>
      <c r="J185" s="26">
        <v>45</v>
      </c>
      <c r="K185" s="21" t="s">
        <v>52</v>
      </c>
      <c r="L185" s="27">
        <v>1166.94</v>
      </c>
      <c r="M185" s="21"/>
      <c r="N185" s="21"/>
      <c r="O185" s="21" t="s">
        <v>481</v>
      </c>
      <c r="P185" s="21" t="s">
        <v>54</v>
      </c>
      <c r="Q185" s="28">
        <v>46207</v>
      </c>
      <c r="R185" s="29">
        <v>46206.4933449074</v>
      </c>
      <c r="S185" s="21" t="s">
        <v>145</v>
      </c>
      <c r="T185" s="21"/>
      <c r="U185" s="21" t="s">
        <v>142</v>
      </c>
      <c r="V185" s="29">
        <v>46206.493287037</v>
      </c>
      <c r="W185">
        <f>VLOOKUP(H185,物料編碼!A:B,2,0)</f>
        <v>1300607015</v>
      </c>
      <c r="X185">
        <v>1300607</v>
      </c>
      <c r="Y185" t="str">
        <f>VLOOKUP(X185,物料編碼!D:G,4,0)</f>
        <v>帶皮腿扒</v>
      </c>
      <c r="Z185" t="str">
        <f>VLOOKUP(C185,客戶屬性1!A:C,2,0)</f>
        <v>新昌冻肉</v>
      </c>
      <c r="AA185">
        <f>IF(COUNTIF($O$1:O185,O185)=1,L185,0)</f>
        <v>0</v>
      </c>
    </row>
    <row r="186" customHeight="1" spans="1:27">
      <c r="A186" s="21" t="s">
        <v>482</v>
      </c>
      <c r="B186" s="21" t="s">
        <v>45</v>
      </c>
      <c r="C186" s="21" t="s">
        <v>114</v>
      </c>
      <c r="D186" s="21" t="s">
        <v>115</v>
      </c>
      <c r="E186" s="21" t="s">
        <v>116</v>
      </c>
      <c r="F186" s="21" t="s">
        <v>49</v>
      </c>
      <c r="G186" s="21" t="s">
        <v>100</v>
      </c>
      <c r="H186" s="21" t="s">
        <v>168</v>
      </c>
      <c r="I186" s="26">
        <v>1</v>
      </c>
      <c r="J186" s="26">
        <v>10</v>
      </c>
      <c r="K186" s="21" t="s">
        <v>52</v>
      </c>
      <c r="L186" s="27">
        <v>97</v>
      </c>
      <c r="M186" s="21"/>
      <c r="N186" s="21"/>
      <c r="O186" s="21" t="s">
        <v>483</v>
      </c>
      <c r="P186" s="21" t="s">
        <v>54</v>
      </c>
      <c r="Q186" s="28">
        <v>46207</v>
      </c>
      <c r="R186" s="29">
        <v>46206.4883680556</v>
      </c>
      <c r="S186" s="21" t="s">
        <v>119</v>
      </c>
      <c r="T186" s="21"/>
      <c r="U186" s="21" t="s">
        <v>115</v>
      </c>
      <c r="V186" s="29">
        <v>46206.4883217593</v>
      </c>
      <c r="W186">
        <f>VLOOKUP(H186,物料編碼!A:B,2,0)</f>
        <v>1300627002</v>
      </c>
      <c r="X186">
        <v>1300627</v>
      </c>
      <c r="Y186" t="str">
        <f>VLOOKUP(X186,物料編碼!D:G,4,0)</f>
        <v>翅尖</v>
      </c>
      <c r="Z186" t="str">
        <f>VLOOKUP(C186,客戶屬性1!A:C,2,0)</f>
        <v>骏利贸易公司</v>
      </c>
      <c r="AA186">
        <f>IF(COUNTIF($O$1:O186,O186)=1,L186,0)</f>
        <v>97</v>
      </c>
    </row>
    <row r="187" customHeight="1" spans="1:27">
      <c r="A187" s="21" t="s">
        <v>484</v>
      </c>
      <c r="B187" s="21" t="s">
        <v>45</v>
      </c>
      <c r="C187" s="21" t="s">
        <v>158</v>
      </c>
      <c r="D187" s="21" t="s">
        <v>159</v>
      </c>
      <c r="E187" s="21" t="s">
        <v>160</v>
      </c>
      <c r="F187" s="21" t="s">
        <v>49</v>
      </c>
      <c r="G187" s="21" t="s">
        <v>68</v>
      </c>
      <c r="H187" s="21" t="s">
        <v>161</v>
      </c>
      <c r="I187" s="26">
        <v>10</v>
      </c>
      <c r="J187" s="26">
        <v>200</v>
      </c>
      <c r="K187" s="21" t="s">
        <v>52</v>
      </c>
      <c r="L187" s="27">
        <v>18624</v>
      </c>
      <c r="M187" s="21"/>
      <c r="N187" s="21"/>
      <c r="O187" s="21" t="s">
        <v>485</v>
      </c>
      <c r="P187" s="21" t="s">
        <v>54</v>
      </c>
      <c r="Q187" s="28">
        <v>46207</v>
      </c>
      <c r="R187" s="29">
        <v>46206.4389467593</v>
      </c>
      <c r="S187" s="21" t="s">
        <v>163</v>
      </c>
      <c r="T187" s="21"/>
      <c r="U187" s="21" t="s">
        <v>164</v>
      </c>
      <c r="V187" s="29">
        <v>46206.438900463</v>
      </c>
      <c r="W187">
        <f>VLOOKUP(H187,物料編碼!A:B,2,0)</f>
        <v>1300501020</v>
      </c>
      <c r="X187">
        <v>1300501</v>
      </c>
      <c r="Y187" t="str">
        <f>VLOOKUP(X187,物料編碼!D:G,4,0)</f>
        <v>羊排</v>
      </c>
      <c r="Z187" t="str">
        <f>VLOOKUP(C187,客戶屬性1!A:C,2,0)</f>
        <v>先进食品国际有限公司</v>
      </c>
      <c r="AA187">
        <f>IF(COUNTIF($O$1:O187,O187)=1,L187,0)</f>
        <v>18624</v>
      </c>
    </row>
    <row r="188" customHeight="1" spans="1:27">
      <c r="A188" s="21" t="s">
        <v>486</v>
      </c>
      <c r="B188" s="21" t="s">
        <v>45</v>
      </c>
      <c r="C188" s="21" t="s">
        <v>171</v>
      </c>
      <c r="D188" s="21" t="s">
        <v>172</v>
      </c>
      <c r="E188" s="21" t="s">
        <v>173</v>
      </c>
      <c r="F188" s="21" t="s">
        <v>49</v>
      </c>
      <c r="G188" s="21" t="s">
        <v>174</v>
      </c>
      <c r="H188" s="21" t="s">
        <v>283</v>
      </c>
      <c r="I188" s="26">
        <v>11</v>
      </c>
      <c r="J188" s="26">
        <v>275</v>
      </c>
      <c r="K188" s="21" t="s">
        <v>52</v>
      </c>
      <c r="L188" s="27">
        <v>4854.85</v>
      </c>
      <c r="M188" s="21"/>
      <c r="N188" s="21"/>
      <c r="O188" s="21" t="s">
        <v>487</v>
      </c>
      <c r="P188" s="21" t="s">
        <v>54</v>
      </c>
      <c r="Q188" s="28">
        <v>46206</v>
      </c>
      <c r="R188" s="29">
        <v>46206.4103819444</v>
      </c>
      <c r="S188" s="21" t="s">
        <v>177</v>
      </c>
      <c r="T188" s="21"/>
      <c r="U188" s="21" t="s">
        <v>172</v>
      </c>
      <c r="V188" s="29">
        <v>46206.4103472222</v>
      </c>
      <c r="W188">
        <f>VLOOKUP(H188,物料編碼!A:B,2,0)</f>
        <v>1300104005</v>
      </c>
      <c r="X188">
        <v>1300104</v>
      </c>
      <c r="Y188" t="str">
        <f>VLOOKUP(X188,物料編碼!D:G,4,0)</f>
        <v>四號肉</v>
      </c>
      <c r="Z188" t="str">
        <f>VLOOKUP(C188,客戶屬性1!A:C,2,0)</f>
        <v>豪气有限公司</v>
      </c>
      <c r="AA188">
        <f>IF(COUNTIF($O$1:O188,O188)=1,L188,0)</f>
        <v>4854.85</v>
      </c>
    </row>
    <row r="189" customHeight="1" spans="1:27">
      <c r="A189" s="21" t="s">
        <v>488</v>
      </c>
      <c r="B189" s="21" t="s">
        <v>45</v>
      </c>
      <c r="C189" s="21" t="s">
        <v>46</v>
      </c>
      <c r="D189" s="21" t="s">
        <v>47</v>
      </c>
      <c r="E189" s="21" t="s">
        <v>48</v>
      </c>
      <c r="F189" s="21" t="s">
        <v>49</v>
      </c>
      <c r="G189" s="21" t="s">
        <v>50</v>
      </c>
      <c r="H189" s="21" t="s">
        <v>489</v>
      </c>
      <c r="I189" s="26">
        <v>1</v>
      </c>
      <c r="J189" s="26">
        <v>10</v>
      </c>
      <c r="K189" s="21" t="s">
        <v>52</v>
      </c>
      <c r="L189" s="27">
        <v>165</v>
      </c>
      <c r="M189" s="21"/>
      <c r="N189" s="21"/>
      <c r="O189" s="21" t="s">
        <v>490</v>
      </c>
      <c r="P189" s="21" t="s">
        <v>54</v>
      </c>
      <c r="Q189" s="28">
        <v>46206</v>
      </c>
      <c r="R189" s="29">
        <v>46205.7652777778</v>
      </c>
      <c r="S189" s="21" t="s">
        <v>55</v>
      </c>
      <c r="T189" s="21"/>
      <c r="U189" s="21" t="s">
        <v>47</v>
      </c>
      <c r="V189" s="29">
        <v>46205.7652199074</v>
      </c>
      <c r="W189">
        <f>VLOOKUP(H189,物料編碼!A:B,2,0)</f>
        <v>1300903010</v>
      </c>
      <c r="X189">
        <v>1300903</v>
      </c>
      <c r="Y189" t="str">
        <f>VLOOKUP(X189,物料編碼!D:G,4,0)</f>
        <v>生鴨胸</v>
      </c>
      <c r="Z189" t="str">
        <f>VLOOKUP(C189,客戶屬性1!A:C,2,0)</f>
        <v>明记冻肉</v>
      </c>
      <c r="AA189">
        <f>IF(COUNTIF($O$1:O189,O189)=1,L189,0)</f>
        <v>165</v>
      </c>
    </row>
    <row r="190" customHeight="1" spans="1:27">
      <c r="A190" s="21" t="s">
        <v>491</v>
      </c>
      <c r="B190" s="21" t="s">
        <v>45</v>
      </c>
      <c r="C190" s="21" t="s">
        <v>171</v>
      </c>
      <c r="D190" s="21" t="s">
        <v>172</v>
      </c>
      <c r="E190" s="21" t="s">
        <v>173</v>
      </c>
      <c r="F190" s="21" t="s">
        <v>49</v>
      </c>
      <c r="G190" s="21" t="s">
        <v>174</v>
      </c>
      <c r="H190" s="21" t="s">
        <v>121</v>
      </c>
      <c r="I190" s="26">
        <v>1</v>
      </c>
      <c r="J190" s="26">
        <v>20</v>
      </c>
      <c r="K190" s="21" t="s">
        <v>52</v>
      </c>
      <c r="L190" s="27">
        <v>4888.8</v>
      </c>
      <c r="M190" s="21"/>
      <c r="N190" s="21"/>
      <c r="O190" s="21" t="s">
        <v>492</v>
      </c>
      <c r="P190" s="21" t="s">
        <v>54</v>
      </c>
      <c r="Q190" s="28">
        <v>46206</v>
      </c>
      <c r="R190" s="29">
        <v>46205.6239467593</v>
      </c>
      <c r="S190" s="21" t="s">
        <v>177</v>
      </c>
      <c r="T190" s="21"/>
      <c r="U190" s="21" t="s">
        <v>172</v>
      </c>
      <c r="V190" s="29">
        <v>46205.623912037</v>
      </c>
      <c r="W190">
        <f>VLOOKUP(H190,物料編碼!A:B,2,0)</f>
        <v>1300114011</v>
      </c>
      <c r="X190">
        <v>1300114</v>
      </c>
      <c r="Y190" t="str">
        <f>VLOOKUP(X190,物料編碼!D:G,4,0)</f>
        <v>熟食</v>
      </c>
      <c r="Z190" t="str">
        <f>VLOOKUP(C190,客戶屬性1!A:C,2,0)</f>
        <v>豪气有限公司</v>
      </c>
      <c r="AA190">
        <f>IF(COUNTIF($O$1:O190,O190)=1,L190,0)</f>
        <v>4888.8</v>
      </c>
    </row>
    <row r="191" customHeight="1" spans="1:27">
      <c r="A191" s="21" t="s">
        <v>491</v>
      </c>
      <c r="B191" s="21" t="s">
        <v>45</v>
      </c>
      <c r="C191" s="21" t="s">
        <v>171</v>
      </c>
      <c r="D191" s="21" t="s">
        <v>172</v>
      </c>
      <c r="E191" s="21" t="s">
        <v>173</v>
      </c>
      <c r="F191" s="21" t="s">
        <v>49</v>
      </c>
      <c r="G191" s="21" t="s">
        <v>174</v>
      </c>
      <c r="H191" s="21" t="s">
        <v>283</v>
      </c>
      <c r="I191" s="26">
        <v>10</v>
      </c>
      <c r="J191" s="26">
        <v>250</v>
      </c>
      <c r="K191" s="21" t="s">
        <v>52</v>
      </c>
      <c r="L191" s="27">
        <v>4888.8</v>
      </c>
      <c r="M191" s="21"/>
      <c r="N191" s="21"/>
      <c r="O191" s="21" t="s">
        <v>492</v>
      </c>
      <c r="P191" s="21" t="s">
        <v>54</v>
      </c>
      <c r="Q191" s="28">
        <v>46206</v>
      </c>
      <c r="R191" s="29">
        <v>46205.6239467593</v>
      </c>
      <c r="S191" s="21" t="s">
        <v>177</v>
      </c>
      <c r="T191" s="21"/>
      <c r="U191" s="21" t="s">
        <v>172</v>
      </c>
      <c r="V191" s="29">
        <v>46205.623912037</v>
      </c>
      <c r="W191">
        <f>VLOOKUP(H191,物料編碼!A:B,2,0)</f>
        <v>1300104005</v>
      </c>
      <c r="X191">
        <v>1300104</v>
      </c>
      <c r="Y191" t="str">
        <f>VLOOKUP(X191,物料編碼!D:G,4,0)</f>
        <v>四號肉</v>
      </c>
      <c r="Z191" t="str">
        <f>VLOOKUP(C191,客戶屬性1!A:C,2,0)</f>
        <v>豪气有限公司</v>
      </c>
      <c r="AA191">
        <f>IF(COUNTIF($O$1:O191,O191)=1,L191,0)</f>
        <v>0</v>
      </c>
    </row>
    <row r="192" customHeight="1" spans="1:27">
      <c r="A192" s="21" t="s">
        <v>493</v>
      </c>
      <c r="B192" s="21" t="s">
        <v>45</v>
      </c>
      <c r="C192" s="21" t="s">
        <v>72</v>
      </c>
      <c r="D192" s="21" t="s">
        <v>73</v>
      </c>
      <c r="E192" s="21" t="s">
        <v>74</v>
      </c>
      <c r="F192" s="21" t="s">
        <v>49</v>
      </c>
      <c r="G192" s="21" t="s">
        <v>50</v>
      </c>
      <c r="H192" s="21" t="s">
        <v>190</v>
      </c>
      <c r="I192" s="26">
        <v>8</v>
      </c>
      <c r="J192" s="26">
        <v>96</v>
      </c>
      <c r="K192" s="21" t="s">
        <v>52</v>
      </c>
      <c r="L192" s="27">
        <v>1516.8</v>
      </c>
      <c r="M192" s="21"/>
      <c r="N192" s="21"/>
      <c r="O192" s="21" t="s">
        <v>494</v>
      </c>
      <c r="P192" s="21" t="s">
        <v>54</v>
      </c>
      <c r="Q192" s="28">
        <v>46206</v>
      </c>
      <c r="R192" s="29">
        <v>46205.6170949074</v>
      </c>
      <c r="S192" s="21" t="s">
        <v>81</v>
      </c>
      <c r="T192" s="21"/>
      <c r="U192" s="21" t="s">
        <v>82</v>
      </c>
      <c r="V192" s="29">
        <v>46205.6170486111</v>
      </c>
      <c r="W192">
        <f>VLOOKUP(H192,物料編碼!A:B,2,0)</f>
        <v>1300609001</v>
      </c>
      <c r="X192">
        <v>1300609</v>
      </c>
      <c r="Y192" t="str">
        <f>VLOOKUP(X192,物料編碼!D:G,4,0)</f>
        <v>去皮上腿肉</v>
      </c>
      <c r="Z192" t="str">
        <f>VLOOKUP(C192,客戶屬性1!A:C,2,0)</f>
        <v>恒辉贸易公司</v>
      </c>
      <c r="AA192">
        <f>IF(COUNTIF($O$1:O192,O192)=1,L192,0)</f>
        <v>1516.8</v>
      </c>
    </row>
    <row r="193" customHeight="1" spans="1:27">
      <c r="A193" s="21" t="s">
        <v>495</v>
      </c>
      <c r="B193" s="21" t="s">
        <v>45</v>
      </c>
      <c r="C193" s="21" t="s">
        <v>72</v>
      </c>
      <c r="D193" s="21" t="s">
        <v>73</v>
      </c>
      <c r="E193" s="21" t="s">
        <v>74</v>
      </c>
      <c r="F193" s="21" t="s">
        <v>49</v>
      </c>
      <c r="G193" s="21" t="s">
        <v>50</v>
      </c>
      <c r="H193" s="21" t="s">
        <v>75</v>
      </c>
      <c r="I193" s="26">
        <v>1</v>
      </c>
      <c r="J193" s="26">
        <v>15</v>
      </c>
      <c r="K193" s="21" t="s">
        <v>52</v>
      </c>
      <c r="L193" s="27">
        <v>188.55</v>
      </c>
      <c r="M193" s="21"/>
      <c r="N193" s="21"/>
      <c r="O193" s="21" t="s">
        <v>496</v>
      </c>
      <c r="P193" s="21" t="s">
        <v>54</v>
      </c>
      <c r="Q193" s="28">
        <v>46206</v>
      </c>
      <c r="R193" s="29">
        <v>46205.6154513889</v>
      </c>
      <c r="S193" s="21" t="s">
        <v>81</v>
      </c>
      <c r="T193" s="21"/>
      <c r="U193" s="21" t="s">
        <v>82</v>
      </c>
      <c r="V193" s="29">
        <v>46205.6154050926</v>
      </c>
      <c r="W193">
        <f>VLOOKUP(H193,物料編碼!A:B,2,0)</f>
        <v>1300603040</v>
      </c>
      <c r="X193">
        <v>1300603</v>
      </c>
      <c r="Y193" t="str">
        <f>VLOOKUP(X193,物料編碼!D:G,4,0)</f>
        <v>帶骨全腿</v>
      </c>
      <c r="Z193" t="str">
        <f>VLOOKUP(C193,客戶屬性1!A:C,2,0)</f>
        <v>恒辉贸易公司</v>
      </c>
      <c r="AA193">
        <f>IF(COUNTIF($O$1:O193,O193)=1,L193,0)</f>
        <v>188.55</v>
      </c>
    </row>
    <row r="194" customHeight="1" spans="1:27">
      <c r="A194" s="21" t="s">
        <v>497</v>
      </c>
      <c r="B194" s="21" t="s">
        <v>45</v>
      </c>
      <c r="C194" s="21" t="s">
        <v>72</v>
      </c>
      <c r="D194" s="21" t="s">
        <v>73</v>
      </c>
      <c r="E194" s="21" t="s">
        <v>74</v>
      </c>
      <c r="F194" s="21" t="s">
        <v>49</v>
      </c>
      <c r="G194" s="21" t="s">
        <v>50</v>
      </c>
      <c r="H194" s="21" t="s">
        <v>78</v>
      </c>
      <c r="I194" s="26">
        <v>1</v>
      </c>
      <c r="J194" s="26">
        <v>15</v>
      </c>
      <c r="K194" s="21" t="s">
        <v>52</v>
      </c>
      <c r="L194" s="27">
        <v>221.7</v>
      </c>
      <c r="M194" s="21"/>
      <c r="N194" s="21"/>
      <c r="O194" s="21" t="s">
        <v>498</v>
      </c>
      <c r="P194" s="21" t="s">
        <v>54</v>
      </c>
      <c r="Q194" s="28">
        <v>46206</v>
      </c>
      <c r="R194" s="29">
        <v>46205.6142824074</v>
      </c>
      <c r="S194" s="21" t="s">
        <v>81</v>
      </c>
      <c r="T194" s="21"/>
      <c r="U194" s="21" t="s">
        <v>82</v>
      </c>
      <c r="V194" s="29">
        <v>46205.6142361111</v>
      </c>
      <c r="W194">
        <f>VLOOKUP(H194,物料編碼!A:B,2,0)</f>
        <v>1300607014</v>
      </c>
      <c r="X194">
        <v>1300607</v>
      </c>
      <c r="Y194" t="str">
        <f>VLOOKUP(X194,物料編碼!D:G,4,0)</f>
        <v>帶皮腿扒</v>
      </c>
      <c r="Z194" t="str">
        <f>VLOOKUP(C194,客戶屬性1!A:C,2,0)</f>
        <v>恒辉贸易公司</v>
      </c>
      <c r="AA194">
        <f>IF(COUNTIF($O$1:O194,O194)=1,L194,0)</f>
        <v>221.7</v>
      </c>
    </row>
    <row r="195" customHeight="1" spans="1:27">
      <c r="A195" s="21" t="s">
        <v>499</v>
      </c>
      <c r="B195" s="21" t="s">
        <v>45</v>
      </c>
      <c r="C195" s="21" t="s">
        <v>72</v>
      </c>
      <c r="D195" s="21" t="s">
        <v>73</v>
      </c>
      <c r="E195" s="21" t="s">
        <v>74</v>
      </c>
      <c r="F195" s="21" t="s">
        <v>49</v>
      </c>
      <c r="G195" s="21" t="s">
        <v>50</v>
      </c>
      <c r="H195" s="21" t="s">
        <v>298</v>
      </c>
      <c r="I195" s="26">
        <v>1</v>
      </c>
      <c r="J195" s="26">
        <v>10</v>
      </c>
      <c r="K195" s="21" t="s">
        <v>52</v>
      </c>
      <c r="L195" s="27">
        <v>480</v>
      </c>
      <c r="M195" s="21"/>
      <c r="N195" s="21"/>
      <c r="O195" s="21" t="s">
        <v>500</v>
      </c>
      <c r="P195" s="21" t="s">
        <v>54</v>
      </c>
      <c r="Q195" s="28">
        <v>46206</v>
      </c>
      <c r="R195" s="29">
        <v>46205.5860416667</v>
      </c>
      <c r="S195" s="21" t="s">
        <v>377</v>
      </c>
      <c r="T195" s="21"/>
      <c r="U195" s="21" t="s">
        <v>82</v>
      </c>
      <c r="V195" s="29">
        <v>46205.5859953704</v>
      </c>
      <c r="W195">
        <f>VLOOKUP(H195,物料編碼!A:B,2,0)</f>
        <v>1300111003</v>
      </c>
      <c r="X195">
        <v>1300111</v>
      </c>
      <c r="Y195" t="str">
        <f>VLOOKUP(X195,物料編碼!D:G,4,0)</f>
        <v>寸骨</v>
      </c>
      <c r="Z195" t="str">
        <f>VLOOKUP(C195,客戶屬性1!A:C,2,0)</f>
        <v>恒辉贸易公司</v>
      </c>
      <c r="AA195">
        <f>IF(COUNTIF($O$1:O195,O195)=1,L195,0)</f>
        <v>480</v>
      </c>
    </row>
    <row r="196" customHeight="1" spans="1:27">
      <c r="A196" s="21" t="s">
        <v>501</v>
      </c>
      <c r="B196" s="21" t="s">
        <v>45</v>
      </c>
      <c r="C196" s="21" t="s">
        <v>114</v>
      </c>
      <c r="D196" s="21" t="s">
        <v>115</v>
      </c>
      <c r="E196" s="21" t="s">
        <v>116</v>
      </c>
      <c r="F196" s="21" t="s">
        <v>49</v>
      </c>
      <c r="G196" s="21" t="s">
        <v>100</v>
      </c>
      <c r="H196" s="21" t="s">
        <v>298</v>
      </c>
      <c r="I196" s="26">
        <v>2</v>
      </c>
      <c r="J196" s="26">
        <v>20</v>
      </c>
      <c r="K196" s="21" t="s">
        <v>52</v>
      </c>
      <c r="L196" s="27">
        <v>950.4</v>
      </c>
      <c r="M196" s="21"/>
      <c r="N196" s="21"/>
      <c r="O196" s="21" t="s">
        <v>502</v>
      </c>
      <c r="P196" s="21" t="s">
        <v>54</v>
      </c>
      <c r="Q196" s="28">
        <v>46206</v>
      </c>
      <c r="R196" s="29">
        <v>46205.5054282407</v>
      </c>
      <c r="S196" s="21" t="s">
        <v>119</v>
      </c>
      <c r="T196" s="21"/>
      <c r="U196" s="21" t="s">
        <v>115</v>
      </c>
      <c r="V196" s="29">
        <v>46205.5053935185</v>
      </c>
      <c r="W196">
        <f>VLOOKUP(H196,物料編碼!A:B,2,0)</f>
        <v>1300111003</v>
      </c>
      <c r="X196">
        <v>1300111</v>
      </c>
      <c r="Y196" t="str">
        <f>VLOOKUP(X196,物料編碼!D:G,4,0)</f>
        <v>寸骨</v>
      </c>
      <c r="Z196" t="str">
        <f>VLOOKUP(C196,客戶屬性1!A:C,2,0)</f>
        <v>骏利贸易公司</v>
      </c>
      <c r="AA196">
        <f>IF(COUNTIF($O$1:O196,O196)=1,L196,0)</f>
        <v>950.4</v>
      </c>
    </row>
    <row r="197" customHeight="1" spans="1:27">
      <c r="A197" s="21" t="s">
        <v>503</v>
      </c>
      <c r="B197" s="21" t="s">
        <v>45</v>
      </c>
      <c r="C197" s="21" t="s">
        <v>141</v>
      </c>
      <c r="D197" s="21" t="s">
        <v>142</v>
      </c>
      <c r="E197" s="21" t="s">
        <v>142</v>
      </c>
      <c r="F197" s="21" t="s">
        <v>143</v>
      </c>
      <c r="G197" s="21" t="s">
        <v>100</v>
      </c>
      <c r="H197" s="21" t="s">
        <v>149</v>
      </c>
      <c r="I197" s="26">
        <v>1</v>
      </c>
      <c r="J197" s="26">
        <v>12.8</v>
      </c>
      <c r="K197" s="21" t="s">
        <v>52</v>
      </c>
      <c r="L197" s="27">
        <v>1176.52</v>
      </c>
      <c r="M197" s="21"/>
      <c r="N197" s="21"/>
      <c r="O197" s="21" t="s">
        <v>504</v>
      </c>
      <c r="P197" s="21" t="s">
        <v>54</v>
      </c>
      <c r="Q197" s="28">
        <v>46206</v>
      </c>
      <c r="R197" s="29">
        <v>46205.4904861111</v>
      </c>
      <c r="S197" s="21" t="s">
        <v>145</v>
      </c>
      <c r="T197" s="21"/>
      <c r="U197" s="21" t="s">
        <v>142</v>
      </c>
      <c r="V197" s="29">
        <v>46205.4904282407</v>
      </c>
      <c r="W197">
        <f>VLOOKUP(H197,物料編碼!A:B,2,0)</f>
        <v>1300901004</v>
      </c>
      <c r="X197">
        <v>1300901</v>
      </c>
      <c r="Y197" t="str">
        <f>VLOOKUP(X197,物料編碼!D:G,4,0)</f>
        <v>整鴨</v>
      </c>
      <c r="Z197" t="str">
        <f>VLOOKUP(C197,客戶屬性1!A:C,2,0)</f>
        <v>新昌冻肉</v>
      </c>
      <c r="AA197">
        <f>IF(COUNTIF($O$1:O197,O197)=1,L197,0)</f>
        <v>1176.52</v>
      </c>
    </row>
    <row r="198" customHeight="1" spans="1:27">
      <c r="A198" s="21" t="s">
        <v>503</v>
      </c>
      <c r="B198" s="21" t="s">
        <v>45</v>
      </c>
      <c r="C198" s="21" t="s">
        <v>141</v>
      </c>
      <c r="D198" s="21" t="s">
        <v>142</v>
      </c>
      <c r="E198" s="21" t="s">
        <v>142</v>
      </c>
      <c r="F198" s="21" t="s">
        <v>143</v>
      </c>
      <c r="G198" s="21" t="s">
        <v>100</v>
      </c>
      <c r="H198" s="21" t="s">
        <v>146</v>
      </c>
      <c r="I198" s="26">
        <v>2</v>
      </c>
      <c r="J198" s="26">
        <v>30</v>
      </c>
      <c r="K198" s="21" t="s">
        <v>52</v>
      </c>
      <c r="L198" s="27">
        <v>1176.52</v>
      </c>
      <c r="M198" s="21"/>
      <c r="N198" s="21"/>
      <c r="O198" s="21" t="s">
        <v>504</v>
      </c>
      <c r="P198" s="21" t="s">
        <v>54</v>
      </c>
      <c r="Q198" s="28">
        <v>46206</v>
      </c>
      <c r="R198" s="29">
        <v>46205.4904861111</v>
      </c>
      <c r="S198" s="21" t="s">
        <v>145</v>
      </c>
      <c r="T198" s="21"/>
      <c r="U198" s="21" t="s">
        <v>142</v>
      </c>
      <c r="V198" s="29">
        <v>46205.4904282407</v>
      </c>
      <c r="W198">
        <f>VLOOKUP(H198,物料編碼!A:B,2,0)</f>
        <v>1300603041</v>
      </c>
      <c r="X198">
        <v>1300603</v>
      </c>
      <c r="Y198" t="str">
        <f>VLOOKUP(X198,物料編碼!D:G,4,0)</f>
        <v>帶骨全腿</v>
      </c>
      <c r="Z198" t="str">
        <f>VLOOKUP(C198,客戶屬性1!A:C,2,0)</f>
        <v>新昌冻肉</v>
      </c>
      <c r="AA198">
        <f>IF(COUNTIF($O$1:O198,O198)=1,L198,0)</f>
        <v>0</v>
      </c>
    </row>
    <row r="199" customHeight="1" spans="1:27">
      <c r="A199" s="21" t="s">
        <v>503</v>
      </c>
      <c r="B199" s="21" t="s">
        <v>45</v>
      </c>
      <c r="C199" s="21" t="s">
        <v>141</v>
      </c>
      <c r="D199" s="21" t="s">
        <v>142</v>
      </c>
      <c r="E199" s="21" t="s">
        <v>142</v>
      </c>
      <c r="F199" s="21" t="s">
        <v>143</v>
      </c>
      <c r="G199" s="21" t="s">
        <v>100</v>
      </c>
      <c r="H199" s="21" t="s">
        <v>117</v>
      </c>
      <c r="I199" s="26">
        <v>3</v>
      </c>
      <c r="J199" s="26">
        <v>45</v>
      </c>
      <c r="K199" s="21" t="s">
        <v>52</v>
      </c>
      <c r="L199" s="27">
        <v>1176.52</v>
      </c>
      <c r="M199" s="21"/>
      <c r="N199" s="21"/>
      <c r="O199" s="21" t="s">
        <v>504</v>
      </c>
      <c r="P199" s="21" t="s">
        <v>54</v>
      </c>
      <c r="Q199" s="28">
        <v>46206</v>
      </c>
      <c r="R199" s="29">
        <v>46205.4904861111</v>
      </c>
      <c r="S199" s="21" t="s">
        <v>145</v>
      </c>
      <c r="T199" s="21"/>
      <c r="U199" s="21" t="s">
        <v>142</v>
      </c>
      <c r="V199" s="29">
        <v>46205.4904282407</v>
      </c>
      <c r="W199">
        <f>VLOOKUP(H199,物料編碼!A:B,2,0)</f>
        <v>1300607015</v>
      </c>
      <c r="X199">
        <v>1300607</v>
      </c>
      <c r="Y199" t="str">
        <f>VLOOKUP(X199,物料編碼!D:G,4,0)</f>
        <v>帶皮腿扒</v>
      </c>
      <c r="Z199" t="str">
        <f>VLOOKUP(C199,客戶屬性1!A:C,2,0)</f>
        <v>新昌冻肉</v>
      </c>
      <c r="AA199">
        <f>IF(COUNTIF($O$1:O199,O199)=1,L199,0)</f>
        <v>0</v>
      </c>
    </row>
    <row r="200" customHeight="1" spans="1:27">
      <c r="A200" s="21" t="s">
        <v>505</v>
      </c>
      <c r="B200" s="21" t="s">
        <v>45</v>
      </c>
      <c r="C200" s="21" t="s">
        <v>290</v>
      </c>
      <c r="D200" s="21" t="s">
        <v>291</v>
      </c>
      <c r="E200" s="21" t="s">
        <v>292</v>
      </c>
      <c r="F200" s="21" t="s">
        <v>49</v>
      </c>
      <c r="G200" s="21" t="s">
        <v>50</v>
      </c>
      <c r="H200" s="21" t="s">
        <v>121</v>
      </c>
      <c r="I200" s="26">
        <v>2</v>
      </c>
      <c r="J200" s="26">
        <v>40</v>
      </c>
      <c r="K200" s="21" t="s">
        <v>52</v>
      </c>
      <c r="L200" s="27">
        <v>970.2</v>
      </c>
      <c r="M200" s="21"/>
      <c r="N200" s="21"/>
      <c r="O200" s="21" t="s">
        <v>506</v>
      </c>
      <c r="P200" s="21" t="s">
        <v>54</v>
      </c>
      <c r="Q200" s="28">
        <v>46206</v>
      </c>
      <c r="R200" s="29">
        <v>46205.4763773148</v>
      </c>
      <c r="S200" s="21" t="s">
        <v>294</v>
      </c>
      <c r="T200" s="21"/>
      <c r="U200" s="21" t="s">
        <v>292</v>
      </c>
      <c r="V200" s="29">
        <v>46205.4763310185</v>
      </c>
      <c r="W200">
        <f>VLOOKUP(H200,物料編碼!A:B,2,0)</f>
        <v>1300114011</v>
      </c>
      <c r="X200">
        <v>1300114</v>
      </c>
      <c r="Y200" t="str">
        <f>VLOOKUP(X200,物料編碼!D:G,4,0)</f>
        <v>熟食</v>
      </c>
      <c r="Z200" t="str">
        <f>VLOOKUP(C200,客戶屬性1!A:C,2,0)</f>
        <v>溢利食品(香港)有限公司</v>
      </c>
      <c r="AA200">
        <f>IF(COUNTIF($O$1:O200,O200)=1,L200,0)</f>
        <v>970.2</v>
      </c>
    </row>
    <row r="201" customHeight="1" spans="1:27">
      <c r="A201" s="21" t="s">
        <v>507</v>
      </c>
      <c r="B201" s="21" t="s">
        <v>45</v>
      </c>
      <c r="C201" s="21" t="s">
        <v>141</v>
      </c>
      <c r="D201" s="21" t="s">
        <v>142</v>
      </c>
      <c r="E201" s="21" t="s">
        <v>142</v>
      </c>
      <c r="F201" s="21" t="s">
        <v>143</v>
      </c>
      <c r="G201" s="21" t="s">
        <v>100</v>
      </c>
      <c r="H201" s="21" t="s">
        <v>149</v>
      </c>
      <c r="I201" s="26">
        <v>1</v>
      </c>
      <c r="J201" s="26">
        <v>12.8</v>
      </c>
      <c r="K201" s="21" t="s">
        <v>52</v>
      </c>
      <c r="L201" s="27">
        <v>1553.62</v>
      </c>
      <c r="M201" s="21"/>
      <c r="N201" s="21"/>
      <c r="O201" s="21" t="s">
        <v>508</v>
      </c>
      <c r="P201" s="21" t="s">
        <v>183</v>
      </c>
      <c r="Q201" s="28">
        <v>46206</v>
      </c>
      <c r="R201" s="29">
        <v>46205.4672800926</v>
      </c>
      <c r="S201" s="21" t="s">
        <v>145</v>
      </c>
      <c r="T201" s="21"/>
      <c r="U201" s="21" t="s">
        <v>142</v>
      </c>
      <c r="V201" s="29">
        <v>46205.4672337963</v>
      </c>
      <c r="W201">
        <f>VLOOKUP(H201,物料編碼!A:B,2,0)</f>
        <v>1300901004</v>
      </c>
      <c r="X201">
        <v>1300901</v>
      </c>
      <c r="Y201" t="str">
        <f>VLOOKUP(X201,物料編碼!D:G,4,0)</f>
        <v>整鴨</v>
      </c>
      <c r="Z201" t="str">
        <f>VLOOKUP(C201,客戶屬性1!A:C,2,0)</f>
        <v>新昌冻肉</v>
      </c>
      <c r="AA201">
        <f>IF(COUNTIF($O$1:O201,O201)=1,L201,0)</f>
        <v>1553.62</v>
      </c>
    </row>
    <row r="202" customHeight="1" spans="1:27">
      <c r="A202" s="21" t="s">
        <v>507</v>
      </c>
      <c r="B202" s="21" t="s">
        <v>45</v>
      </c>
      <c r="C202" s="21" t="s">
        <v>141</v>
      </c>
      <c r="D202" s="21" t="s">
        <v>142</v>
      </c>
      <c r="E202" s="21" t="s">
        <v>142</v>
      </c>
      <c r="F202" s="21" t="s">
        <v>143</v>
      </c>
      <c r="G202" s="21" t="s">
        <v>100</v>
      </c>
      <c r="H202" s="21" t="s">
        <v>146</v>
      </c>
      <c r="I202" s="26">
        <v>4</v>
      </c>
      <c r="J202" s="26">
        <v>60</v>
      </c>
      <c r="K202" s="21" t="s">
        <v>52</v>
      </c>
      <c r="L202" s="27">
        <v>1553.62</v>
      </c>
      <c r="M202" s="21"/>
      <c r="N202" s="21"/>
      <c r="O202" s="21" t="s">
        <v>508</v>
      </c>
      <c r="P202" s="21" t="s">
        <v>183</v>
      </c>
      <c r="Q202" s="28">
        <v>46206</v>
      </c>
      <c r="R202" s="29">
        <v>46205.4672800926</v>
      </c>
      <c r="S202" s="21" t="s">
        <v>145</v>
      </c>
      <c r="T202" s="21"/>
      <c r="U202" s="21" t="s">
        <v>142</v>
      </c>
      <c r="V202" s="29">
        <v>46205.4672337963</v>
      </c>
      <c r="W202">
        <f>VLOOKUP(H202,物料編碼!A:B,2,0)</f>
        <v>1300603041</v>
      </c>
      <c r="X202">
        <v>1300603</v>
      </c>
      <c r="Y202" t="str">
        <f>VLOOKUP(X202,物料編碼!D:G,4,0)</f>
        <v>帶骨全腿</v>
      </c>
      <c r="Z202" t="str">
        <f>VLOOKUP(C202,客戶屬性1!A:C,2,0)</f>
        <v>新昌冻肉</v>
      </c>
      <c r="AA202">
        <f>IF(COUNTIF($O$1:O202,O202)=1,L202,0)</f>
        <v>0</v>
      </c>
    </row>
    <row r="203" customHeight="1" spans="1:27">
      <c r="A203" s="21" t="s">
        <v>507</v>
      </c>
      <c r="B203" s="21" t="s">
        <v>45</v>
      </c>
      <c r="C203" s="21" t="s">
        <v>141</v>
      </c>
      <c r="D203" s="21" t="s">
        <v>142</v>
      </c>
      <c r="E203" s="21" t="s">
        <v>142</v>
      </c>
      <c r="F203" s="21" t="s">
        <v>143</v>
      </c>
      <c r="G203" s="21" t="s">
        <v>100</v>
      </c>
      <c r="H203" s="21" t="s">
        <v>117</v>
      </c>
      <c r="I203" s="26">
        <v>3</v>
      </c>
      <c r="J203" s="26">
        <v>45</v>
      </c>
      <c r="K203" s="21" t="s">
        <v>52</v>
      </c>
      <c r="L203" s="27">
        <v>1553.62</v>
      </c>
      <c r="M203" s="21"/>
      <c r="N203" s="21"/>
      <c r="O203" s="21" t="s">
        <v>508</v>
      </c>
      <c r="P203" s="21" t="s">
        <v>183</v>
      </c>
      <c r="Q203" s="28">
        <v>46206</v>
      </c>
      <c r="R203" s="29">
        <v>46205.4672800926</v>
      </c>
      <c r="S203" s="21" t="s">
        <v>145</v>
      </c>
      <c r="T203" s="21"/>
      <c r="U203" s="21" t="s">
        <v>142</v>
      </c>
      <c r="V203" s="29">
        <v>46205.4672337963</v>
      </c>
      <c r="W203">
        <f>VLOOKUP(H203,物料編碼!A:B,2,0)</f>
        <v>1300607015</v>
      </c>
      <c r="X203">
        <v>1300607</v>
      </c>
      <c r="Y203" t="str">
        <f>VLOOKUP(X203,物料編碼!D:G,4,0)</f>
        <v>帶皮腿扒</v>
      </c>
      <c r="Z203" t="str">
        <f>VLOOKUP(C203,客戶屬性1!A:C,2,0)</f>
        <v>新昌冻肉</v>
      </c>
      <c r="AA203">
        <f>IF(COUNTIF($O$1:O203,O203)=1,L203,0)</f>
        <v>0</v>
      </c>
    </row>
    <row r="204" customHeight="1" spans="1:27">
      <c r="A204" s="21" t="s">
        <v>509</v>
      </c>
      <c r="B204" s="21" t="s">
        <v>45</v>
      </c>
      <c r="C204" s="21" t="s">
        <v>114</v>
      </c>
      <c r="D204" s="21" t="s">
        <v>115</v>
      </c>
      <c r="E204" s="21" t="s">
        <v>116</v>
      </c>
      <c r="F204" s="21" t="s">
        <v>49</v>
      </c>
      <c r="G204" s="21" t="s">
        <v>100</v>
      </c>
      <c r="H204" s="21" t="s">
        <v>179</v>
      </c>
      <c r="I204" s="26">
        <v>1</v>
      </c>
      <c r="J204" s="26">
        <v>25</v>
      </c>
      <c r="K204" s="21" t="s">
        <v>52</v>
      </c>
      <c r="L204" s="27">
        <v>804.37</v>
      </c>
      <c r="M204" s="21"/>
      <c r="N204" s="21"/>
      <c r="O204" s="21" t="s">
        <v>510</v>
      </c>
      <c r="P204" s="21" t="s">
        <v>54</v>
      </c>
      <c r="Q204" s="28">
        <v>46205</v>
      </c>
      <c r="R204" s="29">
        <v>46205.4427662037</v>
      </c>
      <c r="S204" s="21" t="s">
        <v>119</v>
      </c>
      <c r="T204" s="21"/>
      <c r="U204" s="21" t="s">
        <v>115</v>
      </c>
      <c r="V204" s="29">
        <v>46205.4427199074</v>
      </c>
      <c r="W204">
        <f>VLOOKUP(H204,物料編碼!A:B,2,0)</f>
        <v>1300109012</v>
      </c>
      <c r="X204">
        <v>1300109</v>
      </c>
      <c r="Y204" t="str">
        <f>VLOOKUP(X204,物料編碼!D:G,4,0)</f>
        <v>面精肉</v>
      </c>
      <c r="Z204" t="str">
        <f>VLOOKUP(C204,客戶屬性1!A:C,2,0)</f>
        <v>骏利贸易公司</v>
      </c>
      <c r="AA204">
        <f>IF(COUNTIF($O$1:O204,O204)=1,L204,0)</f>
        <v>804.37</v>
      </c>
    </row>
    <row r="205" customHeight="1" spans="1:27">
      <c r="A205" s="21" t="s">
        <v>511</v>
      </c>
      <c r="B205" s="21" t="s">
        <v>45</v>
      </c>
      <c r="C205" s="21" t="s">
        <v>158</v>
      </c>
      <c r="D205" s="21" t="s">
        <v>159</v>
      </c>
      <c r="E205" s="21" t="s">
        <v>160</v>
      </c>
      <c r="F205" s="21" t="s">
        <v>49</v>
      </c>
      <c r="G205" s="21" t="s">
        <v>68</v>
      </c>
      <c r="H205" s="21" t="s">
        <v>179</v>
      </c>
      <c r="I205" s="26">
        <v>2</v>
      </c>
      <c r="J205" s="26">
        <v>50</v>
      </c>
      <c r="K205" s="21" t="s">
        <v>52</v>
      </c>
      <c r="L205" s="27">
        <v>1608.75</v>
      </c>
      <c r="M205" s="21"/>
      <c r="N205" s="21"/>
      <c r="O205" s="21" t="s">
        <v>512</v>
      </c>
      <c r="P205" s="21" t="s">
        <v>54</v>
      </c>
      <c r="Q205" s="28">
        <v>46206</v>
      </c>
      <c r="R205" s="29">
        <v>46205.4413541667</v>
      </c>
      <c r="S205" s="21" t="s">
        <v>163</v>
      </c>
      <c r="T205" s="21"/>
      <c r="U205" s="21" t="s">
        <v>164</v>
      </c>
      <c r="V205" s="29">
        <v>46205.4413078704</v>
      </c>
      <c r="W205">
        <f>VLOOKUP(H205,物料編碼!A:B,2,0)</f>
        <v>1300109012</v>
      </c>
      <c r="X205">
        <v>1300109</v>
      </c>
      <c r="Y205" t="str">
        <f>VLOOKUP(X205,物料編碼!D:G,4,0)</f>
        <v>面精肉</v>
      </c>
      <c r="Z205" t="str">
        <f>VLOOKUP(C205,客戶屬性1!A:C,2,0)</f>
        <v>先进食品国际有限公司</v>
      </c>
      <c r="AA205">
        <f>IF(COUNTIF($O$1:O205,O205)=1,L205,0)</f>
        <v>1608.75</v>
      </c>
    </row>
    <row r="206" customHeight="1" spans="1:27">
      <c r="A206" s="21" t="s">
        <v>513</v>
      </c>
      <c r="B206" s="21" t="s">
        <v>45</v>
      </c>
      <c r="C206" s="21" t="s">
        <v>72</v>
      </c>
      <c r="D206" s="21" t="s">
        <v>73</v>
      </c>
      <c r="E206" s="21" t="s">
        <v>74</v>
      </c>
      <c r="F206" s="21" t="s">
        <v>49</v>
      </c>
      <c r="G206" s="21" t="s">
        <v>50</v>
      </c>
      <c r="H206" s="21" t="s">
        <v>393</v>
      </c>
      <c r="I206" s="26">
        <v>1</v>
      </c>
      <c r="J206" s="26">
        <v>15</v>
      </c>
      <c r="K206" s="21" t="s">
        <v>52</v>
      </c>
      <c r="L206" s="27">
        <v>221.7</v>
      </c>
      <c r="M206" s="21"/>
      <c r="N206" s="21"/>
      <c r="O206" s="21" t="s">
        <v>514</v>
      </c>
      <c r="P206" s="21" t="s">
        <v>54</v>
      </c>
      <c r="Q206" s="28">
        <v>46205</v>
      </c>
      <c r="R206" s="29">
        <v>46205.4223611111</v>
      </c>
      <c r="S206" s="21" t="s">
        <v>377</v>
      </c>
      <c r="T206" s="21"/>
      <c r="U206" s="21" t="s">
        <v>82</v>
      </c>
      <c r="V206" s="29">
        <v>46205.4223148148</v>
      </c>
      <c r="W206">
        <f>VLOOKUP(H206,物料編碼!A:B,2,0)</f>
        <v>1300607016</v>
      </c>
      <c r="X206">
        <v>1300607</v>
      </c>
      <c r="Y206" t="str">
        <f>VLOOKUP(X206,物料編碼!D:G,4,0)</f>
        <v>帶皮腿扒</v>
      </c>
      <c r="Z206" t="str">
        <f>VLOOKUP(C206,客戶屬性1!A:C,2,0)</f>
        <v>恒辉贸易公司</v>
      </c>
      <c r="AA206">
        <f>IF(COUNTIF($O$1:O206,O206)=1,L206,0)</f>
        <v>221.7</v>
      </c>
    </row>
    <row r="207" customHeight="1" spans="1:27">
      <c r="A207" s="21" t="s">
        <v>515</v>
      </c>
      <c r="B207" s="21" t="s">
        <v>45</v>
      </c>
      <c r="C207" s="21" t="s">
        <v>72</v>
      </c>
      <c r="D207" s="21" t="s">
        <v>73</v>
      </c>
      <c r="E207" s="21" t="s">
        <v>74</v>
      </c>
      <c r="F207" s="21" t="s">
        <v>49</v>
      </c>
      <c r="G207" s="21" t="s">
        <v>50</v>
      </c>
      <c r="H207" s="21" t="s">
        <v>328</v>
      </c>
      <c r="I207" s="26">
        <v>2</v>
      </c>
      <c r="J207" s="26">
        <v>30</v>
      </c>
      <c r="K207" s="21" t="s">
        <v>52</v>
      </c>
      <c r="L207" s="27">
        <v>443.1</v>
      </c>
      <c r="M207" s="21"/>
      <c r="N207" s="21"/>
      <c r="O207" s="21" t="s">
        <v>516</v>
      </c>
      <c r="P207" s="21" t="s">
        <v>54</v>
      </c>
      <c r="Q207" s="28">
        <v>46205</v>
      </c>
      <c r="R207" s="29">
        <v>46205.38375</v>
      </c>
      <c r="S207" s="21" t="s">
        <v>288</v>
      </c>
      <c r="T207" s="21"/>
      <c r="U207" s="21" t="s">
        <v>82</v>
      </c>
      <c r="V207" s="29">
        <v>46205.3836805556</v>
      </c>
      <c r="W207">
        <f>VLOOKUP(H207,物料編碼!A:B,2,0)</f>
        <v>1300603038</v>
      </c>
      <c r="X207">
        <v>1300603</v>
      </c>
      <c r="Y207" t="str">
        <f>VLOOKUP(X207,物料編碼!D:G,4,0)</f>
        <v>帶骨全腿</v>
      </c>
      <c r="Z207" t="str">
        <f>VLOOKUP(C207,客戶屬性1!A:C,2,0)</f>
        <v>恒辉贸易公司</v>
      </c>
      <c r="AA207">
        <f>IF(COUNTIF($O$1:O207,O207)=1,L207,0)</f>
        <v>443.1</v>
      </c>
    </row>
    <row r="208" customHeight="1" spans="1:27">
      <c r="A208" s="21" t="s">
        <v>517</v>
      </c>
      <c r="B208" s="21" t="s">
        <v>45</v>
      </c>
      <c r="C208" s="21" t="s">
        <v>187</v>
      </c>
      <c r="D208" s="21" t="s">
        <v>188</v>
      </c>
      <c r="E208" s="21" t="s">
        <v>189</v>
      </c>
      <c r="F208" s="21" t="s">
        <v>49</v>
      </c>
      <c r="G208" s="21" t="s">
        <v>68</v>
      </c>
      <c r="H208" s="21" t="s">
        <v>205</v>
      </c>
      <c r="I208" s="26">
        <v>4</v>
      </c>
      <c r="J208" s="26">
        <v>44.8</v>
      </c>
      <c r="K208" s="21" t="s">
        <v>52</v>
      </c>
      <c r="L208" s="27">
        <v>474.88</v>
      </c>
      <c r="M208" s="21"/>
      <c r="N208" s="21"/>
      <c r="O208" s="21" t="s">
        <v>518</v>
      </c>
      <c r="P208" s="21" t="s">
        <v>54</v>
      </c>
      <c r="Q208" s="28">
        <v>46205</v>
      </c>
      <c r="R208" s="29">
        <v>46204.3897106481</v>
      </c>
      <c r="S208" s="21" t="s">
        <v>192</v>
      </c>
      <c r="T208" s="21"/>
      <c r="U208" s="21" t="s">
        <v>193</v>
      </c>
      <c r="V208" s="29">
        <v>46204.3896412037</v>
      </c>
      <c r="W208">
        <f>VLOOKUP(H208,物料編碼!A:B,2,0)</f>
        <v>1300901002</v>
      </c>
      <c r="X208">
        <v>1300901</v>
      </c>
      <c r="Y208" t="str">
        <f>VLOOKUP(X208,物料編碼!D:G,4,0)</f>
        <v>整鴨</v>
      </c>
      <c r="Z208" t="str">
        <f>VLOOKUP(C208,客戶屬性1!A:C,2,0)</f>
        <v>佳城兴业有限公司/火炭</v>
      </c>
      <c r="AA208">
        <f>IF(COUNTIF($O$1:O208,O208)=1,L208,0)</f>
        <v>474.88</v>
      </c>
    </row>
    <row r="209" customHeight="1" spans="1:27">
      <c r="A209" s="21" t="s">
        <v>519</v>
      </c>
      <c r="B209" s="21" t="s">
        <v>45</v>
      </c>
      <c r="C209" s="21" t="s">
        <v>171</v>
      </c>
      <c r="D209" s="21" t="s">
        <v>172</v>
      </c>
      <c r="E209" s="21" t="s">
        <v>173</v>
      </c>
      <c r="F209" s="21" t="s">
        <v>49</v>
      </c>
      <c r="G209" s="21" t="s">
        <v>174</v>
      </c>
      <c r="H209" s="21" t="s">
        <v>267</v>
      </c>
      <c r="I209" s="26">
        <v>3</v>
      </c>
      <c r="J209" s="26">
        <v>60</v>
      </c>
      <c r="K209" s="21" t="s">
        <v>52</v>
      </c>
      <c r="L209" s="27">
        <v>3528</v>
      </c>
      <c r="M209" s="21"/>
      <c r="N209" s="21"/>
      <c r="O209" s="21" t="s">
        <v>520</v>
      </c>
      <c r="P209" s="21" t="s">
        <v>54</v>
      </c>
      <c r="Q209" s="28">
        <v>46205</v>
      </c>
      <c r="R209" s="29">
        <v>46203.7127546296</v>
      </c>
      <c r="S209" s="21" t="s">
        <v>177</v>
      </c>
      <c r="T209" s="21"/>
      <c r="U209" s="21" t="s">
        <v>172</v>
      </c>
      <c r="V209" s="29">
        <v>46203.7127083333</v>
      </c>
      <c r="W209">
        <f>VLOOKUP(H209,物料編碼!A:B,2,0)</f>
        <v>1300511002</v>
      </c>
      <c r="X209">
        <v>1300511</v>
      </c>
      <c r="Y209" t="str">
        <f>VLOOKUP(X209,物料編碼!D:G,4,0)</f>
        <v>羊卷肉</v>
      </c>
      <c r="Z209" t="str">
        <f>VLOOKUP(C209,客戶屬性1!A:C,2,0)</f>
        <v>豪气有限公司</v>
      </c>
      <c r="AA209">
        <f>IF(COUNTIF($O$1:O209,O209)=1,L209,0)</f>
        <v>3528</v>
      </c>
    </row>
    <row r="210" customHeight="1" spans="1:27">
      <c r="A210" s="21" t="s">
        <v>521</v>
      </c>
      <c r="B210" s="21" t="s">
        <v>45</v>
      </c>
      <c r="C210" s="21" t="e">
        <v>#N/A</v>
      </c>
      <c r="D210" s="21" t="s">
        <v>522</v>
      </c>
      <c r="E210" s="21" t="e">
        <v>#N/A</v>
      </c>
      <c r="F210" s="21" t="s">
        <v>523</v>
      </c>
      <c r="G210" s="21" t="s">
        <v>524</v>
      </c>
      <c r="H210" s="21" t="s">
        <v>525</v>
      </c>
      <c r="I210" s="30">
        <v>75</v>
      </c>
      <c r="J210" s="26">
        <v>5</v>
      </c>
      <c r="K210" s="21" t="s">
        <v>526</v>
      </c>
      <c r="L210" s="27">
        <v>500</v>
      </c>
      <c r="M210" s="21"/>
      <c r="N210" s="21"/>
      <c r="O210" s="21"/>
      <c r="P210" s="21" t="s">
        <v>369</v>
      </c>
      <c r="Q210" s="28">
        <v>46548</v>
      </c>
      <c r="R210" s="29">
        <v>46203.6902199074</v>
      </c>
      <c r="S210" s="21" t="s">
        <v>527</v>
      </c>
      <c r="T210" s="21"/>
      <c r="U210" s="21" t="s">
        <v>522</v>
      </c>
      <c r="V210" s="29">
        <v>46203.690162037</v>
      </c>
      <c r="W210" t="e">
        <f>VLOOKUP(H210,物料編碼!A:B,2,0)</f>
        <v>#N/A</v>
      </c>
      <c r="X210" t="e">
        <v>#N/A</v>
      </c>
      <c r="Y210" t="e">
        <f>VLOOKUP(X210,物料編碼!D:G,4,0)</f>
        <v>#N/A</v>
      </c>
      <c r="Z210" t="e">
        <f>VLOOKUP(C210,客戶屬性1!A:C,2,0)</f>
        <v>#N/A</v>
      </c>
      <c r="AA210">
        <f>IF(COUNTIF($O$1:O210,O210)=1,L210,0)</f>
        <v>0</v>
      </c>
    </row>
    <row r="211" customHeight="1" spans="1:27">
      <c r="A211" s="21" t="s">
        <v>528</v>
      </c>
      <c r="B211" s="21" t="s">
        <v>45</v>
      </c>
      <c r="C211" s="21" t="s">
        <v>72</v>
      </c>
      <c r="D211" s="21" t="s">
        <v>73</v>
      </c>
      <c r="E211" s="21" t="s">
        <v>74</v>
      </c>
      <c r="F211" s="21" t="s">
        <v>49</v>
      </c>
      <c r="G211" s="21" t="s">
        <v>50</v>
      </c>
      <c r="H211" s="21" t="s">
        <v>117</v>
      </c>
      <c r="I211" s="26">
        <v>5</v>
      </c>
      <c r="J211" s="26">
        <v>75</v>
      </c>
      <c r="K211" s="21" t="s">
        <v>52</v>
      </c>
      <c r="L211" s="27">
        <v>1108.5</v>
      </c>
      <c r="M211" s="21"/>
      <c r="N211" s="21"/>
      <c r="O211" s="21" t="s">
        <v>529</v>
      </c>
      <c r="P211" s="21" t="s">
        <v>54</v>
      </c>
      <c r="Q211" s="28">
        <v>46205</v>
      </c>
      <c r="R211" s="29">
        <v>46203.6279861111</v>
      </c>
      <c r="S211" s="21" t="s">
        <v>377</v>
      </c>
      <c r="T211" s="21"/>
      <c r="U211" s="21" t="s">
        <v>82</v>
      </c>
      <c r="V211" s="29">
        <v>46203.6279398148</v>
      </c>
      <c r="W211">
        <f>VLOOKUP(H211,物料編碼!A:B,2,0)</f>
        <v>1300607015</v>
      </c>
      <c r="X211">
        <v>1300607</v>
      </c>
      <c r="Y211" t="str">
        <f>VLOOKUP(X211,物料編碼!D:G,4,0)</f>
        <v>帶皮腿扒</v>
      </c>
      <c r="Z211" t="str">
        <f>VLOOKUP(C211,客戶屬性1!A:C,2,0)</f>
        <v>恒辉贸易公司</v>
      </c>
      <c r="AA211">
        <f>IF(COUNTIF($O$1:O211,O211)=1,L211,0)</f>
        <v>1108.5</v>
      </c>
    </row>
    <row r="212" customHeight="1" spans="1:27">
      <c r="A212" s="21" t="s">
        <v>530</v>
      </c>
      <c r="B212" s="21" t="s">
        <v>45</v>
      </c>
      <c r="C212" s="21" t="s">
        <v>72</v>
      </c>
      <c r="D212" s="21" t="s">
        <v>73</v>
      </c>
      <c r="E212" s="21" t="s">
        <v>74</v>
      </c>
      <c r="F212" s="21" t="s">
        <v>49</v>
      </c>
      <c r="G212" s="21" t="s">
        <v>50</v>
      </c>
      <c r="H212" s="21" t="s">
        <v>190</v>
      </c>
      <c r="I212" s="26">
        <v>2</v>
      </c>
      <c r="J212" s="26">
        <v>24</v>
      </c>
      <c r="K212" s="21" t="s">
        <v>52</v>
      </c>
      <c r="L212" s="27">
        <v>511.2</v>
      </c>
      <c r="M212" s="21"/>
      <c r="N212" s="21"/>
      <c r="O212" s="21" t="s">
        <v>531</v>
      </c>
      <c r="P212" s="21" t="s">
        <v>54</v>
      </c>
      <c r="Q212" s="28">
        <v>46205</v>
      </c>
      <c r="R212" s="29">
        <v>46203.6108912037</v>
      </c>
      <c r="S212" s="21" t="s">
        <v>288</v>
      </c>
      <c r="T212" s="21"/>
      <c r="U212" s="21" t="s">
        <v>82</v>
      </c>
      <c r="V212" s="29">
        <v>46203.6108333333</v>
      </c>
      <c r="W212">
        <f>VLOOKUP(H212,物料編碼!A:B,2,0)</f>
        <v>1300609001</v>
      </c>
      <c r="X212">
        <v>1300609</v>
      </c>
      <c r="Y212" t="str">
        <f>VLOOKUP(X212,物料編碼!D:G,4,0)</f>
        <v>去皮上腿肉</v>
      </c>
      <c r="Z212" t="str">
        <f>VLOOKUP(C212,客戶屬性1!A:C,2,0)</f>
        <v>恒辉贸易公司</v>
      </c>
      <c r="AA212">
        <f>IF(COUNTIF($O$1:O212,O212)=1,L212,0)</f>
        <v>511.2</v>
      </c>
    </row>
    <row r="213" customHeight="1" spans="1:27">
      <c r="A213" s="21" t="s">
        <v>530</v>
      </c>
      <c r="B213" s="21" t="s">
        <v>45</v>
      </c>
      <c r="C213" s="21" t="s">
        <v>72</v>
      </c>
      <c r="D213" s="21" t="s">
        <v>73</v>
      </c>
      <c r="E213" s="21" t="s">
        <v>74</v>
      </c>
      <c r="F213" s="21" t="s">
        <v>49</v>
      </c>
      <c r="G213" s="21" t="s">
        <v>50</v>
      </c>
      <c r="H213" s="21" t="s">
        <v>532</v>
      </c>
      <c r="I213" s="26">
        <v>1</v>
      </c>
      <c r="J213" s="26">
        <v>10</v>
      </c>
      <c r="K213" s="21" t="s">
        <v>52</v>
      </c>
      <c r="L213" s="27">
        <v>511.2</v>
      </c>
      <c r="M213" s="21"/>
      <c r="N213" s="21"/>
      <c r="O213" s="21" t="s">
        <v>531</v>
      </c>
      <c r="P213" s="21" t="s">
        <v>54</v>
      </c>
      <c r="Q213" s="28">
        <v>46205</v>
      </c>
      <c r="R213" s="29">
        <v>46203.6108912037</v>
      </c>
      <c r="S213" s="21" t="s">
        <v>288</v>
      </c>
      <c r="T213" s="21"/>
      <c r="U213" s="21" t="s">
        <v>82</v>
      </c>
      <c r="V213" s="29">
        <v>46203.6108333333</v>
      </c>
      <c r="W213">
        <f>VLOOKUP(H213,物料編碼!A:B,2,0)</f>
        <v>1300903006</v>
      </c>
      <c r="X213">
        <v>1300903</v>
      </c>
      <c r="Y213" t="str">
        <f>VLOOKUP(X213,物料編碼!D:G,4,0)</f>
        <v>生鴨胸</v>
      </c>
      <c r="Z213" t="str">
        <f>VLOOKUP(C213,客戶屬性1!A:C,2,0)</f>
        <v>恒辉贸易公司</v>
      </c>
      <c r="AA213">
        <f>IF(COUNTIF($O$1:O213,O213)=1,L213,0)</f>
        <v>0</v>
      </c>
    </row>
    <row r="214" customHeight="1" spans="1:27">
      <c r="A214" s="21" t="s">
        <v>533</v>
      </c>
      <c r="B214" s="21" t="s">
        <v>45</v>
      </c>
      <c r="C214" s="21" t="s">
        <v>141</v>
      </c>
      <c r="D214" s="21" t="s">
        <v>142</v>
      </c>
      <c r="E214" s="21" t="s">
        <v>142</v>
      </c>
      <c r="F214" s="21" t="s">
        <v>143</v>
      </c>
      <c r="G214" s="21" t="s">
        <v>100</v>
      </c>
      <c r="H214" s="21" t="s">
        <v>168</v>
      </c>
      <c r="I214" s="26">
        <v>2</v>
      </c>
      <c r="J214" s="26">
        <v>20</v>
      </c>
      <c r="K214" s="21" t="s">
        <v>52</v>
      </c>
      <c r="L214" s="27">
        <v>194</v>
      </c>
      <c r="M214" s="21"/>
      <c r="N214" s="21"/>
      <c r="O214" s="21" t="s">
        <v>534</v>
      </c>
      <c r="P214" s="21" t="s">
        <v>54</v>
      </c>
      <c r="Q214" s="28">
        <v>46205</v>
      </c>
      <c r="R214" s="29">
        <v>46203.5138657407</v>
      </c>
      <c r="S214" s="21" t="s">
        <v>145</v>
      </c>
      <c r="T214" s="21"/>
      <c r="U214" s="21" t="s">
        <v>142</v>
      </c>
      <c r="V214" s="29">
        <v>46203.5138310185</v>
      </c>
      <c r="W214">
        <f>VLOOKUP(H214,物料編碼!A:B,2,0)</f>
        <v>1300627002</v>
      </c>
      <c r="X214">
        <v>1300627</v>
      </c>
      <c r="Y214" t="str">
        <f>VLOOKUP(X214,物料編碼!D:G,4,0)</f>
        <v>翅尖</v>
      </c>
      <c r="Z214" t="str">
        <f>VLOOKUP(C214,客戶屬性1!A:C,2,0)</f>
        <v>新昌冻肉</v>
      </c>
      <c r="AA214">
        <f>IF(COUNTIF($O$1:O214,O214)=1,L214,0)</f>
        <v>194</v>
      </c>
    </row>
    <row r="215" customHeight="1" spans="1:27">
      <c r="A215" s="21" t="s">
        <v>535</v>
      </c>
      <c r="B215" s="21" t="s">
        <v>45</v>
      </c>
      <c r="C215" s="21" t="s">
        <v>114</v>
      </c>
      <c r="D215" s="21" t="s">
        <v>115</v>
      </c>
      <c r="E215" s="21" t="s">
        <v>116</v>
      </c>
      <c r="F215" s="21" t="s">
        <v>49</v>
      </c>
      <c r="G215" s="21" t="s">
        <v>100</v>
      </c>
      <c r="H215" s="21" t="s">
        <v>168</v>
      </c>
      <c r="I215" s="26">
        <v>1</v>
      </c>
      <c r="J215" s="26">
        <v>10</v>
      </c>
      <c r="K215" s="21" t="s">
        <v>52</v>
      </c>
      <c r="L215" s="27">
        <v>97</v>
      </c>
      <c r="M215" s="21"/>
      <c r="N215" s="21"/>
      <c r="O215" s="21" t="s">
        <v>536</v>
      </c>
      <c r="P215" s="21" t="s">
        <v>54</v>
      </c>
      <c r="Q215" s="28">
        <v>46205</v>
      </c>
      <c r="R215" s="29">
        <v>46203.5122569444</v>
      </c>
      <c r="S215" s="21" t="s">
        <v>119</v>
      </c>
      <c r="T215" s="21"/>
      <c r="U215" s="21" t="s">
        <v>115</v>
      </c>
      <c r="V215" s="29">
        <v>46203.5122106482</v>
      </c>
      <c r="W215">
        <f>VLOOKUP(H215,物料編碼!A:B,2,0)</f>
        <v>1300627002</v>
      </c>
      <c r="X215">
        <v>1300627</v>
      </c>
      <c r="Y215" t="str">
        <f>VLOOKUP(X215,物料編碼!D:G,4,0)</f>
        <v>翅尖</v>
      </c>
      <c r="Z215" t="str">
        <f>VLOOKUP(C215,客戶屬性1!A:C,2,0)</f>
        <v>骏利贸易公司</v>
      </c>
      <c r="AA215">
        <f>IF(COUNTIF($O$1:O215,O215)=1,L215,0)</f>
        <v>97</v>
      </c>
    </row>
    <row r="216" customHeight="1" spans="1:27">
      <c r="A216" s="21" t="s">
        <v>537</v>
      </c>
      <c r="B216" s="21" t="s">
        <v>45</v>
      </c>
      <c r="C216" s="21" t="s">
        <v>538</v>
      </c>
      <c r="D216" s="21" t="s">
        <v>539</v>
      </c>
      <c r="E216" s="21" t="s">
        <v>540</v>
      </c>
      <c r="F216" s="21" t="s">
        <v>49</v>
      </c>
      <c r="G216" s="21" t="s">
        <v>541</v>
      </c>
      <c r="H216" s="21" t="s">
        <v>63</v>
      </c>
      <c r="I216" s="26">
        <v>4</v>
      </c>
      <c r="J216" s="26">
        <v>100</v>
      </c>
      <c r="K216" s="21" t="s">
        <v>52</v>
      </c>
      <c r="L216" s="27">
        <v>3273.2</v>
      </c>
      <c r="M216" s="21"/>
      <c r="N216" s="21"/>
      <c r="O216" s="21" t="s">
        <v>542</v>
      </c>
      <c r="P216" s="21" t="s">
        <v>54</v>
      </c>
      <c r="Q216" s="28">
        <v>46203</v>
      </c>
      <c r="R216" s="29">
        <v>46203.4915972222</v>
      </c>
      <c r="S216" s="21" t="s">
        <v>543</v>
      </c>
      <c r="T216" s="21"/>
      <c r="U216" s="21" t="s">
        <v>539</v>
      </c>
      <c r="V216" s="29">
        <v>46203.4915509259</v>
      </c>
      <c r="W216">
        <f>VLOOKUP(H216,物料編碼!A:B,2,0)</f>
        <v>1300109002</v>
      </c>
      <c r="X216">
        <v>1300109</v>
      </c>
      <c r="Y216" t="str">
        <f>VLOOKUP(X216,物料編碼!D:G,4,0)</f>
        <v>面精肉</v>
      </c>
      <c r="Z216" t="str">
        <f>VLOOKUP(C216,客戶屬性1!A:C,2,0)</f>
        <v>诚信冻肉有限公司</v>
      </c>
      <c r="AA216">
        <f>IF(COUNTIF($O$1:O216,O216)=1,L216,0)</f>
        <v>3273.2</v>
      </c>
    </row>
    <row r="217" customHeight="1" spans="1:27">
      <c r="A217" s="21" t="s">
        <v>544</v>
      </c>
      <c r="B217" s="21" t="s">
        <v>45</v>
      </c>
      <c r="C217" s="21" t="s">
        <v>187</v>
      </c>
      <c r="D217" s="21" t="s">
        <v>188</v>
      </c>
      <c r="E217" s="21" t="s">
        <v>189</v>
      </c>
      <c r="F217" s="21" t="s">
        <v>49</v>
      </c>
      <c r="G217" s="21" t="s">
        <v>68</v>
      </c>
      <c r="H217" s="21" t="s">
        <v>248</v>
      </c>
      <c r="I217" s="26">
        <v>10</v>
      </c>
      <c r="J217" s="26">
        <v>250</v>
      </c>
      <c r="K217" s="21" t="s">
        <v>52</v>
      </c>
      <c r="L217" s="27">
        <v>7134.35</v>
      </c>
      <c r="M217" s="21"/>
      <c r="N217" s="21"/>
      <c r="O217" s="21" t="s">
        <v>545</v>
      </c>
      <c r="P217" s="21" t="s">
        <v>54</v>
      </c>
      <c r="Q217" s="28">
        <v>46205</v>
      </c>
      <c r="R217" s="29">
        <v>46203.4755092593</v>
      </c>
      <c r="S217" s="21" t="s">
        <v>192</v>
      </c>
      <c r="T217" s="21"/>
      <c r="U217" s="21" t="s">
        <v>193</v>
      </c>
      <c r="V217" s="29">
        <v>46203.475462963</v>
      </c>
      <c r="W217">
        <f>VLOOKUP(H217,物料編碼!A:B,2,0)</f>
        <v>1300101007</v>
      </c>
      <c r="X217">
        <v>1300101</v>
      </c>
      <c r="Y217" t="str">
        <f>VLOOKUP(X217,物料編碼!D:G,4,0)</f>
        <v>一號肉</v>
      </c>
      <c r="Z217" t="str">
        <f>VLOOKUP(C217,客戶屬性1!A:C,2,0)</f>
        <v>佳城兴业有限公司/火炭</v>
      </c>
      <c r="AA217">
        <f>IF(COUNTIF($O$1:O217,O217)=1,L217,0)</f>
        <v>7134.35</v>
      </c>
    </row>
    <row r="218" customHeight="1" spans="1:27">
      <c r="A218" s="21" t="s">
        <v>544</v>
      </c>
      <c r="B218" s="21" t="s">
        <v>45</v>
      </c>
      <c r="C218" s="21" t="s">
        <v>187</v>
      </c>
      <c r="D218" s="21" t="s">
        <v>188</v>
      </c>
      <c r="E218" s="21" t="s">
        <v>189</v>
      </c>
      <c r="F218" s="21" t="s">
        <v>49</v>
      </c>
      <c r="G218" s="21" t="s">
        <v>68</v>
      </c>
      <c r="H218" s="21" t="s">
        <v>274</v>
      </c>
      <c r="I218" s="26">
        <v>10</v>
      </c>
      <c r="J218" s="26">
        <v>100</v>
      </c>
      <c r="K218" s="21" t="s">
        <v>52</v>
      </c>
      <c r="L218" s="27">
        <v>7134.35</v>
      </c>
      <c r="M218" s="21"/>
      <c r="N218" s="21"/>
      <c r="O218" s="21" t="s">
        <v>545</v>
      </c>
      <c r="P218" s="21" t="s">
        <v>54</v>
      </c>
      <c r="Q218" s="28">
        <v>46205</v>
      </c>
      <c r="R218" s="29">
        <v>46203.4755092593</v>
      </c>
      <c r="S218" s="21" t="s">
        <v>192</v>
      </c>
      <c r="T218" s="21"/>
      <c r="U218" s="21" t="s">
        <v>193</v>
      </c>
      <c r="V218" s="29">
        <v>46203.475462963</v>
      </c>
      <c r="W218">
        <f>VLOOKUP(H218,物料編碼!A:B,2,0)</f>
        <v>1300626003</v>
      </c>
      <c r="X218">
        <v>1300626</v>
      </c>
      <c r="Y218" t="str">
        <f>VLOOKUP(X218,物料編碼!D:G,4,0)</f>
        <v>翅根</v>
      </c>
      <c r="Z218" t="str">
        <f>VLOOKUP(C218,客戶屬性1!A:C,2,0)</f>
        <v>佳城兴业有限公司/火炭</v>
      </c>
      <c r="AA218">
        <f>IF(COUNTIF($O$1:O218,O218)=1,L218,0)</f>
        <v>0</v>
      </c>
    </row>
    <row r="219" customHeight="1" spans="1:27">
      <c r="A219" s="21" t="s">
        <v>546</v>
      </c>
      <c r="B219" s="21" t="s">
        <v>45</v>
      </c>
      <c r="C219" s="21" t="s">
        <v>216</v>
      </c>
      <c r="D219" s="21" t="s">
        <v>217</v>
      </c>
      <c r="E219" s="21" t="s">
        <v>218</v>
      </c>
      <c r="F219" s="21" t="s">
        <v>49</v>
      </c>
      <c r="G219" s="21" t="s">
        <v>68</v>
      </c>
      <c r="H219" s="21" t="s">
        <v>239</v>
      </c>
      <c r="I219" s="26">
        <v>2</v>
      </c>
      <c r="J219" s="26">
        <v>20</v>
      </c>
      <c r="K219" s="21" t="s">
        <v>52</v>
      </c>
      <c r="L219" s="27">
        <v>3508.4</v>
      </c>
      <c r="M219" s="21"/>
      <c r="N219" s="21"/>
      <c r="O219" s="21" t="s">
        <v>547</v>
      </c>
      <c r="P219" s="21" t="s">
        <v>54</v>
      </c>
      <c r="Q219" s="28">
        <v>46203</v>
      </c>
      <c r="R219" s="29">
        <v>46203.4643634259</v>
      </c>
      <c r="S219" s="21" t="s">
        <v>221</v>
      </c>
      <c r="T219" s="21"/>
      <c r="U219" s="21" t="s">
        <v>222</v>
      </c>
      <c r="V219" s="29">
        <v>46203.4643171296</v>
      </c>
      <c r="W219">
        <f>VLOOKUP(H219,物料編碼!A:B,2,0)</f>
        <v>1300904023</v>
      </c>
      <c r="X219">
        <v>1300904</v>
      </c>
      <c r="Y219" t="str">
        <f>VLOOKUP(X219,物料編碼!D:G,4,0)</f>
        <v>煙熏鴨胸</v>
      </c>
      <c r="Z219" t="str">
        <f>VLOOKUP(C219,客戶屬性1!A:C,2,0)</f>
        <v>天恒食品有限公司</v>
      </c>
      <c r="AA219">
        <f>IF(COUNTIF($O$1:O219,O219)=1,L219,0)</f>
        <v>3508.4</v>
      </c>
    </row>
    <row r="220" customHeight="1" spans="1:27">
      <c r="A220" s="21" t="s">
        <v>546</v>
      </c>
      <c r="B220" s="21" t="s">
        <v>45</v>
      </c>
      <c r="C220" s="21" t="s">
        <v>216</v>
      </c>
      <c r="D220" s="21" t="s">
        <v>217</v>
      </c>
      <c r="E220" s="21" t="s">
        <v>218</v>
      </c>
      <c r="F220" s="21" t="s">
        <v>49</v>
      </c>
      <c r="G220" s="21" t="s">
        <v>68</v>
      </c>
      <c r="H220" s="21" t="s">
        <v>373</v>
      </c>
      <c r="I220" s="26">
        <v>2</v>
      </c>
      <c r="J220" s="26">
        <v>40</v>
      </c>
      <c r="K220" s="21" t="s">
        <v>52</v>
      </c>
      <c r="L220" s="27">
        <v>3508.4</v>
      </c>
      <c r="M220" s="21"/>
      <c r="N220" s="21"/>
      <c r="O220" s="21" t="s">
        <v>547</v>
      </c>
      <c r="P220" s="21" t="s">
        <v>54</v>
      </c>
      <c r="Q220" s="28">
        <v>46203</v>
      </c>
      <c r="R220" s="29">
        <v>46203.4643634259</v>
      </c>
      <c r="S220" s="21" t="s">
        <v>221</v>
      </c>
      <c r="T220" s="21"/>
      <c r="U220" s="21" t="s">
        <v>222</v>
      </c>
      <c r="V220" s="29">
        <v>46203.4643171296</v>
      </c>
      <c r="W220">
        <f>VLOOKUP(H220,物料編碼!A:B,2,0)</f>
        <v>1300501029</v>
      </c>
      <c r="X220">
        <v>1300501</v>
      </c>
      <c r="Y220" t="str">
        <f>VLOOKUP(X220,物料編碼!D:G,4,0)</f>
        <v>羊排</v>
      </c>
      <c r="Z220" t="str">
        <f>VLOOKUP(C220,客戶屬性1!A:C,2,0)</f>
        <v>天恒食品有限公司</v>
      </c>
      <c r="AA220">
        <f>IF(COUNTIF($O$1:O220,O220)=1,L220,0)</f>
        <v>0</v>
      </c>
    </row>
    <row r="221" customHeight="1" spans="1:27">
      <c r="A221" s="21" t="s">
        <v>548</v>
      </c>
      <c r="B221" s="21" t="s">
        <v>45</v>
      </c>
      <c r="C221" s="21" t="s">
        <v>72</v>
      </c>
      <c r="D221" s="21" t="s">
        <v>73</v>
      </c>
      <c r="E221" s="21" t="s">
        <v>74</v>
      </c>
      <c r="F221" s="21" t="s">
        <v>49</v>
      </c>
      <c r="G221" s="21" t="s">
        <v>50</v>
      </c>
      <c r="H221" s="21" t="s">
        <v>78</v>
      </c>
      <c r="I221" s="26">
        <v>1</v>
      </c>
      <c r="J221" s="26">
        <v>15</v>
      </c>
      <c r="K221" s="21" t="s">
        <v>52</v>
      </c>
      <c r="L221" s="27">
        <v>221.7</v>
      </c>
      <c r="M221" s="21"/>
      <c r="N221" s="21"/>
      <c r="O221" s="21" t="s">
        <v>549</v>
      </c>
      <c r="P221" s="21" t="s">
        <v>54</v>
      </c>
      <c r="Q221" s="28">
        <v>46205</v>
      </c>
      <c r="R221" s="29">
        <v>46203.4635300926</v>
      </c>
      <c r="S221" s="21" t="s">
        <v>81</v>
      </c>
      <c r="T221" s="21"/>
      <c r="U221" s="21" t="s">
        <v>82</v>
      </c>
      <c r="V221" s="29">
        <v>46203.4634837963</v>
      </c>
      <c r="W221">
        <f>VLOOKUP(H221,物料編碼!A:B,2,0)</f>
        <v>1300607014</v>
      </c>
      <c r="X221">
        <v>1300607</v>
      </c>
      <c r="Y221" t="str">
        <f>VLOOKUP(X221,物料編碼!D:G,4,0)</f>
        <v>帶皮腿扒</v>
      </c>
      <c r="Z221" t="str">
        <f>VLOOKUP(C221,客戶屬性1!A:C,2,0)</f>
        <v>恒辉贸易公司</v>
      </c>
      <c r="AA221">
        <f>IF(COUNTIF($O$1:O221,O221)=1,L221,0)</f>
        <v>221.7</v>
      </c>
    </row>
    <row r="222" customHeight="1" spans="1:27">
      <c r="A222" s="21" t="s">
        <v>550</v>
      </c>
      <c r="B222" s="21" t="s">
        <v>45</v>
      </c>
      <c r="C222" s="21" t="s">
        <v>46</v>
      </c>
      <c r="D222" s="21" t="s">
        <v>47</v>
      </c>
      <c r="E222" s="21" t="s">
        <v>48</v>
      </c>
      <c r="F222" s="21" t="s">
        <v>49</v>
      </c>
      <c r="G222" s="21" t="s">
        <v>50</v>
      </c>
      <c r="H222" s="21" t="s">
        <v>51</v>
      </c>
      <c r="I222" s="26">
        <v>1</v>
      </c>
      <c r="J222" s="26">
        <v>10</v>
      </c>
      <c r="K222" s="21" t="s">
        <v>52</v>
      </c>
      <c r="L222" s="27">
        <v>129</v>
      </c>
      <c r="M222" s="21"/>
      <c r="N222" s="21"/>
      <c r="O222" s="21" t="s">
        <v>551</v>
      </c>
      <c r="P222" s="21" t="s">
        <v>54</v>
      </c>
      <c r="Q222" s="28">
        <v>46203</v>
      </c>
      <c r="R222" s="29">
        <v>46203.4436689815</v>
      </c>
      <c r="S222" s="21" t="s">
        <v>55</v>
      </c>
      <c r="T222" s="21"/>
      <c r="U222" s="21" t="s">
        <v>47</v>
      </c>
      <c r="V222" s="29">
        <v>46203.4436111111</v>
      </c>
      <c r="W222">
        <f>VLOOKUP(H222,物料編碼!A:B,2,0)</f>
        <v>1300624103</v>
      </c>
      <c r="X222">
        <v>1300624</v>
      </c>
      <c r="Y222" t="str">
        <f>VLOOKUP(X222,物料編碼!D:G,4,0)</f>
        <v>琵琶腿</v>
      </c>
      <c r="Z222" t="str">
        <f>VLOOKUP(C222,客戶屬性1!A:C,2,0)</f>
        <v>明记冻肉</v>
      </c>
      <c r="AA222">
        <f>IF(COUNTIF($O$1:O222,O222)=1,L222,0)</f>
        <v>129</v>
      </c>
    </row>
    <row r="223" customHeight="1" spans="1:27">
      <c r="A223" s="21" t="s">
        <v>552</v>
      </c>
      <c r="B223" s="21" t="s">
        <v>45</v>
      </c>
      <c r="C223" s="21" t="s">
        <v>216</v>
      </c>
      <c r="D223" s="21" t="s">
        <v>217</v>
      </c>
      <c r="E223" s="21" t="s">
        <v>218</v>
      </c>
      <c r="F223" s="21" t="s">
        <v>49</v>
      </c>
      <c r="G223" s="21" t="s">
        <v>68</v>
      </c>
      <c r="H223" s="21" t="s">
        <v>553</v>
      </c>
      <c r="I223" s="26">
        <v>1</v>
      </c>
      <c r="J223" s="26">
        <v>20</v>
      </c>
      <c r="K223" s="21" t="s">
        <v>52</v>
      </c>
      <c r="L223" s="27">
        <v>1960.2</v>
      </c>
      <c r="M223" s="21"/>
      <c r="N223" s="21"/>
      <c r="O223" s="21" t="s">
        <v>554</v>
      </c>
      <c r="P223" s="21" t="s">
        <v>54</v>
      </c>
      <c r="Q223" s="28">
        <v>46203</v>
      </c>
      <c r="R223" s="29">
        <v>46203.4354513889</v>
      </c>
      <c r="S223" s="21" t="s">
        <v>221</v>
      </c>
      <c r="T223" s="21"/>
      <c r="U223" s="21" t="s">
        <v>222</v>
      </c>
      <c r="V223" s="29">
        <v>46203.4354050926</v>
      </c>
      <c r="W223">
        <f>VLOOKUP(H223,物料編碼!A:B,2,0)</f>
        <v>1300510007</v>
      </c>
      <c r="X223">
        <v>1300510</v>
      </c>
      <c r="Y223" t="str">
        <f>VLOOKUP(X223,物料編碼!D:G,4,0)</f>
        <v>其他</v>
      </c>
      <c r="Z223" t="str">
        <f>VLOOKUP(C223,客戶屬性1!A:C,2,0)</f>
        <v>天恒食品有限公司</v>
      </c>
      <c r="AA223">
        <f>IF(COUNTIF($O$1:O223,O223)=1,L223,0)</f>
        <v>1960.2</v>
      </c>
    </row>
    <row r="224" customHeight="1" spans="1:27">
      <c r="A224" s="21" t="s">
        <v>555</v>
      </c>
      <c r="B224" s="21" t="s">
        <v>45</v>
      </c>
      <c r="C224" s="21" t="s">
        <v>114</v>
      </c>
      <c r="D224" s="21" t="s">
        <v>115</v>
      </c>
      <c r="E224" s="21" t="s">
        <v>116</v>
      </c>
      <c r="F224" s="21" t="s">
        <v>49</v>
      </c>
      <c r="G224" s="21" t="s">
        <v>100</v>
      </c>
      <c r="H224" s="21" t="s">
        <v>298</v>
      </c>
      <c r="I224" s="26">
        <v>1</v>
      </c>
      <c r="J224" s="26">
        <v>10</v>
      </c>
      <c r="K224" s="21" t="s">
        <v>52</v>
      </c>
      <c r="L224" s="27">
        <v>480</v>
      </c>
      <c r="M224" s="21"/>
      <c r="N224" s="21"/>
      <c r="O224" s="21" t="s">
        <v>556</v>
      </c>
      <c r="P224" s="21" t="s">
        <v>54</v>
      </c>
      <c r="Q224" s="28">
        <v>46203</v>
      </c>
      <c r="R224" s="29">
        <v>46203.4246643518</v>
      </c>
      <c r="S224" s="21" t="s">
        <v>119</v>
      </c>
      <c r="T224" s="21"/>
      <c r="U224" s="21" t="s">
        <v>115</v>
      </c>
      <c r="V224" s="29">
        <v>46203.4246180556</v>
      </c>
      <c r="W224">
        <f>VLOOKUP(H224,物料編碼!A:B,2,0)</f>
        <v>1300111003</v>
      </c>
      <c r="X224">
        <v>1300111</v>
      </c>
      <c r="Y224" t="str">
        <f>VLOOKUP(X224,物料編碼!D:G,4,0)</f>
        <v>寸骨</v>
      </c>
      <c r="Z224" t="str">
        <f>VLOOKUP(C224,客戶屬性1!A:C,2,0)</f>
        <v>骏利贸易公司</v>
      </c>
      <c r="AA224">
        <f>IF(COUNTIF($O$1:O224,O224)=1,L224,0)</f>
        <v>480</v>
      </c>
    </row>
    <row r="225" customHeight="1" spans="1:27">
      <c r="A225" s="21" t="s">
        <v>557</v>
      </c>
      <c r="B225" s="21" t="s">
        <v>45</v>
      </c>
      <c r="C225" s="21" t="s">
        <v>57</v>
      </c>
      <c r="D225" s="21" t="s">
        <v>58</v>
      </c>
      <c r="E225" s="21" t="s">
        <v>59</v>
      </c>
      <c r="F225" s="21" t="s">
        <v>49</v>
      </c>
      <c r="G225" s="21" t="s">
        <v>50</v>
      </c>
      <c r="H225" s="21" t="s">
        <v>60</v>
      </c>
      <c r="I225" s="26">
        <v>30</v>
      </c>
      <c r="J225" s="26">
        <v>750</v>
      </c>
      <c r="K225" s="21" t="s">
        <v>52</v>
      </c>
      <c r="L225" s="27">
        <v>27446.15</v>
      </c>
      <c r="M225" s="21"/>
      <c r="N225" s="21"/>
      <c r="O225" s="21" t="s">
        <v>558</v>
      </c>
      <c r="P225" s="21" t="s">
        <v>54</v>
      </c>
      <c r="Q225" s="28">
        <v>46205</v>
      </c>
      <c r="R225" s="29">
        <v>46203.4040393519</v>
      </c>
      <c r="S225" s="21" t="s">
        <v>62</v>
      </c>
      <c r="T225" s="21"/>
      <c r="U225" s="21" t="s">
        <v>59</v>
      </c>
      <c r="V225" s="29">
        <v>46203.4039930556</v>
      </c>
      <c r="W225">
        <f>VLOOKUP(H225,物料編碼!A:B,2,0)</f>
        <v>1300101043</v>
      </c>
      <c r="X225">
        <v>1300101</v>
      </c>
      <c r="Y225" t="str">
        <f>VLOOKUP(X225,物料編碼!D:G,4,0)</f>
        <v>一號肉</v>
      </c>
      <c r="Z225" t="str">
        <f>VLOOKUP(C225,客戶屬性1!A:C,2,0)</f>
        <v>翎凰冻肉有限公司</v>
      </c>
      <c r="AA225">
        <f>IF(COUNTIF($O$1:O225,O225)=1,L225,0)</f>
        <v>27446.15</v>
      </c>
    </row>
    <row r="226" customHeight="1" spans="1:27">
      <c r="A226" s="21" t="s">
        <v>557</v>
      </c>
      <c r="B226" s="21" t="s">
        <v>45</v>
      </c>
      <c r="C226" s="21" t="s">
        <v>57</v>
      </c>
      <c r="D226" s="21" t="s">
        <v>58</v>
      </c>
      <c r="E226" s="21" t="s">
        <v>59</v>
      </c>
      <c r="F226" s="21" t="s">
        <v>49</v>
      </c>
      <c r="G226" s="21" t="s">
        <v>50</v>
      </c>
      <c r="H226" s="21" t="s">
        <v>63</v>
      </c>
      <c r="I226" s="26">
        <v>2</v>
      </c>
      <c r="J226" s="26">
        <v>50</v>
      </c>
      <c r="K226" s="21" t="s">
        <v>52</v>
      </c>
      <c r="L226" s="27">
        <v>27446.15</v>
      </c>
      <c r="M226" s="21"/>
      <c r="N226" s="21"/>
      <c r="O226" s="21" t="s">
        <v>558</v>
      </c>
      <c r="P226" s="21" t="s">
        <v>54</v>
      </c>
      <c r="Q226" s="28">
        <v>46205</v>
      </c>
      <c r="R226" s="29">
        <v>46203.4040393519</v>
      </c>
      <c r="S226" s="21" t="s">
        <v>62</v>
      </c>
      <c r="T226" s="21"/>
      <c r="U226" s="21" t="s">
        <v>59</v>
      </c>
      <c r="V226" s="29">
        <v>46203.4039930556</v>
      </c>
      <c r="W226">
        <f>VLOOKUP(H226,物料編碼!A:B,2,0)</f>
        <v>1300109002</v>
      </c>
      <c r="X226">
        <v>1300109</v>
      </c>
      <c r="Y226" t="str">
        <f>VLOOKUP(X226,物料編碼!D:G,4,0)</f>
        <v>面精肉</v>
      </c>
      <c r="Z226" t="str">
        <f>VLOOKUP(C226,客戶屬性1!A:C,2,0)</f>
        <v>翎凰冻肉有限公司</v>
      </c>
      <c r="AA226">
        <f>IF(COUNTIF($O$1:O226,O226)=1,L226,0)</f>
        <v>0</v>
      </c>
    </row>
    <row r="227" customHeight="1" spans="1:27">
      <c r="A227" s="21" t="s">
        <v>559</v>
      </c>
      <c r="B227" s="21" t="s">
        <v>45</v>
      </c>
      <c r="C227" s="21" t="s">
        <v>97</v>
      </c>
      <c r="D227" s="21" t="s">
        <v>98</v>
      </c>
      <c r="E227" s="21" t="s">
        <v>99</v>
      </c>
      <c r="F227" s="21" t="s">
        <v>49</v>
      </c>
      <c r="G227" s="21" t="s">
        <v>100</v>
      </c>
      <c r="H227" s="21" t="s">
        <v>274</v>
      </c>
      <c r="I227" s="26">
        <v>2</v>
      </c>
      <c r="J227" s="26">
        <v>20</v>
      </c>
      <c r="K227" s="21" t="s">
        <v>52</v>
      </c>
      <c r="L227" s="27">
        <v>256</v>
      </c>
      <c r="M227" s="21"/>
      <c r="N227" s="21"/>
      <c r="O227" s="21" t="s">
        <v>560</v>
      </c>
      <c r="P227" s="21" t="s">
        <v>54</v>
      </c>
      <c r="Q227" s="28">
        <v>46203</v>
      </c>
      <c r="R227" s="29">
        <v>46202.6966319444</v>
      </c>
      <c r="S227" s="21" t="s">
        <v>103</v>
      </c>
      <c r="T227" s="21"/>
      <c r="U227" s="21" t="s">
        <v>99</v>
      </c>
      <c r="V227" s="29">
        <v>46202.6965856481</v>
      </c>
      <c r="W227">
        <f>VLOOKUP(H227,物料編碼!A:B,2,0)</f>
        <v>1300626003</v>
      </c>
      <c r="X227">
        <v>1300626</v>
      </c>
      <c r="Y227" t="str">
        <f>VLOOKUP(X227,物料編碼!D:G,4,0)</f>
        <v>翅根</v>
      </c>
      <c r="Z227" t="str">
        <f>VLOOKUP(C227,客戶屬性1!A:C,2,0)</f>
        <v>三明有限公司</v>
      </c>
      <c r="AA227">
        <f>IF(COUNTIF($O$1:O227,O227)=1,L227,0)</f>
        <v>256</v>
      </c>
    </row>
    <row r="228" customHeight="1" spans="1:27">
      <c r="A228" s="21" t="s">
        <v>561</v>
      </c>
      <c r="B228" s="21" t="s">
        <v>45</v>
      </c>
      <c r="C228" s="21" t="s">
        <v>197</v>
      </c>
      <c r="D228" s="21" t="s">
        <v>198</v>
      </c>
      <c r="E228" s="21" t="s">
        <v>199</v>
      </c>
      <c r="F228" s="21" t="s">
        <v>49</v>
      </c>
      <c r="G228" s="21" t="s">
        <v>136</v>
      </c>
      <c r="H228" s="21" t="s">
        <v>562</v>
      </c>
      <c r="I228" s="26">
        <v>2</v>
      </c>
      <c r="J228" s="26">
        <v>40</v>
      </c>
      <c r="K228" s="21" t="s">
        <v>52</v>
      </c>
      <c r="L228" s="27">
        <v>7294.5</v>
      </c>
      <c r="M228" s="21"/>
      <c r="N228" s="21"/>
      <c r="O228" s="21" t="s">
        <v>563</v>
      </c>
      <c r="P228" s="21" t="s">
        <v>54</v>
      </c>
      <c r="Q228" s="28">
        <v>46203</v>
      </c>
      <c r="R228" s="29">
        <v>46202.663912037</v>
      </c>
      <c r="S228" s="21" t="s">
        <v>202</v>
      </c>
      <c r="T228" s="21"/>
      <c r="U228" s="21" t="s">
        <v>203</v>
      </c>
      <c r="V228" s="29">
        <v>46202.6638657407</v>
      </c>
      <c r="W228">
        <f>VLOOKUP(H228,物料編碼!A:B,2,0)</f>
        <v>1300501031</v>
      </c>
      <c r="X228">
        <v>1300501</v>
      </c>
      <c r="Y228" t="str">
        <f>VLOOKUP(X228,物料編碼!D:G,4,0)</f>
        <v>羊排</v>
      </c>
      <c r="Z228" t="str">
        <f>VLOOKUP(C228,客戶屬性1!A:C,2,0)</f>
        <v>信隆(亚洲)有限公司</v>
      </c>
      <c r="AA228">
        <f>IF(COUNTIF($O$1:O228,O228)=1,L228,0)</f>
        <v>7294.5</v>
      </c>
    </row>
    <row r="229" customHeight="1" spans="1:27">
      <c r="A229" s="21" t="s">
        <v>561</v>
      </c>
      <c r="B229" s="21" t="s">
        <v>45</v>
      </c>
      <c r="C229" s="21" t="s">
        <v>197</v>
      </c>
      <c r="D229" s="21" t="s">
        <v>198</v>
      </c>
      <c r="E229" s="21" t="s">
        <v>199</v>
      </c>
      <c r="F229" s="21" t="s">
        <v>49</v>
      </c>
      <c r="G229" s="21" t="s">
        <v>136</v>
      </c>
      <c r="H229" s="21" t="s">
        <v>239</v>
      </c>
      <c r="I229" s="26">
        <v>10</v>
      </c>
      <c r="J229" s="26">
        <v>100</v>
      </c>
      <c r="K229" s="21" t="s">
        <v>52</v>
      </c>
      <c r="L229" s="27">
        <v>7294.5</v>
      </c>
      <c r="M229" s="21"/>
      <c r="N229" s="21"/>
      <c r="O229" s="21" t="s">
        <v>563</v>
      </c>
      <c r="P229" s="21" t="s">
        <v>54</v>
      </c>
      <c r="Q229" s="28">
        <v>46203</v>
      </c>
      <c r="R229" s="29">
        <v>46202.663912037</v>
      </c>
      <c r="S229" s="21" t="s">
        <v>202</v>
      </c>
      <c r="T229" s="21"/>
      <c r="U229" s="21" t="s">
        <v>203</v>
      </c>
      <c r="V229" s="29">
        <v>46202.6638657407</v>
      </c>
      <c r="W229">
        <f>VLOOKUP(H229,物料編碼!A:B,2,0)</f>
        <v>1300904023</v>
      </c>
      <c r="X229">
        <v>1300904</v>
      </c>
      <c r="Y229" t="str">
        <f>VLOOKUP(X229,物料編碼!D:G,4,0)</f>
        <v>煙熏鴨胸</v>
      </c>
      <c r="Z229" t="str">
        <f>VLOOKUP(C229,客戶屬性1!A:C,2,0)</f>
        <v>信隆(亚洲)有限公司</v>
      </c>
      <c r="AA229">
        <f>IF(COUNTIF($O$1:O229,O229)=1,L229,0)</f>
        <v>0</v>
      </c>
    </row>
    <row r="230" customHeight="1" spans="1:27">
      <c r="A230" s="21" t="s">
        <v>561</v>
      </c>
      <c r="B230" s="21" t="s">
        <v>45</v>
      </c>
      <c r="C230" s="21" t="s">
        <v>197</v>
      </c>
      <c r="D230" s="21" t="s">
        <v>198</v>
      </c>
      <c r="E230" s="21" t="s">
        <v>199</v>
      </c>
      <c r="F230" s="21" t="s">
        <v>49</v>
      </c>
      <c r="G230" s="21" t="s">
        <v>136</v>
      </c>
      <c r="H230" s="21" t="s">
        <v>564</v>
      </c>
      <c r="I230" s="26">
        <v>10</v>
      </c>
      <c r="J230" s="26">
        <v>150</v>
      </c>
      <c r="K230" s="21" t="s">
        <v>52</v>
      </c>
      <c r="L230" s="27">
        <v>7294.5</v>
      </c>
      <c r="M230" s="21"/>
      <c r="N230" s="21"/>
      <c r="O230" s="21" t="s">
        <v>563</v>
      </c>
      <c r="P230" s="21" t="s">
        <v>54</v>
      </c>
      <c r="Q230" s="28">
        <v>46203</v>
      </c>
      <c r="R230" s="29">
        <v>46202.663912037</v>
      </c>
      <c r="S230" s="21" t="s">
        <v>202</v>
      </c>
      <c r="T230" s="21"/>
      <c r="U230" s="21" t="s">
        <v>203</v>
      </c>
      <c r="V230" s="29">
        <v>46202.6638657407</v>
      </c>
      <c r="W230">
        <f>VLOOKUP(H230,物料編碼!A:B,2,0)</f>
        <v>1300603037</v>
      </c>
      <c r="X230">
        <v>1300603</v>
      </c>
      <c r="Y230" t="str">
        <f>VLOOKUP(X230,物料編碼!D:G,4,0)</f>
        <v>帶骨全腿</v>
      </c>
      <c r="Z230" t="str">
        <f>VLOOKUP(C230,客戶屬性1!A:C,2,0)</f>
        <v>信隆(亚洲)有限公司</v>
      </c>
      <c r="AA230">
        <f>IF(COUNTIF($O$1:O230,O230)=1,L230,0)</f>
        <v>0</v>
      </c>
    </row>
    <row r="231" customHeight="1" spans="1:27">
      <c r="A231" s="21" t="s">
        <v>565</v>
      </c>
      <c r="B231" s="21" t="s">
        <v>45</v>
      </c>
      <c r="C231" s="21" t="s">
        <v>197</v>
      </c>
      <c r="D231" s="21" t="s">
        <v>198</v>
      </c>
      <c r="E231" s="21" t="s">
        <v>199</v>
      </c>
      <c r="F231" s="21" t="s">
        <v>49</v>
      </c>
      <c r="G231" s="21" t="s">
        <v>136</v>
      </c>
      <c r="H231" s="21" t="s">
        <v>562</v>
      </c>
      <c r="I231" s="26">
        <v>5</v>
      </c>
      <c r="J231" s="26">
        <v>100</v>
      </c>
      <c r="K231" s="21" t="s">
        <v>52</v>
      </c>
      <c r="L231" s="27">
        <v>13958.85</v>
      </c>
      <c r="M231" s="21"/>
      <c r="N231" s="21"/>
      <c r="O231" s="21" t="s">
        <v>566</v>
      </c>
      <c r="P231" s="21" t="s">
        <v>54</v>
      </c>
      <c r="Q231" s="28">
        <v>46205</v>
      </c>
      <c r="R231" s="29">
        <v>46202.6574884259</v>
      </c>
      <c r="S231" s="21" t="s">
        <v>202</v>
      </c>
      <c r="T231" s="21"/>
      <c r="U231" s="21" t="s">
        <v>203</v>
      </c>
      <c r="V231" s="29">
        <v>46202.6574421296</v>
      </c>
      <c r="W231">
        <f>VLOOKUP(H231,物料編碼!A:B,2,0)</f>
        <v>1300501031</v>
      </c>
      <c r="X231">
        <v>1300501</v>
      </c>
      <c r="Y231" t="str">
        <f>VLOOKUP(X231,物料編碼!D:G,4,0)</f>
        <v>羊排</v>
      </c>
      <c r="Z231" t="str">
        <f>VLOOKUP(C231,客戶屬性1!A:C,2,0)</f>
        <v>信隆(亚洲)有限公司</v>
      </c>
      <c r="AA231">
        <f>IF(COUNTIF($O$1:O231,O231)=1,L231,0)</f>
        <v>13958.85</v>
      </c>
    </row>
    <row r="232" customHeight="1" spans="1:27">
      <c r="A232" s="21" t="s">
        <v>565</v>
      </c>
      <c r="B232" s="21" t="s">
        <v>45</v>
      </c>
      <c r="C232" s="21" t="s">
        <v>197</v>
      </c>
      <c r="D232" s="21" t="s">
        <v>198</v>
      </c>
      <c r="E232" s="21" t="s">
        <v>199</v>
      </c>
      <c r="F232" s="21" t="s">
        <v>49</v>
      </c>
      <c r="G232" s="21" t="s">
        <v>136</v>
      </c>
      <c r="H232" s="21" t="s">
        <v>63</v>
      </c>
      <c r="I232" s="26">
        <v>3</v>
      </c>
      <c r="J232" s="26">
        <v>75</v>
      </c>
      <c r="K232" s="21" t="s">
        <v>52</v>
      </c>
      <c r="L232" s="27">
        <v>13958.85</v>
      </c>
      <c r="M232" s="21"/>
      <c r="N232" s="21"/>
      <c r="O232" s="21" t="s">
        <v>566</v>
      </c>
      <c r="P232" s="21" t="s">
        <v>54</v>
      </c>
      <c r="Q232" s="28">
        <v>46205</v>
      </c>
      <c r="R232" s="29">
        <v>46202.6574884259</v>
      </c>
      <c r="S232" s="21" t="s">
        <v>202</v>
      </c>
      <c r="T232" s="21"/>
      <c r="U232" s="21" t="s">
        <v>203</v>
      </c>
      <c r="V232" s="29">
        <v>46202.6574421296</v>
      </c>
      <c r="W232">
        <f>VLOOKUP(H232,物料編碼!A:B,2,0)</f>
        <v>1300109002</v>
      </c>
      <c r="X232">
        <v>1300109</v>
      </c>
      <c r="Y232" t="str">
        <f>VLOOKUP(X232,物料編碼!D:G,4,0)</f>
        <v>面精肉</v>
      </c>
      <c r="Z232" t="str">
        <f>VLOOKUP(C232,客戶屬性1!A:C,2,0)</f>
        <v>信隆(亚洲)有限公司</v>
      </c>
      <c r="AA232">
        <f>IF(COUNTIF($O$1:O232,O232)=1,L232,0)</f>
        <v>0</v>
      </c>
    </row>
    <row r="233" customHeight="1" spans="1:27">
      <c r="A233" s="21" t="s">
        <v>565</v>
      </c>
      <c r="B233" s="21" t="s">
        <v>45</v>
      </c>
      <c r="C233" s="21" t="s">
        <v>197</v>
      </c>
      <c r="D233" s="21" t="s">
        <v>198</v>
      </c>
      <c r="E233" s="21" t="s">
        <v>199</v>
      </c>
      <c r="F233" s="21" t="s">
        <v>49</v>
      </c>
      <c r="G233" s="21" t="s">
        <v>136</v>
      </c>
      <c r="H233" s="21" t="s">
        <v>239</v>
      </c>
      <c r="I233" s="26">
        <v>10</v>
      </c>
      <c r="J233" s="26">
        <v>100</v>
      </c>
      <c r="K233" s="21" t="s">
        <v>52</v>
      </c>
      <c r="L233" s="27">
        <v>13958.85</v>
      </c>
      <c r="M233" s="21"/>
      <c r="N233" s="21"/>
      <c r="O233" s="21" t="s">
        <v>566</v>
      </c>
      <c r="P233" s="21" t="s">
        <v>54</v>
      </c>
      <c r="Q233" s="28">
        <v>46205</v>
      </c>
      <c r="R233" s="29">
        <v>46202.6574884259</v>
      </c>
      <c r="S233" s="21" t="s">
        <v>202</v>
      </c>
      <c r="T233" s="21"/>
      <c r="U233" s="21" t="s">
        <v>203</v>
      </c>
      <c r="V233" s="29">
        <v>46202.6574421296</v>
      </c>
      <c r="W233">
        <f>VLOOKUP(H233,物料編碼!A:B,2,0)</f>
        <v>1300904023</v>
      </c>
      <c r="X233">
        <v>1300904</v>
      </c>
      <c r="Y233" t="str">
        <f>VLOOKUP(X233,物料編碼!D:G,4,0)</f>
        <v>煙熏鴨胸</v>
      </c>
      <c r="Z233" t="str">
        <f>VLOOKUP(C233,客戶屬性1!A:C,2,0)</f>
        <v>信隆(亚洲)有限公司</v>
      </c>
      <c r="AA233">
        <f>IF(COUNTIF($O$1:O233,O233)=1,L233,0)</f>
        <v>0</v>
      </c>
    </row>
    <row r="234" customHeight="1" spans="1:27">
      <c r="A234" s="21" t="s">
        <v>565</v>
      </c>
      <c r="B234" s="21" t="s">
        <v>45</v>
      </c>
      <c r="C234" s="21" t="s">
        <v>197</v>
      </c>
      <c r="D234" s="21" t="s">
        <v>198</v>
      </c>
      <c r="E234" s="21" t="s">
        <v>199</v>
      </c>
      <c r="F234" s="21" t="s">
        <v>49</v>
      </c>
      <c r="G234" s="21" t="s">
        <v>136</v>
      </c>
      <c r="H234" s="21" t="s">
        <v>117</v>
      </c>
      <c r="I234" s="26">
        <v>10</v>
      </c>
      <c r="J234" s="26">
        <v>150</v>
      </c>
      <c r="K234" s="21" t="s">
        <v>52</v>
      </c>
      <c r="L234" s="27">
        <v>13958.85</v>
      </c>
      <c r="M234" s="21"/>
      <c r="N234" s="21"/>
      <c r="O234" s="21" t="s">
        <v>566</v>
      </c>
      <c r="P234" s="21" t="s">
        <v>54</v>
      </c>
      <c r="Q234" s="28">
        <v>46205</v>
      </c>
      <c r="R234" s="29">
        <v>46202.6574884259</v>
      </c>
      <c r="S234" s="21" t="s">
        <v>202</v>
      </c>
      <c r="T234" s="21"/>
      <c r="U234" s="21" t="s">
        <v>203</v>
      </c>
      <c r="V234" s="29">
        <v>46202.6574421296</v>
      </c>
      <c r="W234">
        <f>VLOOKUP(H234,物料編碼!A:B,2,0)</f>
        <v>1300607015</v>
      </c>
      <c r="X234">
        <v>1300607</v>
      </c>
      <c r="Y234" t="str">
        <f>VLOOKUP(X234,物料編碼!D:G,4,0)</f>
        <v>帶皮腿扒</v>
      </c>
      <c r="Z234" t="str">
        <f>VLOOKUP(C234,客戶屬性1!A:C,2,0)</f>
        <v>信隆(亚洲)有限公司</v>
      </c>
      <c r="AA234">
        <f>IF(COUNTIF($O$1:O234,O234)=1,L234,0)</f>
        <v>0</v>
      </c>
    </row>
    <row r="235" customHeight="1" spans="1:27">
      <c r="A235" s="21" t="s">
        <v>567</v>
      </c>
      <c r="B235" s="21" t="s">
        <v>45</v>
      </c>
      <c r="C235" s="21" t="s">
        <v>72</v>
      </c>
      <c r="D235" s="21" t="s">
        <v>73</v>
      </c>
      <c r="E235" s="21" t="s">
        <v>74</v>
      </c>
      <c r="F235" s="21" t="s">
        <v>49</v>
      </c>
      <c r="G235" s="21" t="s">
        <v>50</v>
      </c>
      <c r="H235" s="21" t="s">
        <v>117</v>
      </c>
      <c r="I235" s="26">
        <v>7</v>
      </c>
      <c r="J235" s="26">
        <v>105</v>
      </c>
      <c r="K235" s="21" t="s">
        <v>52</v>
      </c>
      <c r="L235" s="27">
        <v>1551.9</v>
      </c>
      <c r="M235" s="21"/>
      <c r="N235" s="21"/>
      <c r="O235" s="21" t="s">
        <v>568</v>
      </c>
      <c r="P235" s="21" t="s">
        <v>54</v>
      </c>
      <c r="Q235" s="28">
        <v>46203</v>
      </c>
      <c r="R235" s="29">
        <v>46202.6348032407</v>
      </c>
      <c r="S235" s="21" t="s">
        <v>77</v>
      </c>
      <c r="T235" s="21"/>
      <c r="U235" s="21" t="s">
        <v>74</v>
      </c>
      <c r="V235" s="29">
        <v>46202.6347569444</v>
      </c>
      <c r="W235">
        <f>VLOOKUP(H235,物料編碼!A:B,2,0)</f>
        <v>1300607015</v>
      </c>
      <c r="X235">
        <v>1300607</v>
      </c>
      <c r="Y235" t="str">
        <f>VLOOKUP(X235,物料編碼!D:G,4,0)</f>
        <v>帶皮腿扒</v>
      </c>
      <c r="Z235" t="str">
        <f>VLOOKUP(C235,客戶屬性1!A:C,2,0)</f>
        <v>恒辉贸易公司</v>
      </c>
      <c r="AA235">
        <f>IF(COUNTIF($O$1:O235,O235)=1,L235,0)</f>
        <v>1551.9</v>
      </c>
    </row>
    <row r="236" customHeight="1" spans="1:27">
      <c r="A236" s="21" t="s">
        <v>569</v>
      </c>
      <c r="B236" s="21" t="s">
        <v>45</v>
      </c>
      <c r="C236" s="21" t="s">
        <v>216</v>
      </c>
      <c r="D236" s="21" t="s">
        <v>217</v>
      </c>
      <c r="E236" s="21" t="s">
        <v>218</v>
      </c>
      <c r="F236" s="21" t="s">
        <v>49</v>
      </c>
      <c r="G236" s="21" t="s">
        <v>68</v>
      </c>
      <c r="H236" s="21" t="s">
        <v>219</v>
      </c>
      <c r="I236" s="26">
        <v>1</v>
      </c>
      <c r="J236" s="26">
        <v>10</v>
      </c>
      <c r="K236" s="21" t="s">
        <v>52</v>
      </c>
      <c r="L236" s="27">
        <v>1029.6</v>
      </c>
      <c r="M236" s="21"/>
      <c r="N236" s="21"/>
      <c r="O236" s="21" t="s">
        <v>570</v>
      </c>
      <c r="P236" s="21" t="s">
        <v>54</v>
      </c>
      <c r="Q236" s="28">
        <v>46203</v>
      </c>
      <c r="R236" s="29">
        <v>46202.6192824074</v>
      </c>
      <c r="S236" s="21" t="s">
        <v>221</v>
      </c>
      <c r="T236" s="21"/>
      <c r="U236" s="21" t="s">
        <v>222</v>
      </c>
      <c r="V236" s="29">
        <v>46202.619224537</v>
      </c>
      <c r="W236">
        <f>VLOOKUP(H236,物料編碼!A:B,2,0)</f>
        <v>1300501022</v>
      </c>
      <c r="X236">
        <v>1300501</v>
      </c>
      <c r="Y236" t="str">
        <f>VLOOKUP(X236,物料編碼!D:G,4,0)</f>
        <v>羊排</v>
      </c>
      <c r="Z236" t="str">
        <f>VLOOKUP(C236,客戶屬性1!A:C,2,0)</f>
        <v>天恒食品有限公司</v>
      </c>
      <c r="AA236">
        <f>IF(COUNTIF($O$1:O236,O236)=1,L236,0)</f>
        <v>1029.6</v>
      </c>
    </row>
    <row r="237" customHeight="1" spans="1:27">
      <c r="A237" s="21" t="s">
        <v>571</v>
      </c>
      <c r="B237" s="21" t="s">
        <v>45</v>
      </c>
      <c r="C237" s="21" t="s">
        <v>72</v>
      </c>
      <c r="D237" s="21" t="s">
        <v>73</v>
      </c>
      <c r="E237" s="21" t="s">
        <v>74</v>
      </c>
      <c r="F237" s="21" t="s">
        <v>49</v>
      </c>
      <c r="G237" s="21" t="s">
        <v>50</v>
      </c>
      <c r="H237" s="21" t="s">
        <v>168</v>
      </c>
      <c r="I237" s="26">
        <v>2</v>
      </c>
      <c r="J237" s="26">
        <v>20</v>
      </c>
      <c r="K237" s="21" t="s">
        <v>52</v>
      </c>
      <c r="L237" s="27">
        <v>194</v>
      </c>
      <c r="M237" s="21"/>
      <c r="N237" s="21"/>
      <c r="O237" s="21" t="s">
        <v>572</v>
      </c>
      <c r="P237" s="21" t="s">
        <v>54</v>
      </c>
      <c r="Q237" s="28">
        <v>46203</v>
      </c>
      <c r="R237" s="29">
        <v>46202.6022453704</v>
      </c>
      <c r="S237" s="21" t="s">
        <v>81</v>
      </c>
      <c r="T237" s="21"/>
      <c r="U237" s="21" t="s">
        <v>82</v>
      </c>
      <c r="V237" s="29">
        <v>46202.6021990741</v>
      </c>
      <c r="W237">
        <f>VLOOKUP(H237,物料編碼!A:B,2,0)</f>
        <v>1300627002</v>
      </c>
      <c r="X237">
        <v>1300627</v>
      </c>
      <c r="Y237" t="str">
        <f>VLOOKUP(X237,物料編碼!D:G,4,0)</f>
        <v>翅尖</v>
      </c>
      <c r="Z237" t="str">
        <f>VLOOKUP(C237,客戶屬性1!A:C,2,0)</f>
        <v>恒辉贸易公司</v>
      </c>
      <c r="AA237">
        <f>IF(COUNTIF($O$1:O237,O237)=1,L237,0)</f>
        <v>194</v>
      </c>
    </row>
    <row r="238" customHeight="1" spans="1:27">
      <c r="A238" s="21" t="s">
        <v>573</v>
      </c>
      <c r="B238" s="21" t="s">
        <v>45</v>
      </c>
      <c r="C238" s="21" t="s">
        <v>97</v>
      </c>
      <c r="D238" s="21" t="s">
        <v>98</v>
      </c>
      <c r="E238" s="21" t="s">
        <v>99</v>
      </c>
      <c r="F238" s="21" t="s">
        <v>49</v>
      </c>
      <c r="G238" s="21" t="s">
        <v>100</v>
      </c>
      <c r="H238" s="21" t="s">
        <v>274</v>
      </c>
      <c r="I238" s="26">
        <v>3</v>
      </c>
      <c r="J238" s="26">
        <v>30</v>
      </c>
      <c r="K238" s="21" t="s">
        <v>52</v>
      </c>
      <c r="L238" s="27">
        <v>384</v>
      </c>
      <c r="M238" s="21"/>
      <c r="N238" s="21"/>
      <c r="O238" s="21" t="s">
        <v>574</v>
      </c>
      <c r="P238" s="21" t="s">
        <v>54</v>
      </c>
      <c r="Q238" s="28">
        <v>46203</v>
      </c>
      <c r="R238" s="29">
        <v>46202.5501967593</v>
      </c>
      <c r="S238" s="21" t="s">
        <v>103</v>
      </c>
      <c r="T238" s="21"/>
      <c r="U238" s="21" t="s">
        <v>99</v>
      </c>
      <c r="V238" s="29">
        <v>46202.550150463</v>
      </c>
      <c r="W238">
        <f>VLOOKUP(H238,物料編碼!A:B,2,0)</f>
        <v>1300626003</v>
      </c>
      <c r="X238">
        <v>1300626</v>
      </c>
      <c r="Y238" t="str">
        <f>VLOOKUP(X238,物料編碼!D:G,4,0)</f>
        <v>翅根</v>
      </c>
      <c r="Z238" t="str">
        <f>VLOOKUP(C238,客戶屬性1!A:C,2,0)</f>
        <v>三明有限公司</v>
      </c>
      <c r="AA238">
        <f>IF(COUNTIF($O$1:O238,O238)=1,L238,0)</f>
        <v>384</v>
      </c>
    </row>
    <row r="239" customHeight="1" spans="1:27">
      <c r="A239" s="21" t="s">
        <v>575</v>
      </c>
      <c r="B239" s="21" t="s">
        <v>45</v>
      </c>
      <c r="C239" s="21" t="s">
        <v>141</v>
      </c>
      <c r="D239" s="21" t="s">
        <v>142</v>
      </c>
      <c r="E239" s="21" t="s">
        <v>142</v>
      </c>
      <c r="F239" s="21" t="s">
        <v>143</v>
      </c>
      <c r="G239" s="21" t="s">
        <v>100</v>
      </c>
      <c r="H239" s="21" t="s">
        <v>63</v>
      </c>
      <c r="I239" s="26">
        <v>1</v>
      </c>
      <c r="J239" s="26">
        <v>25</v>
      </c>
      <c r="K239" s="21" t="s">
        <v>52</v>
      </c>
      <c r="L239" s="27">
        <v>1868.85</v>
      </c>
      <c r="M239" s="21"/>
      <c r="N239" s="21"/>
      <c r="O239" s="21" t="s">
        <v>576</v>
      </c>
      <c r="P239" s="21" t="s">
        <v>54</v>
      </c>
      <c r="Q239" s="28">
        <v>46205</v>
      </c>
      <c r="R239" s="29">
        <v>46202.499224537</v>
      </c>
      <c r="S239" s="21" t="s">
        <v>145</v>
      </c>
      <c r="T239" s="21"/>
      <c r="U239" s="21" t="s">
        <v>142</v>
      </c>
      <c r="V239" s="29">
        <v>46202.4991782407</v>
      </c>
      <c r="W239">
        <f>VLOOKUP(H239,物料編碼!A:B,2,0)</f>
        <v>1300109002</v>
      </c>
      <c r="X239">
        <v>1300109</v>
      </c>
      <c r="Y239" t="str">
        <f>VLOOKUP(X239,物料編碼!D:G,4,0)</f>
        <v>面精肉</v>
      </c>
      <c r="Z239" t="str">
        <f>VLOOKUP(C239,客戶屬性1!A:C,2,0)</f>
        <v>新昌冻肉</v>
      </c>
      <c r="AA239">
        <f>IF(COUNTIF($O$1:O239,O239)=1,L239,0)</f>
        <v>1868.85</v>
      </c>
    </row>
    <row r="240" customHeight="1" spans="1:27">
      <c r="A240" s="21" t="s">
        <v>575</v>
      </c>
      <c r="B240" s="21" t="s">
        <v>45</v>
      </c>
      <c r="C240" s="21" t="s">
        <v>141</v>
      </c>
      <c r="D240" s="21" t="s">
        <v>142</v>
      </c>
      <c r="E240" s="21" t="s">
        <v>142</v>
      </c>
      <c r="F240" s="21" t="s">
        <v>143</v>
      </c>
      <c r="G240" s="21" t="s">
        <v>100</v>
      </c>
      <c r="H240" s="21" t="s">
        <v>146</v>
      </c>
      <c r="I240" s="26">
        <v>2</v>
      </c>
      <c r="J240" s="26">
        <v>30</v>
      </c>
      <c r="K240" s="21" t="s">
        <v>52</v>
      </c>
      <c r="L240" s="27">
        <v>1868.85</v>
      </c>
      <c r="M240" s="21"/>
      <c r="N240" s="21"/>
      <c r="O240" s="21" t="s">
        <v>576</v>
      </c>
      <c r="P240" s="21" t="s">
        <v>54</v>
      </c>
      <c r="Q240" s="28">
        <v>46205</v>
      </c>
      <c r="R240" s="29">
        <v>46202.499224537</v>
      </c>
      <c r="S240" s="21" t="s">
        <v>145</v>
      </c>
      <c r="T240" s="21"/>
      <c r="U240" s="21" t="s">
        <v>142</v>
      </c>
      <c r="V240" s="29">
        <v>46202.4991782407</v>
      </c>
      <c r="W240">
        <f>VLOOKUP(H240,物料編碼!A:B,2,0)</f>
        <v>1300603041</v>
      </c>
      <c r="X240">
        <v>1300603</v>
      </c>
      <c r="Y240" t="str">
        <f>VLOOKUP(X240,物料編碼!D:G,4,0)</f>
        <v>帶骨全腿</v>
      </c>
      <c r="Z240" t="str">
        <f>VLOOKUP(C240,客戶屬性1!A:C,2,0)</f>
        <v>新昌冻肉</v>
      </c>
      <c r="AA240">
        <f>IF(COUNTIF($O$1:O240,O240)=1,L240,0)</f>
        <v>0</v>
      </c>
    </row>
    <row r="241" customHeight="1" spans="1:27">
      <c r="A241" s="21" t="s">
        <v>575</v>
      </c>
      <c r="B241" s="21" t="s">
        <v>45</v>
      </c>
      <c r="C241" s="21" t="s">
        <v>141</v>
      </c>
      <c r="D241" s="21" t="s">
        <v>142</v>
      </c>
      <c r="E241" s="21" t="s">
        <v>142</v>
      </c>
      <c r="F241" s="21" t="s">
        <v>143</v>
      </c>
      <c r="G241" s="21" t="s">
        <v>100</v>
      </c>
      <c r="H241" s="21" t="s">
        <v>117</v>
      </c>
      <c r="I241" s="26">
        <v>3</v>
      </c>
      <c r="J241" s="26">
        <v>45</v>
      </c>
      <c r="K241" s="21" t="s">
        <v>52</v>
      </c>
      <c r="L241" s="27">
        <v>1868.85</v>
      </c>
      <c r="M241" s="21"/>
      <c r="N241" s="21"/>
      <c r="O241" s="21" t="s">
        <v>576</v>
      </c>
      <c r="P241" s="21" t="s">
        <v>54</v>
      </c>
      <c r="Q241" s="28">
        <v>46205</v>
      </c>
      <c r="R241" s="29">
        <v>46202.499224537</v>
      </c>
      <c r="S241" s="21" t="s">
        <v>145</v>
      </c>
      <c r="T241" s="21"/>
      <c r="U241" s="21" t="s">
        <v>142</v>
      </c>
      <c r="V241" s="29">
        <v>46202.4991782407</v>
      </c>
      <c r="W241">
        <f>VLOOKUP(H241,物料編碼!A:B,2,0)</f>
        <v>1300607015</v>
      </c>
      <c r="X241">
        <v>1300607</v>
      </c>
      <c r="Y241" t="str">
        <f>VLOOKUP(X241,物料編碼!D:G,4,0)</f>
        <v>帶皮腿扒</v>
      </c>
      <c r="Z241" t="str">
        <f>VLOOKUP(C241,客戶屬性1!A:C,2,0)</f>
        <v>新昌冻肉</v>
      </c>
      <c r="AA241">
        <f>IF(COUNTIF($O$1:O241,O241)=1,L241,0)</f>
        <v>0</v>
      </c>
    </row>
    <row r="242" customHeight="1" spans="1:27">
      <c r="A242" s="21" t="s">
        <v>577</v>
      </c>
      <c r="B242" s="21" t="s">
        <v>45</v>
      </c>
      <c r="C242" s="21" t="s">
        <v>141</v>
      </c>
      <c r="D242" s="21" t="s">
        <v>142</v>
      </c>
      <c r="E242" s="21" t="s">
        <v>142</v>
      </c>
      <c r="F242" s="21" t="s">
        <v>143</v>
      </c>
      <c r="G242" s="21" t="s">
        <v>100</v>
      </c>
      <c r="H242" s="21" t="s">
        <v>146</v>
      </c>
      <c r="I242" s="26">
        <v>2</v>
      </c>
      <c r="J242" s="26">
        <v>30</v>
      </c>
      <c r="K242" s="21" t="s">
        <v>52</v>
      </c>
      <c r="L242" s="27">
        <v>1139.2</v>
      </c>
      <c r="M242" s="21"/>
      <c r="N242" s="21"/>
      <c r="O242" s="21" t="s">
        <v>578</v>
      </c>
      <c r="P242" s="21" t="s">
        <v>54</v>
      </c>
      <c r="Q242" s="28">
        <v>46203</v>
      </c>
      <c r="R242" s="29">
        <v>46202.4965972222</v>
      </c>
      <c r="S242" s="21" t="s">
        <v>145</v>
      </c>
      <c r="T242" s="21"/>
      <c r="U242" s="21" t="s">
        <v>142</v>
      </c>
      <c r="V242" s="29">
        <v>46202.4965509259</v>
      </c>
      <c r="W242">
        <f>VLOOKUP(H242,物料編碼!A:B,2,0)</f>
        <v>1300603041</v>
      </c>
      <c r="X242">
        <v>1300603</v>
      </c>
      <c r="Y242" t="str">
        <f>VLOOKUP(X242,物料編碼!D:G,4,0)</f>
        <v>帶骨全腿</v>
      </c>
      <c r="Z242" t="str">
        <f>VLOOKUP(C242,客戶屬性1!A:C,2,0)</f>
        <v>新昌冻肉</v>
      </c>
      <c r="AA242">
        <f>IF(COUNTIF($O$1:O242,O242)=1,L242,0)</f>
        <v>1139.2</v>
      </c>
    </row>
    <row r="243" customHeight="1" spans="1:27">
      <c r="A243" s="21" t="s">
        <v>577</v>
      </c>
      <c r="B243" s="21" t="s">
        <v>45</v>
      </c>
      <c r="C243" s="21" t="s">
        <v>141</v>
      </c>
      <c r="D243" s="21" t="s">
        <v>142</v>
      </c>
      <c r="E243" s="21" t="s">
        <v>142</v>
      </c>
      <c r="F243" s="21" t="s">
        <v>143</v>
      </c>
      <c r="G243" s="21" t="s">
        <v>100</v>
      </c>
      <c r="H243" s="21" t="s">
        <v>117</v>
      </c>
      <c r="I243" s="26">
        <v>3</v>
      </c>
      <c r="J243" s="26">
        <v>45</v>
      </c>
      <c r="K243" s="21" t="s">
        <v>52</v>
      </c>
      <c r="L243" s="27">
        <v>1139.2</v>
      </c>
      <c r="M243" s="21"/>
      <c r="N243" s="21"/>
      <c r="O243" s="21" t="s">
        <v>578</v>
      </c>
      <c r="P243" s="21" t="s">
        <v>54</v>
      </c>
      <c r="Q243" s="28">
        <v>46203</v>
      </c>
      <c r="R243" s="29">
        <v>46202.4965972222</v>
      </c>
      <c r="S243" s="21" t="s">
        <v>145</v>
      </c>
      <c r="T243" s="21"/>
      <c r="U243" s="21" t="s">
        <v>142</v>
      </c>
      <c r="V243" s="29">
        <v>46202.4965509259</v>
      </c>
      <c r="W243">
        <f>VLOOKUP(H243,物料編碼!A:B,2,0)</f>
        <v>1300607015</v>
      </c>
      <c r="X243">
        <v>1300607</v>
      </c>
      <c r="Y243" t="str">
        <f>VLOOKUP(X243,物料編碼!D:G,4,0)</f>
        <v>帶皮腿扒</v>
      </c>
      <c r="Z243" t="str">
        <f>VLOOKUP(C243,客戶屬性1!A:C,2,0)</f>
        <v>新昌冻肉</v>
      </c>
      <c r="AA243">
        <f>IF(COUNTIF($O$1:O243,O243)=1,L243,0)</f>
        <v>0</v>
      </c>
    </row>
    <row r="244" customHeight="1" spans="1:27">
      <c r="A244" s="21" t="s">
        <v>577</v>
      </c>
      <c r="B244" s="21" t="s">
        <v>45</v>
      </c>
      <c r="C244" s="21" t="s">
        <v>141</v>
      </c>
      <c r="D244" s="21" t="s">
        <v>142</v>
      </c>
      <c r="E244" s="21" t="s">
        <v>142</v>
      </c>
      <c r="F244" s="21" t="s">
        <v>143</v>
      </c>
      <c r="G244" s="21" t="s">
        <v>100</v>
      </c>
      <c r="H244" s="21" t="s">
        <v>168</v>
      </c>
      <c r="I244" s="26">
        <v>1</v>
      </c>
      <c r="J244" s="26">
        <v>10</v>
      </c>
      <c r="K244" s="21" t="s">
        <v>52</v>
      </c>
      <c r="L244" s="27">
        <v>1139.2</v>
      </c>
      <c r="M244" s="21"/>
      <c r="N244" s="21"/>
      <c r="O244" s="21" t="s">
        <v>578</v>
      </c>
      <c r="P244" s="21" t="s">
        <v>54</v>
      </c>
      <c r="Q244" s="28">
        <v>46203</v>
      </c>
      <c r="R244" s="29">
        <v>46202.4965972222</v>
      </c>
      <c r="S244" s="21" t="s">
        <v>145</v>
      </c>
      <c r="T244" s="21"/>
      <c r="U244" s="21" t="s">
        <v>142</v>
      </c>
      <c r="V244" s="29">
        <v>46202.4965509259</v>
      </c>
      <c r="W244">
        <f>VLOOKUP(H244,物料編碼!A:B,2,0)</f>
        <v>1300627002</v>
      </c>
      <c r="X244">
        <v>1300627</v>
      </c>
      <c r="Y244" t="str">
        <f>VLOOKUP(X244,物料編碼!D:G,4,0)</f>
        <v>翅尖</v>
      </c>
      <c r="Z244" t="str">
        <f>VLOOKUP(C244,客戶屬性1!A:C,2,0)</f>
        <v>新昌冻肉</v>
      </c>
      <c r="AA244">
        <f>IF(COUNTIF($O$1:O244,O244)=1,L244,0)</f>
        <v>0</v>
      </c>
    </row>
    <row r="245" customHeight="1" spans="1:27">
      <c r="A245" s="21" t="s">
        <v>579</v>
      </c>
      <c r="B245" s="21" t="s">
        <v>45</v>
      </c>
      <c r="C245" s="21" t="s">
        <v>187</v>
      </c>
      <c r="D245" s="21" t="s">
        <v>188</v>
      </c>
      <c r="E245" s="21" t="s">
        <v>189</v>
      </c>
      <c r="F245" s="21" t="s">
        <v>49</v>
      </c>
      <c r="G245" s="21" t="s">
        <v>68</v>
      </c>
      <c r="H245" s="21" t="s">
        <v>111</v>
      </c>
      <c r="I245" s="26">
        <v>2</v>
      </c>
      <c r="J245" s="27">
        <v>64</v>
      </c>
      <c r="K245" s="21" t="s">
        <v>112</v>
      </c>
      <c r="L245" s="27">
        <v>505.6</v>
      </c>
      <c r="M245" s="21"/>
      <c r="N245" s="21"/>
      <c r="O245" s="21" t="s">
        <v>580</v>
      </c>
      <c r="P245" s="21" t="s">
        <v>54</v>
      </c>
      <c r="Q245" s="28">
        <v>46203</v>
      </c>
      <c r="R245" s="29">
        <v>46202.4849537037</v>
      </c>
      <c r="S245" s="21" t="s">
        <v>192</v>
      </c>
      <c r="T245" s="21"/>
      <c r="U245" s="21" t="s">
        <v>193</v>
      </c>
      <c r="V245" s="29">
        <v>46202.4849074074</v>
      </c>
      <c r="W245">
        <f>VLOOKUP(H245,物料編碼!A:B,2,0)</f>
        <v>1310501001</v>
      </c>
      <c r="X245">
        <v>1310501</v>
      </c>
      <c r="Y245" t="str">
        <f>VLOOKUP(X245,物料編碼!D:G,4,0)</f>
        <v>腸類.雞肉腸</v>
      </c>
      <c r="Z245" t="str">
        <f>VLOOKUP(C245,客戶屬性1!A:C,2,0)</f>
        <v>佳城兴业有限公司/火炭</v>
      </c>
      <c r="AA245">
        <f>IF(COUNTIF($O$1:O245,O245)=1,L245,0)</f>
        <v>505.6</v>
      </c>
    </row>
    <row r="246" customHeight="1" spans="1:27">
      <c r="A246" s="21" t="s">
        <v>581</v>
      </c>
      <c r="B246" s="21" t="s">
        <v>45</v>
      </c>
      <c r="C246" s="21" t="s">
        <v>126</v>
      </c>
      <c r="D246" s="21" t="s">
        <v>127</v>
      </c>
      <c r="E246" s="21" t="s">
        <v>128</v>
      </c>
      <c r="F246" s="21" t="s">
        <v>49</v>
      </c>
      <c r="G246" s="21" t="s">
        <v>129</v>
      </c>
      <c r="H246" s="21" t="s">
        <v>75</v>
      </c>
      <c r="I246" s="26">
        <v>10</v>
      </c>
      <c r="J246" s="26">
        <v>150</v>
      </c>
      <c r="K246" s="21" t="s">
        <v>52</v>
      </c>
      <c r="L246" s="27">
        <v>1885.5</v>
      </c>
      <c r="M246" s="21"/>
      <c r="N246" s="21"/>
      <c r="O246" s="21" t="s">
        <v>582</v>
      </c>
      <c r="P246" s="21" t="s">
        <v>54</v>
      </c>
      <c r="Q246" s="28">
        <v>46202</v>
      </c>
      <c r="R246" s="29">
        <v>46202.4778125</v>
      </c>
      <c r="S246" s="21" t="s">
        <v>131</v>
      </c>
      <c r="T246" s="21"/>
      <c r="U246" s="21" t="s">
        <v>127</v>
      </c>
      <c r="V246" s="29">
        <v>46202.4777662037</v>
      </c>
      <c r="W246">
        <f>VLOOKUP(H246,物料編碼!A:B,2,0)</f>
        <v>1300603040</v>
      </c>
      <c r="X246">
        <v>1300603</v>
      </c>
      <c r="Y246" t="str">
        <f>VLOOKUP(X246,物料編碼!D:G,4,0)</f>
        <v>帶骨全腿</v>
      </c>
      <c r="Z246" t="str">
        <f>VLOOKUP(C246,客戶屬性1!A:C,2,0)</f>
        <v>福源食品有限公司</v>
      </c>
      <c r="AA246">
        <f>IF(COUNTIF($O$1:O246,O246)=1,L246,0)</f>
        <v>1885.5</v>
      </c>
    </row>
    <row r="247" customHeight="1" spans="1:27">
      <c r="A247" s="21" t="s">
        <v>583</v>
      </c>
      <c r="B247" s="21" t="s">
        <v>45</v>
      </c>
      <c r="C247" s="21" t="s">
        <v>158</v>
      </c>
      <c r="D247" s="21" t="s">
        <v>159</v>
      </c>
      <c r="E247" s="21" t="s">
        <v>160</v>
      </c>
      <c r="F247" s="21" t="s">
        <v>49</v>
      </c>
      <c r="G247" s="21" t="s">
        <v>68</v>
      </c>
      <c r="H247" s="21" t="s">
        <v>179</v>
      </c>
      <c r="I247" s="26">
        <v>2</v>
      </c>
      <c r="J247" s="26">
        <v>50</v>
      </c>
      <c r="K247" s="21" t="s">
        <v>52</v>
      </c>
      <c r="L247" s="27">
        <v>1608.75</v>
      </c>
      <c r="M247" s="21"/>
      <c r="N247" s="21"/>
      <c r="O247" s="21" t="s">
        <v>584</v>
      </c>
      <c r="P247" s="21" t="s">
        <v>54</v>
      </c>
      <c r="Q247" s="28">
        <v>46203</v>
      </c>
      <c r="R247" s="29">
        <v>46202.4582175926</v>
      </c>
      <c r="S247" s="21" t="s">
        <v>163</v>
      </c>
      <c r="T247" s="21"/>
      <c r="U247" s="21" t="s">
        <v>164</v>
      </c>
      <c r="V247" s="29">
        <v>46202.4581712963</v>
      </c>
      <c r="W247">
        <f>VLOOKUP(H247,物料編碼!A:B,2,0)</f>
        <v>1300109012</v>
      </c>
      <c r="X247">
        <v>1300109</v>
      </c>
      <c r="Y247" t="str">
        <f>VLOOKUP(X247,物料編碼!D:G,4,0)</f>
        <v>面精肉</v>
      </c>
      <c r="Z247" t="str">
        <f>VLOOKUP(C247,客戶屬性1!A:C,2,0)</f>
        <v>先进食品国际有限公司</v>
      </c>
      <c r="AA247">
        <f>IF(COUNTIF($O$1:O247,O247)=1,L247,0)</f>
        <v>1608.75</v>
      </c>
    </row>
    <row r="248" customHeight="1" spans="1:27">
      <c r="A248" s="21" t="s">
        <v>585</v>
      </c>
      <c r="B248" s="21" t="s">
        <v>45</v>
      </c>
      <c r="C248" s="21" t="s">
        <v>46</v>
      </c>
      <c r="D248" s="21" t="s">
        <v>47</v>
      </c>
      <c r="E248" s="21" t="s">
        <v>48</v>
      </c>
      <c r="F248" s="21" t="s">
        <v>49</v>
      </c>
      <c r="G248" s="21" t="s">
        <v>50</v>
      </c>
      <c r="H248" s="21" t="s">
        <v>63</v>
      </c>
      <c r="I248" s="26">
        <v>1</v>
      </c>
      <c r="J248" s="26">
        <v>25</v>
      </c>
      <c r="K248" s="21" t="s">
        <v>52</v>
      </c>
      <c r="L248" s="27">
        <v>1084.65</v>
      </c>
      <c r="M248" s="21"/>
      <c r="N248" s="21"/>
      <c r="O248" s="21" t="s">
        <v>586</v>
      </c>
      <c r="P248" s="21" t="s">
        <v>54</v>
      </c>
      <c r="Q248" s="28">
        <v>46202</v>
      </c>
      <c r="R248" s="29">
        <v>46202.4401273148</v>
      </c>
      <c r="S248" s="21" t="s">
        <v>55</v>
      </c>
      <c r="T248" s="21"/>
      <c r="U248" s="21" t="s">
        <v>47</v>
      </c>
      <c r="V248" s="29">
        <v>46202.4400810185</v>
      </c>
      <c r="W248">
        <f>VLOOKUP(H248,物料編碼!A:B,2,0)</f>
        <v>1300109002</v>
      </c>
      <c r="X248">
        <v>1300109</v>
      </c>
      <c r="Y248" t="str">
        <f>VLOOKUP(X248,物料編碼!D:G,4,0)</f>
        <v>面精肉</v>
      </c>
      <c r="Z248" t="str">
        <f>VLOOKUP(C248,客戶屬性1!A:C,2,0)</f>
        <v>明记冻肉</v>
      </c>
      <c r="AA248">
        <f>IF(COUNTIF($O$1:O248,O248)=1,L248,0)</f>
        <v>1084.65</v>
      </c>
    </row>
    <row r="249" customHeight="1" spans="1:27">
      <c r="A249" s="21" t="s">
        <v>585</v>
      </c>
      <c r="B249" s="21" t="s">
        <v>45</v>
      </c>
      <c r="C249" s="21" t="s">
        <v>46</v>
      </c>
      <c r="D249" s="21" t="s">
        <v>47</v>
      </c>
      <c r="E249" s="21" t="s">
        <v>48</v>
      </c>
      <c r="F249" s="21" t="s">
        <v>49</v>
      </c>
      <c r="G249" s="21" t="s">
        <v>50</v>
      </c>
      <c r="H249" s="21" t="s">
        <v>51</v>
      </c>
      <c r="I249" s="26">
        <v>2</v>
      </c>
      <c r="J249" s="26">
        <v>20</v>
      </c>
      <c r="K249" s="21" t="s">
        <v>52</v>
      </c>
      <c r="L249" s="27">
        <v>1084.65</v>
      </c>
      <c r="M249" s="21"/>
      <c r="N249" s="21"/>
      <c r="O249" s="21" t="s">
        <v>586</v>
      </c>
      <c r="P249" s="21" t="s">
        <v>54</v>
      </c>
      <c r="Q249" s="28">
        <v>46202</v>
      </c>
      <c r="R249" s="29">
        <v>46202.4401273148</v>
      </c>
      <c r="S249" s="21" t="s">
        <v>55</v>
      </c>
      <c r="T249" s="21"/>
      <c r="U249" s="21" t="s">
        <v>47</v>
      </c>
      <c r="V249" s="29">
        <v>46202.4400810185</v>
      </c>
      <c r="W249">
        <f>VLOOKUP(H249,物料編碼!A:B,2,0)</f>
        <v>1300624103</v>
      </c>
      <c r="X249">
        <v>1300624</v>
      </c>
      <c r="Y249" t="str">
        <f>VLOOKUP(X249,物料編碼!D:G,4,0)</f>
        <v>琵琶腿</v>
      </c>
      <c r="Z249" t="str">
        <f>VLOOKUP(C249,客戶屬性1!A:C,2,0)</f>
        <v>明记冻肉</v>
      </c>
      <c r="AA249">
        <f>IF(COUNTIF($O$1:O249,O249)=1,L249,0)</f>
        <v>0</v>
      </c>
    </row>
    <row r="250" customHeight="1" spans="1:27">
      <c r="A250" s="21" t="s">
        <v>587</v>
      </c>
      <c r="B250" s="21" t="s">
        <v>45</v>
      </c>
      <c r="C250" s="21" t="s">
        <v>72</v>
      </c>
      <c r="D250" s="21" t="s">
        <v>73</v>
      </c>
      <c r="E250" s="21" t="s">
        <v>74</v>
      </c>
      <c r="F250" s="21" t="s">
        <v>49</v>
      </c>
      <c r="G250" s="21" t="s">
        <v>50</v>
      </c>
      <c r="H250" s="21" t="s">
        <v>190</v>
      </c>
      <c r="I250" s="26">
        <v>5</v>
      </c>
      <c r="J250" s="26">
        <v>60</v>
      </c>
      <c r="K250" s="21" t="s">
        <v>52</v>
      </c>
      <c r="L250" s="27">
        <v>948</v>
      </c>
      <c r="M250" s="21"/>
      <c r="N250" s="21"/>
      <c r="O250" s="21" t="s">
        <v>588</v>
      </c>
      <c r="P250" s="21" t="s">
        <v>54</v>
      </c>
      <c r="Q250" s="28">
        <v>46202</v>
      </c>
      <c r="R250" s="29">
        <v>46202.4295138889</v>
      </c>
      <c r="S250" s="21" t="s">
        <v>77</v>
      </c>
      <c r="T250" s="21"/>
      <c r="U250" s="21" t="s">
        <v>74</v>
      </c>
      <c r="V250" s="29">
        <v>46202.4294675926</v>
      </c>
      <c r="W250">
        <f>VLOOKUP(H250,物料編碼!A:B,2,0)</f>
        <v>1300609001</v>
      </c>
      <c r="X250">
        <v>1300609</v>
      </c>
      <c r="Y250" t="str">
        <f>VLOOKUP(X250,物料編碼!D:G,4,0)</f>
        <v>去皮上腿肉</v>
      </c>
      <c r="Z250" t="str">
        <f>VLOOKUP(C250,客戶屬性1!A:C,2,0)</f>
        <v>恒辉贸易公司</v>
      </c>
      <c r="AA250">
        <f>IF(COUNTIF($O$1:O250,O250)=1,L250,0)</f>
        <v>948</v>
      </c>
    </row>
    <row r="251" customHeight="1" spans="1:27">
      <c r="A251" s="21" t="s">
        <v>589</v>
      </c>
      <c r="B251" s="21" t="s">
        <v>45</v>
      </c>
      <c r="C251" s="21" t="s">
        <v>65</v>
      </c>
      <c r="D251" s="21" t="s">
        <v>66</v>
      </c>
      <c r="E251" s="21" t="s">
        <v>67</v>
      </c>
      <c r="F251" s="21" t="s">
        <v>49</v>
      </c>
      <c r="G251" s="21" t="s">
        <v>68</v>
      </c>
      <c r="H251" s="21" t="s">
        <v>590</v>
      </c>
      <c r="I251" s="26">
        <v>10</v>
      </c>
      <c r="J251" s="26">
        <v>250</v>
      </c>
      <c r="K251" s="21" t="s">
        <v>52</v>
      </c>
      <c r="L251" s="27">
        <v>6014</v>
      </c>
      <c r="M251" s="21"/>
      <c r="N251" s="21"/>
      <c r="O251" s="21" t="s">
        <v>591</v>
      </c>
      <c r="P251" s="21" t="s">
        <v>54</v>
      </c>
      <c r="Q251" s="28">
        <v>46202</v>
      </c>
      <c r="R251" s="29">
        <v>46202.4224768519</v>
      </c>
      <c r="S251" s="21" t="s">
        <v>70</v>
      </c>
      <c r="T251" s="21"/>
      <c r="U251" s="21" t="s">
        <v>67</v>
      </c>
      <c r="V251" s="29">
        <v>46202.4224189815</v>
      </c>
      <c r="W251">
        <f>VLOOKUP(H251,物料編碼!A:B,2,0)</f>
        <v>1300101040</v>
      </c>
      <c r="X251">
        <v>1300101</v>
      </c>
      <c r="Y251" t="str">
        <f>VLOOKUP(X251,物料編碼!D:G,4,0)</f>
        <v>一號肉</v>
      </c>
      <c r="Z251" t="str">
        <f>VLOOKUP(C251,客戶屬性1!A:C,2,0)</f>
        <v>万骏贸易公司</v>
      </c>
      <c r="AA251">
        <f>IF(COUNTIF($O$1:O251,O251)=1,L251,0)</f>
        <v>6014</v>
      </c>
    </row>
    <row r="252" customHeight="1" spans="1:27">
      <c r="A252" s="21" t="s">
        <v>592</v>
      </c>
      <c r="B252" s="21" t="s">
        <v>45</v>
      </c>
      <c r="C252" s="21" t="s">
        <v>290</v>
      </c>
      <c r="D252" s="21" t="s">
        <v>291</v>
      </c>
      <c r="E252" s="21" t="s">
        <v>292</v>
      </c>
      <c r="F252" s="21" t="s">
        <v>49</v>
      </c>
      <c r="G252" s="21" t="s">
        <v>50</v>
      </c>
      <c r="H252" s="21" t="s">
        <v>51</v>
      </c>
      <c r="I252" s="26">
        <v>68</v>
      </c>
      <c r="J252" s="26">
        <v>680</v>
      </c>
      <c r="K252" s="21" t="s">
        <v>52</v>
      </c>
      <c r="L252" s="27">
        <v>8772</v>
      </c>
      <c r="M252" s="21"/>
      <c r="N252" s="21"/>
      <c r="O252" s="21" t="s">
        <v>593</v>
      </c>
      <c r="P252" s="21" t="s">
        <v>54</v>
      </c>
      <c r="Q252" s="28">
        <v>46202</v>
      </c>
      <c r="R252" s="29">
        <v>46202.4148148148</v>
      </c>
      <c r="S252" s="21" t="s">
        <v>294</v>
      </c>
      <c r="T252" s="21"/>
      <c r="U252" s="21" t="s">
        <v>292</v>
      </c>
      <c r="V252" s="29">
        <v>46202.4147685185</v>
      </c>
      <c r="W252">
        <f>VLOOKUP(H252,物料編碼!A:B,2,0)</f>
        <v>1300624103</v>
      </c>
      <c r="X252">
        <v>1300624</v>
      </c>
      <c r="Y252" t="str">
        <f>VLOOKUP(X252,物料編碼!D:G,4,0)</f>
        <v>琵琶腿</v>
      </c>
      <c r="Z252" t="str">
        <f>VLOOKUP(C252,客戶屬性1!A:C,2,0)</f>
        <v>溢利食品(香港)有限公司</v>
      </c>
      <c r="AA252">
        <f>IF(COUNTIF($O$1:O252,O252)=1,L252,0)</f>
        <v>8772</v>
      </c>
    </row>
    <row r="253" customHeight="1" spans="1:27">
      <c r="A253" s="21" t="s">
        <v>594</v>
      </c>
      <c r="B253" s="21" t="s">
        <v>45</v>
      </c>
      <c r="C253" s="21" t="s">
        <v>158</v>
      </c>
      <c r="D253" s="21" t="s">
        <v>159</v>
      </c>
      <c r="E253" s="21" t="s">
        <v>160</v>
      </c>
      <c r="F253" s="21" t="s">
        <v>49</v>
      </c>
      <c r="G253" s="21" t="s">
        <v>68</v>
      </c>
      <c r="H253" s="21" t="s">
        <v>179</v>
      </c>
      <c r="I253" s="26">
        <v>10</v>
      </c>
      <c r="J253" s="26">
        <v>250</v>
      </c>
      <c r="K253" s="21" t="s">
        <v>52</v>
      </c>
      <c r="L253" s="27">
        <v>7881.25</v>
      </c>
      <c r="M253" s="21"/>
      <c r="N253" s="21"/>
      <c r="O253" s="21" t="s">
        <v>595</v>
      </c>
      <c r="P253" s="21" t="s">
        <v>54</v>
      </c>
      <c r="Q253" s="28">
        <v>46202</v>
      </c>
      <c r="R253" s="29">
        <v>46202.4104976852</v>
      </c>
      <c r="S253" s="21" t="s">
        <v>163</v>
      </c>
      <c r="T253" s="21"/>
      <c r="U253" s="21" t="s">
        <v>164</v>
      </c>
      <c r="V253" s="29">
        <v>46202.4104513889</v>
      </c>
      <c r="W253">
        <f>VLOOKUP(H253,物料編碼!A:B,2,0)</f>
        <v>1300109012</v>
      </c>
      <c r="X253">
        <v>1300109</v>
      </c>
      <c r="Y253" t="str">
        <f>VLOOKUP(X253,物料編碼!D:G,4,0)</f>
        <v>面精肉</v>
      </c>
      <c r="Z253" t="str">
        <f>VLOOKUP(C253,客戶屬性1!A:C,2,0)</f>
        <v>先进食品国际有限公司</v>
      </c>
      <c r="AA253">
        <f>IF(COUNTIF($O$1:O253,O253)=1,L253,0)</f>
        <v>7881.25</v>
      </c>
    </row>
    <row r="254" customHeight="1" spans="1:27">
      <c r="A254" s="21" t="s">
        <v>596</v>
      </c>
      <c r="B254" s="21" t="s">
        <v>45</v>
      </c>
      <c r="C254" s="21" t="s">
        <v>72</v>
      </c>
      <c r="D254" s="21" t="s">
        <v>73</v>
      </c>
      <c r="E254" s="21" t="s">
        <v>74</v>
      </c>
      <c r="F254" s="21" t="s">
        <v>49</v>
      </c>
      <c r="G254" s="21" t="s">
        <v>50</v>
      </c>
      <c r="H254" s="21" t="s">
        <v>286</v>
      </c>
      <c r="I254" s="26">
        <v>1</v>
      </c>
      <c r="J254" s="26">
        <v>10</v>
      </c>
      <c r="K254" s="21" t="s">
        <v>52</v>
      </c>
      <c r="L254" s="27">
        <v>136</v>
      </c>
      <c r="M254" s="21"/>
      <c r="N254" s="21"/>
      <c r="O254" s="21" t="s">
        <v>597</v>
      </c>
      <c r="P254" s="21" t="s">
        <v>54</v>
      </c>
      <c r="Q254" s="28">
        <v>46202</v>
      </c>
      <c r="R254" s="29">
        <v>46202.3877314815</v>
      </c>
      <c r="S254" s="21" t="s">
        <v>288</v>
      </c>
      <c r="T254" s="21"/>
      <c r="U254" s="21" t="s">
        <v>82</v>
      </c>
      <c r="V254" s="29">
        <v>46202.3876851852</v>
      </c>
      <c r="W254">
        <f>VLOOKUP(H254,物料編碼!A:B,2,0)</f>
        <v>1300903003</v>
      </c>
      <c r="X254">
        <v>1300903</v>
      </c>
      <c r="Y254" t="str">
        <f>VLOOKUP(X254,物料編碼!D:G,4,0)</f>
        <v>生鴨胸</v>
      </c>
      <c r="Z254" t="str">
        <f>VLOOKUP(C254,客戶屬性1!A:C,2,0)</f>
        <v>恒辉贸易公司</v>
      </c>
      <c r="AA254">
        <f>IF(COUNTIF($O$1:O254,O254)=1,L254,0)</f>
        <v>136</v>
      </c>
    </row>
    <row r="255" customHeight="1" spans="1:27">
      <c r="A255" s="21" t="s">
        <v>598</v>
      </c>
      <c r="B255" s="21" t="s">
        <v>45</v>
      </c>
      <c r="C255" s="21" t="s">
        <v>72</v>
      </c>
      <c r="D255" s="21" t="s">
        <v>73</v>
      </c>
      <c r="E255" s="21" t="s">
        <v>74</v>
      </c>
      <c r="F255" s="21" t="s">
        <v>49</v>
      </c>
      <c r="G255" s="21" t="s">
        <v>50</v>
      </c>
      <c r="H255" s="21" t="s">
        <v>362</v>
      </c>
      <c r="I255" s="26">
        <v>2</v>
      </c>
      <c r="J255" s="26">
        <v>27.2</v>
      </c>
      <c r="K255" s="21" t="s">
        <v>52</v>
      </c>
      <c r="L255" s="27">
        <v>1172.24</v>
      </c>
      <c r="M255" s="21"/>
      <c r="N255" s="21"/>
      <c r="O255" s="21" t="s">
        <v>599</v>
      </c>
      <c r="P255" s="21" t="s">
        <v>54</v>
      </c>
      <c r="Q255" s="28">
        <v>46202</v>
      </c>
      <c r="R255" s="29">
        <v>46202.3658333333</v>
      </c>
      <c r="S255" s="21" t="s">
        <v>81</v>
      </c>
      <c r="T255" s="21"/>
      <c r="U255" s="21" t="s">
        <v>82</v>
      </c>
      <c r="V255" s="29">
        <v>46202.365775463</v>
      </c>
      <c r="W255">
        <f>VLOOKUP(H255,物料編碼!A:B,2,0)</f>
        <v>1300901005</v>
      </c>
      <c r="X255">
        <v>1300901</v>
      </c>
      <c r="Y255" t="str">
        <f>VLOOKUP(X255,物料編碼!D:G,4,0)</f>
        <v>整鴨</v>
      </c>
      <c r="Z255" t="str">
        <f>VLOOKUP(C255,客戶屬性1!A:C,2,0)</f>
        <v>恒辉贸易公司</v>
      </c>
      <c r="AA255">
        <f>IF(COUNTIF($O$1:O255,O255)=1,L255,0)</f>
        <v>1172.24</v>
      </c>
    </row>
    <row r="256" customHeight="1" spans="1:27">
      <c r="A256" s="21" t="s">
        <v>598</v>
      </c>
      <c r="B256" s="21" t="s">
        <v>45</v>
      </c>
      <c r="C256" s="21" t="s">
        <v>72</v>
      </c>
      <c r="D256" s="21" t="s">
        <v>73</v>
      </c>
      <c r="E256" s="21" t="s">
        <v>74</v>
      </c>
      <c r="F256" s="21" t="s">
        <v>49</v>
      </c>
      <c r="G256" s="21" t="s">
        <v>50</v>
      </c>
      <c r="H256" s="21" t="s">
        <v>117</v>
      </c>
      <c r="I256" s="26">
        <v>4</v>
      </c>
      <c r="J256" s="26">
        <v>60</v>
      </c>
      <c r="K256" s="21" t="s">
        <v>52</v>
      </c>
      <c r="L256" s="27">
        <v>1172.24</v>
      </c>
      <c r="M256" s="21"/>
      <c r="N256" s="21"/>
      <c r="O256" s="21" t="s">
        <v>599</v>
      </c>
      <c r="P256" s="21" t="s">
        <v>54</v>
      </c>
      <c r="Q256" s="28">
        <v>46202</v>
      </c>
      <c r="R256" s="29">
        <v>46202.3658333333</v>
      </c>
      <c r="S256" s="21" t="s">
        <v>81</v>
      </c>
      <c r="T256" s="21"/>
      <c r="U256" s="21" t="s">
        <v>82</v>
      </c>
      <c r="V256" s="29">
        <v>46202.365775463</v>
      </c>
      <c r="W256">
        <f>VLOOKUP(H256,物料編碼!A:B,2,0)</f>
        <v>1300607015</v>
      </c>
      <c r="X256">
        <v>1300607</v>
      </c>
      <c r="Y256" t="str">
        <f>VLOOKUP(X256,物料編碼!D:G,4,0)</f>
        <v>帶皮腿扒</v>
      </c>
      <c r="Z256" t="str">
        <f>VLOOKUP(C256,客戶屬性1!A:C,2,0)</f>
        <v>恒辉贸易公司</v>
      </c>
      <c r="AA256">
        <f>IF(COUNTIF($O$1:O256,O256)=1,L256,0)</f>
        <v>0</v>
      </c>
    </row>
    <row r="257" customHeight="1" spans="1:27">
      <c r="A257" s="21" t="s">
        <v>600</v>
      </c>
      <c r="B257" s="21" t="s">
        <v>45</v>
      </c>
      <c r="C257" s="21" t="s">
        <v>72</v>
      </c>
      <c r="D257" s="21" t="s">
        <v>73</v>
      </c>
      <c r="E257" s="21" t="s">
        <v>74</v>
      </c>
      <c r="F257" s="21" t="s">
        <v>49</v>
      </c>
      <c r="G257" s="21" t="s">
        <v>50</v>
      </c>
      <c r="H257" s="21" t="s">
        <v>63</v>
      </c>
      <c r="I257" s="26">
        <v>3</v>
      </c>
      <c r="J257" s="26">
        <v>75</v>
      </c>
      <c r="K257" s="21" t="s">
        <v>52</v>
      </c>
      <c r="L257" s="27">
        <v>2454.9</v>
      </c>
      <c r="M257" s="21"/>
      <c r="N257" s="21"/>
      <c r="O257" s="21" t="s">
        <v>601</v>
      </c>
      <c r="P257" s="21" t="s">
        <v>54</v>
      </c>
      <c r="Q257" s="28">
        <v>46202</v>
      </c>
      <c r="R257" s="29">
        <v>46200.4614814815</v>
      </c>
      <c r="S257" s="21" t="s">
        <v>81</v>
      </c>
      <c r="T257" s="21"/>
      <c r="U257" s="21" t="s">
        <v>82</v>
      </c>
      <c r="V257" s="29">
        <v>46200.4614351852</v>
      </c>
      <c r="W257">
        <f>VLOOKUP(H257,物料編碼!A:B,2,0)</f>
        <v>1300109002</v>
      </c>
      <c r="X257">
        <v>1300109</v>
      </c>
      <c r="Y257" t="str">
        <f>VLOOKUP(X257,物料編碼!D:G,4,0)</f>
        <v>面精肉</v>
      </c>
      <c r="Z257" t="str">
        <f>VLOOKUP(C257,客戶屬性1!A:C,2,0)</f>
        <v>恒辉贸易公司</v>
      </c>
      <c r="AA257">
        <f>IF(COUNTIF($O$1:O257,O257)=1,L257,0)</f>
        <v>2454.9</v>
      </c>
    </row>
    <row r="258" customHeight="1" spans="1:27">
      <c r="A258" s="21" t="s">
        <v>602</v>
      </c>
      <c r="B258" s="21" t="s">
        <v>45</v>
      </c>
      <c r="C258" s="21" t="s">
        <v>46</v>
      </c>
      <c r="D258" s="21" t="s">
        <v>47</v>
      </c>
      <c r="E258" s="21" t="s">
        <v>48</v>
      </c>
      <c r="F258" s="21" t="s">
        <v>49</v>
      </c>
      <c r="G258" s="21" t="s">
        <v>50</v>
      </c>
      <c r="H258" s="21" t="s">
        <v>51</v>
      </c>
      <c r="I258" s="26">
        <v>1</v>
      </c>
      <c r="J258" s="26">
        <v>10</v>
      </c>
      <c r="K258" s="21" t="s">
        <v>52</v>
      </c>
      <c r="L258" s="27">
        <v>129</v>
      </c>
      <c r="M258" s="21"/>
      <c r="N258" s="21"/>
      <c r="O258" s="21" t="s">
        <v>603</v>
      </c>
      <c r="P258" s="21" t="s">
        <v>54</v>
      </c>
      <c r="Q258" s="28">
        <v>46200</v>
      </c>
      <c r="R258" s="29">
        <v>46200.4433796296</v>
      </c>
      <c r="S258" s="21" t="s">
        <v>55</v>
      </c>
      <c r="T258" s="21"/>
      <c r="U258" s="21" t="s">
        <v>47</v>
      </c>
      <c r="V258" s="29">
        <v>46200.4433333333</v>
      </c>
      <c r="W258">
        <f>VLOOKUP(H258,物料編碼!A:B,2,0)</f>
        <v>1300624103</v>
      </c>
      <c r="X258">
        <v>1300624</v>
      </c>
      <c r="Y258" t="str">
        <f>VLOOKUP(X258,物料編碼!D:G,4,0)</f>
        <v>琵琶腿</v>
      </c>
      <c r="Z258" t="str">
        <f>VLOOKUP(C258,客戶屬性1!A:C,2,0)</f>
        <v>明记冻肉</v>
      </c>
      <c r="AA258">
        <f>IF(COUNTIF($O$1:O258,O258)=1,L258,0)</f>
        <v>129</v>
      </c>
    </row>
    <row r="259" customHeight="1" spans="1:27">
      <c r="A259" s="21" t="s">
        <v>604</v>
      </c>
      <c r="B259" s="21" t="s">
        <v>45</v>
      </c>
      <c r="C259" s="21" t="s">
        <v>290</v>
      </c>
      <c r="D259" s="21" t="s">
        <v>291</v>
      </c>
      <c r="E259" s="21" t="s">
        <v>292</v>
      </c>
      <c r="F259" s="21" t="s">
        <v>49</v>
      </c>
      <c r="G259" s="21" t="s">
        <v>50</v>
      </c>
      <c r="H259" s="21" t="s">
        <v>274</v>
      </c>
      <c r="I259" s="26">
        <v>34</v>
      </c>
      <c r="J259" s="26">
        <v>340</v>
      </c>
      <c r="K259" s="21" t="s">
        <v>52</v>
      </c>
      <c r="L259" s="27">
        <v>4221.44</v>
      </c>
      <c r="M259" s="21"/>
      <c r="N259" s="21"/>
      <c r="O259" s="21" t="s">
        <v>605</v>
      </c>
      <c r="P259" s="21" t="s">
        <v>54</v>
      </c>
      <c r="Q259" s="28">
        <v>46200</v>
      </c>
      <c r="R259" s="29">
        <v>46200.4310416667</v>
      </c>
      <c r="S259" s="21" t="s">
        <v>294</v>
      </c>
      <c r="T259" s="21"/>
      <c r="U259" s="21" t="s">
        <v>292</v>
      </c>
      <c r="V259" s="29">
        <v>46200.4309953704</v>
      </c>
      <c r="W259">
        <f>VLOOKUP(H259,物料編碼!A:B,2,0)</f>
        <v>1300626003</v>
      </c>
      <c r="X259">
        <v>1300626</v>
      </c>
      <c r="Y259" t="str">
        <f>VLOOKUP(X259,物料編碼!D:G,4,0)</f>
        <v>翅根</v>
      </c>
      <c r="Z259" t="str">
        <f>VLOOKUP(C259,客戶屬性1!A:C,2,0)</f>
        <v>溢利食品(香港)有限公司</v>
      </c>
      <c r="AA259">
        <f>IF(COUNTIF($O$1:O259,O259)=1,L259,0)</f>
        <v>4221.44</v>
      </c>
    </row>
    <row r="260" customHeight="1" spans="1:27">
      <c r="A260" s="21" t="s">
        <v>606</v>
      </c>
      <c r="B260" s="21" t="s">
        <v>45</v>
      </c>
      <c r="C260" s="21" t="s">
        <v>114</v>
      </c>
      <c r="D260" s="21" t="s">
        <v>115</v>
      </c>
      <c r="E260" s="21" t="s">
        <v>116</v>
      </c>
      <c r="F260" s="21" t="s">
        <v>49</v>
      </c>
      <c r="G260" s="21" t="s">
        <v>100</v>
      </c>
      <c r="H260" s="21" t="s">
        <v>168</v>
      </c>
      <c r="I260" s="26">
        <v>1</v>
      </c>
      <c r="J260" s="26">
        <v>10</v>
      </c>
      <c r="K260" s="21" t="s">
        <v>52</v>
      </c>
      <c r="L260" s="27">
        <v>97</v>
      </c>
      <c r="M260" s="21"/>
      <c r="N260" s="21"/>
      <c r="O260" s="21" t="s">
        <v>607</v>
      </c>
      <c r="P260" s="21" t="s">
        <v>54</v>
      </c>
      <c r="Q260" s="28">
        <v>46202</v>
      </c>
      <c r="R260" s="29">
        <v>46200.3940740741</v>
      </c>
      <c r="S260" s="21" t="s">
        <v>119</v>
      </c>
      <c r="T260" s="21"/>
      <c r="U260" s="21" t="s">
        <v>115</v>
      </c>
      <c r="V260" s="29">
        <v>46200.3940277778</v>
      </c>
      <c r="W260">
        <f>VLOOKUP(H260,物料編碼!A:B,2,0)</f>
        <v>1300627002</v>
      </c>
      <c r="X260">
        <v>1300627</v>
      </c>
      <c r="Y260" t="str">
        <f>VLOOKUP(X260,物料編碼!D:G,4,0)</f>
        <v>翅尖</v>
      </c>
      <c r="Z260" t="str">
        <f>VLOOKUP(C260,客戶屬性1!A:C,2,0)</f>
        <v>骏利贸易公司</v>
      </c>
      <c r="AA260">
        <f>IF(COUNTIF($O$1:O260,O260)=1,L260,0)</f>
        <v>97</v>
      </c>
    </row>
    <row r="261" customHeight="1" spans="1:27">
      <c r="A261" s="21" t="s">
        <v>608</v>
      </c>
      <c r="B261" s="21" t="s">
        <v>45</v>
      </c>
      <c r="C261" s="21" t="s">
        <v>126</v>
      </c>
      <c r="D261" s="21" t="s">
        <v>127</v>
      </c>
      <c r="E261" s="21" t="s">
        <v>128</v>
      </c>
      <c r="F261" s="21" t="s">
        <v>49</v>
      </c>
      <c r="G261" s="21" t="s">
        <v>129</v>
      </c>
      <c r="H261" s="21" t="s">
        <v>117</v>
      </c>
      <c r="I261" s="26">
        <v>20</v>
      </c>
      <c r="J261" s="26">
        <v>300</v>
      </c>
      <c r="K261" s="21" t="s">
        <v>52</v>
      </c>
      <c r="L261" s="27">
        <v>6319.5</v>
      </c>
      <c r="M261" s="21"/>
      <c r="N261" s="21"/>
      <c r="O261" s="21" t="s">
        <v>609</v>
      </c>
      <c r="P261" s="21" t="s">
        <v>54</v>
      </c>
      <c r="Q261" s="28">
        <v>46200</v>
      </c>
      <c r="R261" s="29">
        <v>46200.3878009259</v>
      </c>
      <c r="S261" s="21" t="s">
        <v>131</v>
      </c>
      <c r="T261" s="21"/>
      <c r="U261" s="21" t="s">
        <v>127</v>
      </c>
      <c r="V261" s="29">
        <v>46200.3877546296</v>
      </c>
      <c r="W261">
        <f>VLOOKUP(H261,物料編碼!A:B,2,0)</f>
        <v>1300607015</v>
      </c>
      <c r="X261">
        <v>1300607</v>
      </c>
      <c r="Y261" t="str">
        <f>VLOOKUP(X261,物料編碼!D:G,4,0)</f>
        <v>帶皮腿扒</v>
      </c>
      <c r="Z261" t="str">
        <f>VLOOKUP(C261,客戶屬性1!A:C,2,0)</f>
        <v>福源食品有限公司</v>
      </c>
      <c r="AA261">
        <f>IF(COUNTIF($O$1:O261,O261)=1,L261,0)</f>
        <v>6319.5</v>
      </c>
    </row>
    <row r="262" customHeight="1" spans="1:27">
      <c r="A262" s="21" t="s">
        <v>608</v>
      </c>
      <c r="B262" s="21" t="s">
        <v>45</v>
      </c>
      <c r="C262" s="21" t="s">
        <v>126</v>
      </c>
      <c r="D262" s="21" t="s">
        <v>127</v>
      </c>
      <c r="E262" s="21" t="s">
        <v>128</v>
      </c>
      <c r="F262" s="21" t="s">
        <v>49</v>
      </c>
      <c r="G262" s="21" t="s">
        <v>129</v>
      </c>
      <c r="H262" s="21" t="s">
        <v>75</v>
      </c>
      <c r="I262" s="26">
        <v>10</v>
      </c>
      <c r="J262" s="26">
        <v>150</v>
      </c>
      <c r="K262" s="21" t="s">
        <v>52</v>
      </c>
      <c r="L262" s="27">
        <v>6319.5</v>
      </c>
      <c r="M262" s="21"/>
      <c r="N262" s="21"/>
      <c r="O262" s="21" t="s">
        <v>609</v>
      </c>
      <c r="P262" s="21" t="s">
        <v>54</v>
      </c>
      <c r="Q262" s="28">
        <v>46200</v>
      </c>
      <c r="R262" s="29">
        <v>46200.3878009259</v>
      </c>
      <c r="S262" s="21" t="s">
        <v>131</v>
      </c>
      <c r="T262" s="21"/>
      <c r="U262" s="21" t="s">
        <v>127</v>
      </c>
      <c r="V262" s="29">
        <v>46200.3877546296</v>
      </c>
      <c r="W262">
        <f>VLOOKUP(H262,物料編碼!A:B,2,0)</f>
        <v>1300603040</v>
      </c>
      <c r="X262">
        <v>1300603</v>
      </c>
      <c r="Y262" t="str">
        <f>VLOOKUP(X262,物料編碼!D:G,4,0)</f>
        <v>帶骨全腿</v>
      </c>
      <c r="Z262" t="str">
        <f>VLOOKUP(C262,客戶屬性1!A:C,2,0)</f>
        <v>福源食品有限公司</v>
      </c>
      <c r="AA262">
        <f>IF(COUNTIF($O$1:O262,O262)=1,L262,0)</f>
        <v>0</v>
      </c>
    </row>
    <row r="263" customHeight="1" spans="1:27">
      <c r="A263" s="21" t="s">
        <v>610</v>
      </c>
      <c r="B263" s="21" t="s">
        <v>45</v>
      </c>
      <c r="C263" s="21" t="s">
        <v>72</v>
      </c>
      <c r="D263" s="21" t="s">
        <v>73</v>
      </c>
      <c r="E263" s="21" t="s">
        <v>74</v>
      </c>
      <c r="F263" s="21" t="s">
        <v>49</v>
      </c>
      <c r="G263" s="21" t="s">
        <v>50</v>
      </c>
      <c r="H263" s="21" t="s">
        <v>393</v>
      </c>
      <c r="I263" s="26">
        <v>2</v>
      </c>
      <c r="J263" s="26">
        <v>30</v>
      </c>
      <c r="K263" s="21" t="s">
        <v>52</v>
      </c>
      <c r="L263" s="27">
        <v>443.4</v>
      </c>
      <c r="M263" s="21"/>
      <c r="N263" s="21"/>
      <c r="O263" s="21" t="s">
        <v>611</v>
      </c>
      <c r="P263" s="21" t="s">
        <v>54</v>
      </c>
      <c r="Q263" s="28">
        <v>46200</v>
      </c>
      <c r="R263" s="29">
        <v>46199.6841550926</v>
      </c>
      <c r="S263" s="21" t="s">
        <v>81</v>
      </c>
      <c r="T263" s="21"/>
      <c r="U263" s="21" t="s">
        <v>82</v>
      </c>
      <c r="V263" s="29">
        <v>46199.6840972222</v>
      </c>
      <c r="W263">
        <f>VLOOKUP(H263,物料編碼!A:B,2,0)</f>
        <v>1300607016</v>
      </c>
      <c r="X263">
        <v>1300607</v>
      </c>
      <c r="Y263" t="str">
        <f>VLOOKUP(X263,物料編碼!D:G,4,0)</f>
        <v>帶皮腿扒</v>
      </c>
      <c r="Z263" t="str">
        <f>VLOOKUP(C263,客戶屬性1!A:C,2,0)</f>
        <v>恒辉贸易公司</v>
      </c>
      <c r="AA263">
        <f>IF(COUNTIF($O$1:O263,O263)=1,L263,0)</f>
        <v>443.4</v>
      </c>
    </row>
    <row r="264" customHeight="1" spans="1:27">
      <c r="A264" s="21" t="s">
        <v>612</v>
      </c>
      <c r="B264" s="21" t="s">
        <v>45</v>
      </c>
      <c r="C264" s="21" t="s">
        <v>197</v>
      </c>
      <c r="D264" s="21" t="s">
        <v>198</v>
      </c>
      <c r="E264" s="21" t="s">
        <v>199</v>
      </c>
      <c r="F264" s="21" t="s">
        <v>49</v>
      </c>
      <c r="G264" s="21" t="s">
        <v>136</v>
      </c>
      <c r="H264" s="21" t="s">
        <v>562</v>
      </c>
      <c r="I264" s="26">
        <v>3</v>
      </c>
      <c r="J264" s="26">
        <v>60</v>
      </c>
      <c r="K264" s="21" t="s">
        <v>52</v>
      </c>
      <c r="L264" s="27">
        <v>4365</v>
      </c>
      <c r="M264" s="21"/>
      <c r="N264" s="21"/>
      <c r="O264" s="21" t="s">
        <v>613</v>
      </c>
      <c r="P264" s="21" t="s">
        <v>54</v>
      </c>
      <c r="Q264" s="28">
        <v>46200</v>
      </c>
      <c r="R264" s="29">
        <v>46199.5802777778</v>
      </c>
      <c r="S264" s="21" t="s">
        <v>202</v>
      </c>
      <c r="T264" s="21"/>
      <c r="U264" s="21" t="s">
        <v>203</v>
      </c>
      <c r="V264" s="29">
        <v>46199.5802314815</v>
      </c>
      <c r="W264">
        <f>VLOOKUP(H264,物料編碼!A:B,2,0)</f>
        <v>1300501031</v>
      </c>
      <c r="X264">
        <v>1300501</v>
      </c>
      <c r="Y264" t="str">
        <f>VLOOKUP(X264,物料編碼!D:G,4,0)</f>
        <v>羊排</v>
      </c>
      <c r="Z264" t="str">
        <f>VLOOKUP(C264,客戶屬性1!A:C,2,0)</f>
        <v>信隆(亚洲)有限公司</v>
      </c>
      <c r="AA264">
        <f>IF(COUNTIF($O$1:O264,O264)=1,L264,0)</f>
        <v>4365</v>
      </c>
    </row>
    <row r="265" customHeight="1" spans="1:27">
      <c r="A265" s="21" t="s">
        <v>614</v>
      </c>
      <c r="B265" s="21" t="s">
        <v>45</v>
      </c>
      <c r="C265" s="21" t="s">
        <v>216</v>
      </c>
      <c r="D265" s="21" t="s">
        <v>217</v>
      </c>
      <c r="E265" s="21" t="s">
        <v>218</v>
      </c>
      <c r="F265" s="21" t="s">
        <v>49</v>
      </c>
      <c r="G265" s="21" t="s">
        <v>68</v>
      </c>
      <c r="H265" s="21" t="s">
        <v>553</v>
      </c>
      <c r="I265" s="26">
        <v>1</v>
      </c>
      <c r="J265" s="26">
        <v>20</v>
      </c>
      <c r="K265" s="21" t="s">
        <v>52</v>
      </c>
      <c r="L265" s="27">
        <v>1960.2</v>
      </c>
      <c r="M265" s="21"/>
      <c r="N265" s="21"/>
      <c r="O265" s="21" t="s">
        <v>615</v>
      </c>
      <c r="P265" s="21" t="s">
        <v>54</v>
      </c>
      <c r="Q265" s="28">
        <v>46202</v>
      </c>
      <c r="R265" s="29">
        <v>46199.543599537</v>
      </c>
      <c r="S265" s="21" t="s">
        <v>221</v>
      </c>
      <c r="T265" s="21"/>
      <c r="U265" s="21" t="s">
        <v>222</v>
      </c>
      <c r="V265" s="29">
        <v>46199.5435532407</v>
      </c>
      <c r="W265">
        <f>VLOOKUP(H265,物料編碼!A:B,2,0)</f>
        <v>1300510007</v>
      </c>
      <c r="X265">
        <v>1300510</v>
      </c>
      <c r="Y265" t="str">
        <f>VLOOKUP(X265,物料編碼!D:G,4,0)</f>
        <v>其他</v>
      </c>
      <c r="Z265" t="str">
        <f>VLOOKUP(C265,客戶屬性1!A:C,2,0)</f>
        <v>天恒食品有限公司</v>
      </c>
      <c r="AA265">
        <f>IF(COUNTIF($O$1:O265,O265)=1,L265,0)</f>
        <v>1960.2</v>
      </c>
    </row>
    <row r="266" customHeight="1" spans="1:27">
      <c r="A266" s="21" t="s">
        <v>616</v>
      </c>
      <c r="B266" s="21" t="s">
        <v>45</v>
      </c>
      <c r="C266" s="21" t="s">
        <v>105</v>
      </c>
      <c r="D266" s="21" t="s">
        <v>106</v>
      </c>
      <c r="E266" s="21" t="s">
        <v>107</v>
      </c>
      <c r="F266" s="21" t="s">
        <v>49</v>
      </c>
      <c r="G266" s="21" t="s">
        <v>68</v>
      </c>
      <c r="H266" s="21" t="s">
        <v>60</v>
      </c>
      <c r="I266" s="26">
        <v>4</v>
      </c>
      <c r="J266" s="26">
        <v>100</v>
      </c>
      <c r="K266" s="21" t="s">
        <v>52</v>
      </c>
      <c r="L266" s="27">
        <v>3479</v>
      </c>
      <c r="M266" s="21"/>
      <c r="N266" s="21"/>
      <c r="O266" s="21" t="s">
        <v>617</v>
      </c>
      <c r="P266" s="21" t="s">
        <v>54</v>
      </c>
      <c r="Q266" s="28">
        <v>46202</v>
      </c>
      <c r="R266" s="29">
        <v>46199.502662037</v>
      </c>
      <c r="S266" s="21" t="s">
        <v>109</v>
      </c>
      <c r="T266" s="21"/>
      <c r="U266" s="21" t="s">
        <v>110</v>
      </c>
      <c r="V266" s="29">
        <v>46199.5026157407</v>
      </c>
      <c r="W266">
        <f>VLOOKUP(H266,物料編碼!A:B,2,0)</f>
        <v>1300101043</v>
      </c>
      <c r="X266">
        <v>1300101</v>
      </c>
      <c r="Y266" t="str">
        <f>VLOOKUP(X266,物料編碼!D:G,4,0)</f>
        <v>一號肉</v>
      </c>
      <c r="Z266" t="str">
        <f>VLOOKUP(C266,客戶屬性1!A:C,2,0)</f>
        <v>MING KEE</v>
      </c>
      <c r="AA266">
        <f>IF(COUNTIF($O$1:O266,O266)=1,L266,0)</f>
        <v>3479</v>
      </c>
    </row>
    <row r="267" customHeight="1" spans="1:27">
      <c r="A267" s="21" t="s">
        <v>618</v>
      </c>
      <c r="B267" s="21" t="s">
        <v>45</v>
      </c>
      <c r="C267" s="21" t="s">
        <v>187</v>
      </c>
      <c r="D267" s="21" t="s">
        <v>188</v>
      </c>
      <c r="E267" s="21" t="s">
        <v>189</v>
      </c>
      <c r="F267" s="21" t="s">
        <v>49</v>
      </c>
      <c r="G267" s="21" t="s">
        <v>68</v>
      </c>
      <c r="H267" s="21" t="s">
        <v>283</v>
      </c>
      <c r="I267" s="26">
        <v>2</v>
      </c>
      <c r="J267" s="26">
        <v>50</v>
      </c>
      <c r="K267" s="21" t="s">
        <v>52</v>
      </c>
      <c r="L267" s="27">
        <v>1718.96</v>
      </c>
      <c r="M267" s="21"/>
      <c r="N267" s="21"/>
      <c r="O267" s="21" t="s">
        <v>619</v>
      </c>
      <c r="P267" s="21" t="s">
        <v>54</v>
      </c>
      <c r="Q267" s="28">
        <v>46202</v>
      </c>
      <c r="R267" s="29">
        <v>46199.5018865741</v>
      </c>
      <c r="S267" s="21" t="s">
        <v>192</v>
      </c>
      <c r="T267" s="21"/>
      <c r="U267" s="21" t="s">
        <v>193</v>
      </c>
      <c r="V267" s="29">
        <v>46199.5018402778</v>
      </c>
      <c r="W267">
        <f>VLOOKUP(H267,物料編碼!A:B,2,0)</f>
        <v>1300104005</v>
      </c>
      <c r="X267">
        <v>1300104</v>
      </c>
      <c r="Y267" t="str">
        <f>VLOOKUP(X267,物料編碼!D:G,4,0)</f>
        <v>四號肉</v>
      </c>
      <c r="Z267" t="str">
        <f>VLOOKUP(C267,客戶屬性1!A:C,2,0)</f>
        <v>佳城兴业有限公司/火炭</v>
      </c>
      <c r="AA267">
        <f>IF(COUNTIF($O$1:O267,O267)=1,L267,0)</f>
        <v>1718.96</v>
      </c>
    </row>
    <row r="268" customHeight="1" spans="1:27">
      <c r="A268" s="21" t="s">
        <v>618</v>
      </c>
      <c r="B268" s="21" t="s">
        <v>45</v>
      </c>
      <c r="C268" s="21" t="s">
        <v>187</v>
      </c>
      <c r="D268" s="21" t="s">
        <v>188</v>
      </c>
      <c r="E268" s="21" t="s">
        <v>189</v>
      </c>
      <c r="F268" s="21" t="s">
        <v>49</v>
      </c>
      <c r="G268" s="21" t="s">
        <v>68</v>
      </c>
      <c r="H268" s="21" t="s">
        <v>620</v>
      </c>
      <c r="I268" s="26">
        <v>2</v>
      </c>
      <c r="J268" s="26">
        <v>22.4</v>
      </c>
      <c r="K268" s="21" t="s">
        <v>52</v>
      </c>
      <c r="L268" s="27">
        <v>1718.96</v>
      </c>
      <c r="M268" s="21"/>
      <c r="N268" s="21"/>
      <c r="O268" s="21" t="s">
        <v>619</v>
      </c>
      <c r="P268" s="21" t="s">
        <v>54</v>
      </c>
      <c r="Q268" s="28">
        <v>46202</v>
      </c>
      <c r="R268" s="29">
        <v>46199.5018865741</v>
      </c>
      <c r="S268" s="21" t="s">
        <v>192</v>
      </c>
      <c r="T268" s="21"/>
      <c r="U268" s="21" t="s">
        <v>193</v>
      </c>
      <c r="V268" s="29">
        <v>46199.5018402778</v>
      </c>
      <c r="W268">
        <f>VLOOKUP(H268,物料編碼!A:B,2,0)</f>
        <v>1300901050</v>
      </c>
      <c r="X268">
        <v>1300901</v>
      </c>
      <c r="Y268" t="str">
        <f>VLOOKUP(X268,物料編碼!D:G,4,0)</f>
        <v>整鴨</v>
      </c>
      <c r="Z268" t="str">
        <f>VLOOKUP(C268,客戶屬性1!A:C,2,0)</f>
        <v>佳城兴业有限公司/火炭</v>
      </c>
      <c r="AA268">
        <f>IF(COUNTIF($O$1:O268,O268)=1,L268,0)</f>
        <v>0</v>
      </c>
    </row>
    <row r="269" customHeight="1" spans="1:27">
      <c r="A269" s="21" t="s">
        <v>618</v>
      </c>
      <c r="B269" s="21" t="s">
        <v>45</v>
      </c>
      <c r="C269" s="21" t="s">
        <v>187</v>
      </c>
      <c r="D269" s="21" t="s">
        <v>188</v>
      </c>
      <c r="E269" s="21" t="s">
        <v>189</v>
      </c>
      <c r="F269" s="21" t="s">
        <v>49</v>
      </c>
      <c r="G269" s="21" t="s">
        <v>68</v>
      </c>
      <c r="H269" s="21" t="s">
        <v>111</v>
      </c>
      <c r="I269" s="26">
        <v>2</v>
      </c>
      <c r="J269" s="27">
        <v>64</v>
      </c>
      <c r="K269" s="21" t="s">
        <v>112</v>
      </c>
      <c r="L269" s="27">
        <v>1718.96</v>
      </c>
      <c r="M269" s="21"/>
      <c r="N269" s="21"/>
      <c r="O269" s="21" t="s">
        <v>619</v>
      </c>
      <c r="P269" s="21" t="s">
        <v>54</v>
      </c>
      <c r="Q269" s="28">
        <v>46202</v>
      </c>
      <c r="R269" s="29">
        <v>46199.5018865741</v>
      </c>
      <c r="S269" s="21" t="s">
        <v>192</v>
      </c>
      <c r="T269" s="21"/>
      <c r="U269" s="21" t="s">
        <v>193</v>
      </c>
      <c r="V269" s="29">
        <v>46199.5018402778</v>
      </c>
      <c r="W269">
        <f>VLOOKUP(H269,物料編碼!A:B,2,0)</f>
        <v>1310501001</v>
      </c>
      <c r="X269">
        <v>1310501</v>
      </c>
      <c r="Y269" t="str">
        <f>VLOOKUP(X269,物料編碼!D:G,4,0)</f>
        <v>腸類.雞肉腸</v>
      </c>
      <c r="Z269" t="str">
        <f>VLOOKUP(C269,客戶屬性1!A:C,2,0)</f>
        <v>佳城兴业有限公司/火炭</v>
      </c>
      <c r="AA269">
        <f>IF(COUNTIF($O$1:O269,O269)=1,L269,0)</f>
        <v>0</v>
      </c>
    </row>
    <row r="270" customHeight="1" spans="1:27">
      <c r="A270" s="21" t="s">
        <v>621</v>
      </c>
      <c r="B270" s="21" t="s">
        <v>45</v>
      </c>
      <c r="C270" s="21" t="s">
        <v>114</v>
      </c>
      <c r="D270" s="21" t="s">
        <v>115</v>
      </c>
      <c r="E270" s="21" t="s">
        <v>116</v>
      </c>
      <c r="F270" s="21" t="s">
        <v>49</v>
      </c>
      <c r="G270" s="21" t="s">
        <v>100</v>
      </c>
      <c r="H270" s="21" t="s">
        <v>168</v>
      </c>
      <c r="I270" s="26">
        <v>1</v>
      </c>
      <c r="J270" s="26">
        <v>10</v>
      </c>
      <c r="K270" s="21" t="s">
        <v>52</v>
      </c>
      <c r="L270" s="27">
        <v>97</v>
      </c>
      <c r="M270" s="21"/>
      <c r="N270" s="21"/>
      <c r="O270" s="21" t="s">
        <v>622</v>
      </c>
      <c r="P270" s="21" t="s">
        <v>54</v>
      </c>
      <c r="Q270" s="28">
        <v>46200</v>
      </c>
      <c r="R270" s="29">
        <v>46199.4940393519</v>
      </c>
      <c r="S270" s="21" t="s">
        <v>119</v>
      </c>
      <c r="T270" s="21"/>
      <c r="U270" s="21" t="s">
        <v>115</v>
      </c>
      <c r="V270" s="29">
        <v>46199.4940046296</v>
      </c>
      <c r="W270">
        <f>VLOOKUP(H270,物料編碼!A:B,2,0)</f>
        <v>1300627002</v>
      </c>
      <c r="X270">
        <v>1300627</v>
      </c>
      <c r="Y270" t="str">
        <f>VLOOKUP(X270,物料編碼!D:G,4,0)</f>
        <v>翅尖</v>
      </c>
      <c r="Z270" t="str">
        <f>VLOOKUP(C270,客戶屬性1!A:C,2,0)</f>
        <v>骏利贸易公司</v>
      </c>
      <c r="AA270">
        <f>IF(COUNTIF($O$1:O270,O270)=1,L270,0)</f>
        <v>97</v>
      </c>
    </row>
    <row r="271" customHeight="1" spans="1:27">
      <c r="A271" s="21" t="s">
        <v>623</v>
      </c>
      <c r="B271" s="21" t="s">
        <v>45</v>
      </c>
      <c r="C271" s="21" t="s">
        <v>72</v>
      </c>
      <c r="D271" s="21" t="s">
        <v>73</v>
      </c>
      <c r="E271" s="21" t="s">
        <v>74</v>
      </c>
      <c r="F271" s="21" t="s">
        <v>49</v>
      </c>
      <c r="G271" s="21" t="s">
        <v>50</v>
      </c>
      <c r="H271" s="21" t="s">
        <v>75</v>
      </c>
      <c r="I271" s="26">
        <v>1</v>
      </c>
      <c r="J271" s="26">
        <v>15</v>
      </c>
      <c r="K271" s="21" t="s">
        <v>52</v>
      </c>
      <c r="L271" s="27">
        <v>188.55</v>
      </c>
      <c r="M271" s="21"/>
      <c r="N271" s="21"/>
      <c r="O271" s="21" t="s">
        <v>624</v>
      </c>
      <c r="P271" s="21" t="s">
        <v>54</v>
      </c>
      <c r="Q271" s="28">
        <v>46200</v>
      </c>
      <c r="R271" s="29">
        <v>46199.4878703704</v>
      </c>
      <c r="S271" s="21" t="s">
        <v>77</v>
      </c>
      <c r="T271" s="21"/>
      <c r="U271" s="21" t="s">
        <v>74</v>
      </c>
      <c r="V271" s="29">
        <v>46199.4878240741</v>
      </c>
      <c r="W271">
        <f>VLOOKUP(H271,物料編碼!A:B,2,0)</f>
        <v>1300603040</v>
      </c>
      <c r="X271">
        <v>1300603</v>
      </c>
      <c r="Y271" t="str">
        <f>VLOOKUP(X271,物料編碼!D:G,4,0)</f>
        <v>帶骨全腿</v>
      </c>
      <c r="Z271" t="str">
        <f>VLOOKUP(C271,客戶屬性1!A:C,2,0)</f>
        <v>恒辉贸易公司</v>
      </c>
      <c r="AA271">
        <f>IF(COUNTIF($O$1:O271,O271)=1,L271,0)</f>
        <v>188.55</v>
      </c>
    </row>
    <row r="272" customHeight="1" spans="1:27">
      <c r="A272" s="21" t="s">
        <v>625</v>
      </c>
      <c r="B272" s="21" t="s">
        <v>45</v>
      </c>
      <c r="C272" s="21" t="s">
        <v>72</v>
      </c>
      <c r="D272" s="21" t="s">
        <v>73</v>
      </c>
      <c r="E272" s="21" t="s">
        <v>74</v>
      </c>
      <c r="F272" s="21" t="s">
        <v>49</v>
      </c>
      <c r="G272" s="21" t="s">
        <v>50</v>
      </c>
      <c r="H272" s="21" t="s">
        <v>393</v>
      </c>
      <c r="I272" s="26">
        <v>2</v>
      </c>
      <c r="J272" s="26">
        <v>30</v>
      </c>
      <c r="K272" s="21" t="s">
        <v>52</v>
      </c>
      <c r="L272" s="27">
        <v>443.4</v>
      </c>
      <c r="M272" s="21"/>
      <c r="N272" s="21"/>
      <c r="O272" s="21" t="s">
        <v>626</v>
      </c>
      <c r="P272" s="21" t="s">
        <v>54</v>
      </c>
      <c r="Q272" s="28">
        <v>46199</v>
      </c>
      <c r="R272" s="29">
        <v>46199.4512152778</v>
      </c>
      <c r="S272" s="21" t="s">
        <v>77</v>
      </c>
      <c r="T272" s="21"/>
      <c r="U272" s="21" t="s">
        <v>74</v>
      </c>
      <c r="V272" s="29">
        <v>46199.4511689815</v>
      </c>
      <c r="W272">
        <f>VLOOKUP(H272,物料編碼!A:B,2,0)</f>
        <v>1300607016</v>
      </c>
      <c r="X272">
        <v>1300607</v>
      </c>
      <c r="Y272" t="str">
        <f>VLOOKUP(X272,物料編碼!D:G,4,0)</f>
        <v>帶皮腿扒</v>
      </c>
      <c r="Z272" t="str">
        <f>VLOOKUP(C272,客戶屬性1!A:C,2,0)</f>
        <v>恒辉贸易公司</v>
      </c>
      <c r="AA272">
        <f>IF(COUNTIF($O$1:O272,O272)=1,L272,0)</f>
        <v>443.4</v>
      </c>
    </row>
    <row r="273" customHeight="1" spans="1:27">
      <c r="A273" s="21" t="s">
        <v>627</v>
      </c>
      <c r="B273" s="21" t="s">
        <v>45</v>
      </c>
      <c r="C273" s="21" t="s">
        <v>72</v>
      </c>
      <c r="D273" s="21" t="s">
        <v>73</v>
      </c>
      <c r="E273" s="21" t="s">
        <v>74</v>
      </c>
      <c r="F273" s="21" t="s">
        <v>49</v>
      </c>
      <c r="G273" s="21" t="s">
        <v>50</v>
      </c>
      <c r="H273" s="21" t="s">
        <v>190</v>
      </c>
      <c r="I273" s="26">
        <v>2</v>
      </c>
      <c r="J273" s="26">
        <v>24</v>
      </c>
      <c r="K273" s="21" t="s">
        <v>52</v>
      </c>
      <c r="L273" s="27">
        <v>379.2</v>
      </c>
      <c r="M273" s="21"/>
      <c r="N273" s="21"/>
      <c r="O273" s="21" t="s">
        <v>628</v>
      </c>
      <c r="P273" s="21" t="s">
        <v>54</v>
      </c>
      <c r="Q273" s="28">
        <v>46199</v>
      </c>
      <c r="R273" s="29">
        <v>46199.391400463</v>
      </c>
      <c r="S273" s="21" t="s">
        <v>77</v>
      </c>
      <c r="T273" s="21"/>
      <c r="U273" s="21" t="s">
        <v>74</v>
      </c>
      <c r="V273" s="29">
        <v>46199.3913541667</v>
      </c>
      <c r="W273">
        <f>VLOOKUP(H273,物料編碼!A:B,2,0)</f>
        <v>1300609001</v>
      </c>
      <c r="X273">
        <v>1300609</v>
      </c>
      <c r="Y273" t="str">
        <f>VLOOKUP(X273,物料編碼!D:G,4,0)</f>
        <v>去皮上腿肉</v>
      </c>
      <c r="Z273" t="str">
        <f>VLOOKUP(C273,客戶屬性1!A:C,2,0)</f>
        <v>恒辉贸易公司</v>
      </c>
      <c r="AA273">
        <f>IF(COUNTIF($O$1:O273,O273)=1,L273,0)</f>
        <v>379.2</v>
      </c>
    </row>
    <row r="274" customHeight="1" spans="1:27">
      <c r="A274" s="21" t="s">
        <v>629</v>
      </c>
      <c r="B274" s="21" t="s">
        <v>45</v>
      </c>
      <c r="C274" s="21" t="s">
        <v>72</v>
      </c>
      <c r="D274" s="21" t="s">
        <v>73</v>
      </c>
      <c r="E274" s="21" t="s">
        <v>74</v>
      </c>
      <c r="F274" s="21" t="s">
        <v>49</v>
      </c>
      <c r="G274" s="21" t="s">
        <v>50</v>
      </c>
      <c r="H274" s="21" t="s">
        <v>450</v>
      </c>
      <c r="I274" s="26">
        <v>1</v>
      </c>
      <c r="J274" s="26">
        <v>20</v>
      </c>
      <c r="K274" s="21" t="s">
        <v>52</v>
      </c>
      <c r="L274" s="27">
        <v>1623.6</v>
      </c>
      <c r="M274" s="21"/>
      <c r="N274" s="21"/>
      <c r="O274" s="21" t="s">
        <v>630</v>
      </c>
      <c r="P274" s="21" t="s">
        <v>54</v>
      </c>
      <c r="Q274" s="28">
        <v>46199</v>
      </c>
      <c r="R274" s="29">
        <v>46199.3695833333</v>
      </c>
      <c r="S274" s="21" t="s">
        <v>81</v>
      </c>
      <c r="T274" s="21"/>
      <c r="U274" s="21" t="s">
        <v>82</v>
      </c>
      <c r="V274" s="29">
        <v>46199.369525463</v>
      </c>
      <c r="W274">
        <f>VLOOKUP(H274,物料編碼!A:B,2,0)</f>
        <v>1300501019</v>
      </c>
      <c r="X274">
        <v>1300501</v>
      </c>
      <c r="Y274" t="str">
        <f>VLOOKUP(X274,物料編碼!D:G,4,0)</f>
        <v>羊排</v>
      </c>
      <c r="Z274" t="str">
        <f>VLOOKUP(C274,客戶屬性1!A:C,2,0)</f>
        <v>恒辉贸易公司</v>
      </c>
      <c r="AA274">
        <f>IF(COUNTIF($O$1:O274,O274)=1,L274,0)</f>
        <v>1623.6</v>
      </c>
    </row>
    <row r="275" customHeight="1" spans="1:27">
      <c r="A275" s="21" t="s">
        <v>631</v>
      </c>
      <c r="B275" s="21" t="s">
        <v>45</v>
      </c>
      <c r="C275" s="21" t="s">
        <v>158</v>
      </c>
      <c r="D275" s="21" t="s">
        <v>159</v>
      </c>
      <c r="E275" s="21" t="s">
        <v>160</v>
      </c>
      <c r="F275" s="21" t="s">
        <v>49</v>
      </c>
      <c r="G275" s="21" t="s">
        <v>68</v>
      </c>
      <c r="H275" s="21" t="s">
        <v>179</v>
      </c>
      <c r="I275" s="26">
        <v>3</v>
      </c>
      <c r="J275" s="26">
        <v>75</v>
      </c>
      <c r="K275" s="21" t="s">
        <v>52</v>
      </c>
      <c r="L275" s="27">
        <v>2413.12</v>
      </c>
      <c r="M275" s="21"/>
      <c r="N275" s="21"/>
      <c r="O275" s="21" t="s">
        <v>632</v>
      </c>
      <c r="P275" s="21" t="s">
        <v>54</v>
      </c>
      <c r="Q275" s="28">
        <v>46199</v>
      </c>
      <c r="R275" s="29">
        <v>46198.535462963</v>
      </c>
      <c r="S275" s="21" t="s">
        <v>163</v>
      </c>
      <c r="T275" s="21"/>
      <c r="U275" s="21" t="s">
        <v>164</v>
      </c>
      <c r="V275" s="29">
        <v>46198.5354166667</v>
      </c>
      <c r="W275">
        <f>VLOOKUP(H275,物料編碼!A:B,2,0)</f>
        <v>1300109012</v>
      </c>
      <c r="X275">
        <v>1300109</v>
      </c>
      <c r="Y275" t="str">
        <f>VLOOKUP(X275,物料編碼!D:G,4,0)</f>
        <v>面精肉</v>
      </c>
      <c r="Z275" t="str">
        <f>VLOOKUP(C275,客戶屬性1!A:C,2,0)</f>
        <v>先进食品国际有限公司</v>
      </c>
      <c r="AA275">
        <f>IF(COUNTIF($O$1:O275,O275)=1,L275,0)</f>
        <v>2413.12</v>
      </c>
    </row>
    <row r="276" customHeight="1" spans="1:27">
      <c r="A276" s="21" t="s">
        <v>633</v>
      </c>
      <c r="B276" s="21" t="s">
        <v>45</v>
      </c>
      <c r="C276" s="21" t="s">
        <v>158</v>
      </c>
      <c r="D276" s="21" t="s">
        <v>159</v>
      </c>
      <c r="E276" s="21" t="s">
        <v>160</v>
      </c>
      <c r="F276" s="21" t="s">
        <v>49</v>
      </c>
      <c r="G276" s="21" t="s">
        <v>68</v>
      </c>
      <c r="H276" s="21" t="s">
        <v>179</v>
      </c>
      <c r="I276" s="26">
        <v>3</v>
      </c>
      <c r="J276" s="26">
        <v>75</v>
      </c>
      <c r="K276" s="21" t="s">
        <v>52</v>
      </c>
      <c r="L276" s="27">
        <v>2413.12</v>
      </c>
      <c r="M276" s="21"/>
      <c r="N276" s="21"/>
      <c r="O276" s="21" t="s">
        <v>634</v>
      </c>
      <c r="P276" s="21" t="s">
        <v>183</v>
      </c>
      <c r="Q276" s="28">
        <v>46199</v>
      </c>
      <c r="R276" s="29">
        <v>46198.5193865741</v>
      </c>
      <c r="S276" s="21" t="s">
        <v>163</v>
      </c>
      <c r="T276" s="21"/>
      <c r="U276" s="21" t="s">
        <v>164</v>
      </c>
      <c r="V276" s="29">
        <v>46198.5193402778</v>
      </c>
      <c r="W276">
        <f>VLOOKUP(H276,物料編碼!A:B,2,0)</f>
        <v>1300109012</v>
      </c>
      <c r="X276">
        <v>1300109</v>
      </c>
      <c r="Y276" t="str">
        <f>VLOOKUP(X276,物料編碼!D:G,4,0)</f>
        <v>面精肉</v>
      </c>
      <c r="Z276" t="str">
        <f>VLOOKUP(C276,客戶屬性1!A:C,2,0)</f>
        <v>先进食品国际有限公司</v>
      </c>
      <c r="AA276">
        <f>IF(COUNTIF($O$1:O276,O276)=1,L276,0)</f>
        <v>2413.12</v>
      </c>
    </row>
    <row r="277" customHeight="1" spans="1:27">
      <c r="A277" s="21" t="s">
        <v>635</v>
      </c>
      <c r="B277" s="21" t="s">
        <v>45</v>
      </c>
      <c r="C277" s="21" t="s">
        <v>141</v>
      </c>
      <c r="D277" s="21" t="s">
        <v>142</v>
      </c>
      <c r="E277" s="21" t="s">
        <v>142</v>
      </c>
      <c r="F277" s="21" t="s">
        <v>143</v>
      </c>
      <c r="G277" s="21" t="s">
        <v>100</v>
      </c>
      <c r="H277" s="21" t="s">
        <v>298</v>
      </c>
      <c r="I277" s="26">
        <v>1</v>
      </c>
      <c r="J277" s="26">
        <v>10</v>
      </c>
      <c r="K277" s="21" t="s">
        <v>52</v>
      </c>
      <c r="L277" s="27">
        <v>1160.1</v>
      </c>
      <c r="M277" s="21"/>
      <c r="N277" s="21"/>
      <c r="O277" s="21" t="s">
        <v>636</v>
      </c>
      <c r="P277" s="21" t="s">
        <v>54</v>
      </c>
      <c r="Q277" s="28">
        <v>46199</v>
      </c>
      <c r="R277" s="29">
        <v>46198.4763310185</v>
      </c>
      <c r="S277" s="21" t="s">
        <v>145</v>
      </c>
      <c r="T277" s="21"/>
      <c r="U277" s="21" t="s">
        <v>142</v>
      </c>
      <c r="V277" s="29">
        <v>46198.4762847222</v>
      </c>
      <c r="W277">
        <f>VLOOKUP(H277,物料編碼!A:B,2,0)</f>
        <v>1300111003</v>
      </c>
      <c r="X277">
        <v>1300111</v>
      </c>
      <c r="Y277" t="str">
        <f>VLOOKUP(X277,物料編碼!D:G,4,0)</f>
        <v>寸骨</v>
      </c>
      <c r="Z277" t="str">
        <f>VLOOKUP(C277,客戶屬性1!A:C,2,0)</f>
        <v>新昌冻肉</v>
      </c>
      <c r="AA277">
        <f>IF(COUNTIF($O$1:O277,O277)=1,L277,0)</f>
        <v>1160.1</v>
      </c>
    </row>
    <row r="278" customHeight="1" spans="1:27">
      <c r="A278" s="21" t="s">
        <v>635</v>
      </c>
      <c r="B278" s="21" t="s">
        <v>45</v>
      </c>
      <c r="C278" s="21" t="s">
        <v>141</v>
      </c>
      <c r="D278" s="21" t="s">
        <v>142</v>
      </c>
      <c r="E278" s="21" t="s">
        <v>142</v>
      </c>
      <c r="F278" s="21" t="s">
        <v>143</v>
      </c>
      <c r="G278" s="21" t="s">
        <v>100</v>
      </c>
      <c r="H278" s="21" t="s">
        <v>117</v>
      </c>
      <c r="I278" s="26">
        <v>3</v>
      </c>
      <c r="J278" s="26">
        <v>45</v>
      </c>
      <c r="K278" s="21" t="s">
        <v>52</v>
      </c>
      <c r="L278" s="27">
        <v>1160.1</v>
      </c>
      <c r="M278" s="21"/>
      <c r="N278" s="21"/>
      <c r="O278" s="21" t="s">
        <v>636</v>
      </c>
      <c r="P278" s="21" t="s">
        <v>54</v>
      </c>
      <c r="Q278" s="28">
        <v>46199</v>
      </c>
      <c r="R278" s="29">
        <v>46198.4763310185</v>
      </c>
      <c r="S278" s="21" t="s">
        <v>145</v>
      </c>
      <c r="T278" s="21"/>
      <c r="U278" s="21" t="s">
        <v>142</v>
      </c>
      <c r="V278" s="29">
        <v>46198.4762847222</v>
      </c>
      <c r="W278">
        <f>VLOOKUP(H278,物料編碼!A:B,2,0)</f>
        <v>1300607015</v>
      </c>
      <c r="X278">
        <v>1300607</v>
      </c>
      <c r="Y278" t="str">
        <f>VLOOKUP(X278,物料編碼!D:G,4,0)</f>
        <v>帶皮腿扒</v>
      </c>
      <c r="Z278" t="str">
        <f>VLOOKUP(C278,客戶屬性1!A:C,2,0)</f>
        <v>新昌冻肉</v>
      </c>
      <c r="AA278">
        <f>IF(COUNTIF($O$1:O278,O278)=1,L278,0)</f>
        <v>0</v>
      </c>
    </row>
    <row r="279" customHeight="1" spans="1:27">
      <c r="A279" s="21" t="s">
        <v>637</v>
      </c>
      <c r="B279" s="21" t="s">
        <v>45</v>
      </c>
      <c r="C279" s="21" t="s">
        <v>126</v>
      </c>
      <c r="D279" s="21" t="s">
        <v>127</v>
      </c>
      <c r="E279" s="21" t="s">
        <v>128</v>
      </c>
      <c r="F279" s="21" t="s">
        <v>49</v>
      </c>
      <c r="G279" s="21" t="s">
        <v>129</v>
      </c>
      <c r="H279" s="21" t="s">
        <v>117</v>
      </c>
      <c r="I279" s="26">
        <v>5</v>
      </c>
      <c r="J279" s="26">
        <v>75</v>
      </c>
      <c r="K279" s="21" t="s">
        <v>52</v>
      </c>
      <c r="L279" s="27">
        <v>1108.5</v>
      </c>
      <c r="M279" s="21"/>
      <c r="N279" s="21"/>
      <c r="O279" s="21" t="s">
        <v>638</v>
      </c>
      <c r="P279" s="21" t="s">
        <v>54</v>
      </c>
      <c r="Q279" s="28">
        <v>46198</v>
      </c>
      <c r="R279" s="29">
        <v>46198.4028356482</v>
      </c>
      <c r="S279" s="21" t="s">
        <v>131</v>
      </c>
      <c r="T279" s="21"/>
      <c r="U279" s="21" t="s">
        <v>127</v>
      </c>
      <c r="V279" s="29">
        <v>46198.4027893519</v>
      </c>
      <c r="W279">
        <f>VLOOKUP(H279,物料編碼!A:B,2,0)</f>
        <v>1300607015</v>
      </c>
      <c r="X279">
        <v>1300607</v>
      </c>
      <c r="Y279" t="str">
        <f>VLOOKUP(X279,物料編碼!D:G,4,0)</f>
        <v>帶皮腿扒</v>
      </c>
      <c r="Z279" t="str">
        <f>VLOOKUP(C279,客戶屬性1!A:C,2,0)</f>
        <v>福源食品有限公司</v>
      </c>
      <c r="AA279">
        <f>IF(COUNTIF($O$1:O279,O279)=1,L279,0)</f>
        <v>1108.5</v>
      </c>
    </row>
    <row r="280" customHeight="1" spans="1:27">
      <c r="A280" s="21" t="s">
        <v>639</v>
      </c>
      <c r="B280" s="21" t="s">
        <v>45</v>
      </c>
      <c r="C280" s="21" t="s">
        <v>72</v>
      </c>
      <c r="D280" s="21" t="s">
        <v>73</v>
      </c>
      <c r="E280" s="21" t="s">
        <v>74</v>
      </c>
      <c r="F280" s="21" t="s">
        <v>49</v>
      </c>
      <c r="G280" s="21" t="s">
        <v>50</v>
      </c>
      <c r="H280" s="21" t="s">
        <v>78</v>
      </c>
      <c r="I280" s="26">
        <v>8</v>
      </c>
      <c r="J280" s="26">
        <v>120</v>
      </c>
      <c r="K280" s="21" t="s">
        <v>52</v>
      </c>
      <c r="L280" s="27">
        <v>1773.6</v>
      </c>
      <c r="M280" s="21"/>
      <c r="N280" s="21"/>
      <c r="O280" s="21" t="s">
        <v>640</v>
      </c>
      <c r="P280" s="21" t="s">
        <v>54</v>
      </c>
      <c r="Q280" s="28">
        <v>46198</v>
      </c>
      <c r="R280" s="29">
        <v>46198.4008449074</v>
      </c>
      <c r="S280" s="21" t="s">
        <v>77</v>
      </c>
      <c r="T280" s="21"/>
      <c r="U280" s="21" t="s">
        <v>74</v>
      </c>
      <c r="V280" s="29">
        <v>46198.400787037</v>
      </c>
      <c r="W280">
        <f>VLOOKUP(H280,物料編碼!A:B,2,0)</f>
        <v>1300607014</v>
      </c>
      <c r="X280">
        <v>1300607</v>
      </c>
      <c r="Y280" t="str">
        <f>VLOOKUP(X280,物料編碼!D:G,4,0)</f>
        <v>帶皮腿扒</v>
      </c>
      <c r="Z280" t="str">
        <f>VLOOKUP(C280,客戶屬性1!A:C,2,0)</f>
        <v>恒辉贸易公司</v>
      </c>
      <c r="AA280">
        <f>IF(COUNTIF($O$1:O280,O280)=1,L280,0)</f>
        <v>1773.6</v>
      </c>
    </row>
    <row r="281" customHeight="1" spans="1:27">
      <c r="A281" s="21" t="s">
        <v>641</v>
      </c>
      <c r="B281" s="21" t="s">
        <v>45</v>
      </c>
      <c r="C281" s="21" t="s">
        <v>197</v>
      </c>
      <c r="D281" s="21" t="s">
        <v>198</v>
      </c>
      <c r="E281" s="21" t="s">
        <v>199</v>
      </c>
      <c r="F281" s="21" t="s">
        <v>49</v>
      </c>
      <c r="G281" s="21" t="s">
        <v>136</v>
      </c>
      <c r="H281" s="21" t="s">
        <v>63</v>
      </c>
      <c r="I281" s="26">
        <v>5</v>
      </c>
      <c r="J281" s="26">
        <v>125</v>
      </c>
      <c r="K281" s="21" t="s">
        <v>52</v>
      </c>
      <c r="L281" s="27">
        <v>4049.75</v>
      </c>
      <c r="M281" s="21"/>
      <c r="N281" s="21"/>
      <c r="O281" s="21" t="s">
        <v>642</v>
      </c>
      <c r="P281" s="21" t="s">
        <v>54</v>
      </c>
      <c r="Q281" s="28">
        <v>46198</v>
      </c>
      <c r="R281" s="29">
        <v>46197.542349537</v>
      </c>
      <c r="S281" s="21" t="s">
        <v>202</v>
      </c>
      <c r="T281" s="21"/>
      <c r="U281" s="21" t="s">
        <v>203</v>
      </c>
      <c r="V281" s="29">
        <v>46197.5423032407</v>
      </c>
      <c r="W281">
        <f>VLOOKUP(H281,物料編碼!A:B,2,0)</f>
        <v>1300109002</v>
      </c>
      <c r="X281">
        <v>1300109</v>
      </c>
      <c r="Y281" t="str">
        <f>VLOOKUP(X281,物料編碼!D:G,4,0)</f>
        <v>面精肉</v>
      </c>
      <c r="Z281" t="str">
        <f>VLOOKUP(C281,客戶屬性1!A:C,2,0)</f>
        <v>信隆(亚洲)有限公司</v>
      </c>
      <c r="AA281">
        <f>IF(COUNTIF($O$1:O281,O281)=1,L281,0)</f>
        <v>4049.75</v>
      </c>
    </row>
    <row r="282" customHeight="1" spans="1:27">
      <c r="A282" s="21" t="s">
        <v>643</v>
      </c>
      <c r="B282" s="21" t="s">
        <v>45</v>
      </c>
      <c r="C282" s="21" t="s">
        <v>644</v>
      </c>
      <c r="D282" s="21" t="s">
        <v>645</v>
      </c>
      <c r="E282" s="21" t="s">
        <v>646</v>
      </c>
      <c r="F282" s="21" t="s">
        <v>49</v>
      </c>
      <c r="G282" s="21" t="s">
        <v>50</v>
      </c>
      <c r="H282" s="21" t="s">
        <v>60</v>
      </c>
      <c r="I282" s="26">
        <v>10</v>
      </c>
      <c r="J282" s="26">
        <v>250</v>
      </c>
      <c r="K282" s="21" t="s">
        <v>52</v>
      </c>
      <c r="L282" s="27">
        <v>8608.75</v>
      </c>
      <c r="M282" s="21"/>
      <c r="N282" s="21"/>
      <c r="O282" s="21" t="s">
        <v>647</v>
      </c>
      <c r="P282" s="21" t="s">
        <v>54</v>
      </c>
      <c r="Q282" s="28">
        <v>46198</v>
      </c>
      <c r="R282" s="29">
        <v>46197.5096990741</v>
      </c>
      <c r="S282" s="21" t="s">
        <v>648</v>
      </c>
      <c r="T282" s="21"/>
      <c r="U282" s="21" t="s">
        <v>645</v>
      </c>
      <c r="V282" s="29">
        <v>46197.5096527778</v>
      </c>
      <c r="W282">
        <f>VLOOKUP(H282,物料編碼!A:B,2,0)</f>
        <v>1300101043</v>
      </c>
      <c r="X282">
        <v>1300101</v>
      </c>
      <c r="Y282" t="str">
        <f>VLOOKUP(X282,物料編碼!D:G,4,0)</f>
        <v>一號肉</v>
      </c>
      <c r="Z282" t="str">
        <f>VLOOKUP(C282,客戶屬性1!A:C,2,0)</f>
        <v>兴利号食品有限公司</v>
      </c>
      <c r="AA282">
        <f>IF(COUNTIF($O$1:O282,O282)=1,L282,0)</f>
        <v>8608.75</v>
      </c>
    </row>
    <row r="283" customHeight="1" spans="1:27">
      <c r="A283" s="21" t="s">
        <v>649</v>
      </c>
      <c r="B283" s="21" t="s">
        <v>45</v>
      </c>
      <c r="C283" s="21" t="s">
        <v>114</v>
      </c>
      <c r="D283" s="21" t="s">
        <v>115</v>
      </c>
      <c r="E283" s="21" t="s">
        <v>116</v>
      </c>
      <c r="F283" s="21" t="s">
        <v>49</v>
      </c>
      <c r="G283" s="21" t="s">
        <v>100</v>
      </c>
      <c r="H283" s="21" t="s">
        <v>168</v>
      </c>
      <c r="I283" s="26">
        <v>1</v>
      </c>
      <c r="J283" s="26">
        <v>10</v>
      </c>
      <c r="K283" s="21" t="s">
        <v>52</v>
      </c>
      <c r="L283" s="27">
        <v>97</v>
      </c>
      <c r="M283" s="21"/>
      <c r="N283" s="21"/>
      <c r="O283" s="21" t="s">
        <v>650</v>
      </c>
      <c r="P283" s="21" t="s">
        <v>54</v>
      </c>
      <c r="Q283" s="28">
        <v>46198</v>
      </c>
      <c r="R283" s="29">
        <v>46197.5016319444</v>
      </c>
      <c r="S283" s="21" t="s">
        <v>119</v>
      </c>
      <c r="T283" s="21"/>
      <c r="U283" s="21" t="s">
        <v>115</v>
      </c>
      <c r="V283" s="29">
        <v>46197.5015856481</v>
      </c>
      <c r="W283">
        <f>VLOOKUP(H283,物料編碼!A:B,2,0)</f>
        <v>1300627002</v>
      </c>
      <c r="X283">
        <v>1300627</v>
      </c>
      <c r="Y283" t="str">
        <f>VLOOKUP(X283,物料編碼!D:G,4,0)</f>
        <v>翅尖</v>
      </c>
      <c r="Z283" t="str">
        <f>VLOOKUP(C283,客戶屬性1!A:C,2,0)</f>
        <v>骏利贸易公司</v>
      </c>
      <c r="AA283">
        <f>IF(COUNTIF($O$1:O283,O283)=1,L283,0)</f>
        <v>97</v>
      </c>
    </row>
    <row r="284" customHeight="1" spans="1:27">
      <c r="A284" s="21" t="s">
        <v>651</v>
      </c>
      <c r="B284" s="21" t="s">
        <v>45</v>
      </c>
      <c r="C284" s="21" t="s">
        <v>216</v>
      </c>
      <c r="D284" s="21" t="s">
        <v>217</v>
      </c>
      <c r="E284" s="21" t="s">
        <v>218</v>
      </c>
      <c r="F284" s="21" t="s">
        <v>49</v>
      </c>
      <c r="G284" s="21" t="s">
        <v>68</v>
      </c>
      <c r="H284" s="21" t="s">
        <v>267</v>
      </c>
      <c r="I284" s="26">
        <v>1</v>
      </c>
      <c r="J284" s="26">
        <v>20</v>
      </c>
      <c r="K284" s="21" t="s">
        <v>52</v>
      </c>
      <c r="L284" s="27">
        <v>1188</v>
      </c>
      <c r="M284" s="21"/>
      <c r="N284" s="21"/>
      <c r="O284" s="21" t="s">
        <v>652</v>
      </c>
      <c r="P284" s="21" t="s">
        <v>54</v>
      </c>
      <c r="Q284" s="28">
        <v>46198</v>
      </c>
      <c r="R284" s="29">
        <v>46197.5011921296</v>
      </c>
      <c r="S284" s="21" t="s">
        <v>221</v>
      </c>
      <c r="T284" s="21"/>
      <c r="U284" s="21" t="s">
        <v>222</v>
      </c>
      <c r="V284" s="29">
        <v>46197.5011574074</v>
      </c>
      <c r="W284">
        <f>VLOOKUP(H284,物料編碼!A:B,2,0)</f>
        <v>1300511002</v>
      </c>
      <c r="X284">
        <v>1300511</v>
      </c>
      <c r="Y284" t="str">
        <f>VLOOKUP(X284,物料編碼!D:G,4,0)</f>
        <v>羊卷肉</v>
      </c>
      <c r="Z284" t="str">
        <f>VLOOKUP(C284,客戶屬性1!A:C,2,0)</f>
        <v>天恒食品有限公司</v>
      </c>
      <c r="AA284">
        <f>IF(COUNTIF($O$1:O284,O284)=1,L284,0)</f>
        <v>1188</v>
      </c>
    </row>
    <row r="285" customHeight="1" spans="1:27">
      <c r="A285" s="21" t="s">
        <v>653</v>
      </c>
      <c r="B285" s="21" t="s">
        <v>45</v>
      </c>
      <c r="C285" s="21" t="s">
        <v>114</v>
      </c>
      <c r="D285" s="21" t="s">
        <v>115</v>
      </c>
      <c r="E285" s="21" t="s">
        <v>116</v>
      </c>
      <c r="F285" s="21" t="s">
        <v>49</v>
      </c>
      <c r="G285" s="21" t="s">
        <v>100</v>
      </c>
      <c r="H285" s="21" t="s">
        <v>261</v>
      </c>
      <c r="I285" s="26">
        <v>1</v>
      </c>
      <c r="J285" s="27">
        <v>10</v>
      </c>
      <c r="K285" s="21" t="s">
        <v>112</v>
      </c>
      <c r="L285" s="27">
        <v>1980</v>
      </c>
      <c r="M285" s="21"/>
      <c r="N285" s="21"/>
      <c r="O285" s="21" t="s">
        <v>654</v>
      </c>
      <c r="P285" s="21" t="s">
        <v>54</v>
      </c>
      <c r="Q285" s="28">
        <v>46198</v>
      </c>
      <c r="R285" s="29">
        <v>46197.5007986111</v>
      </c>
      <c r="S285" s="21" t="s">
        <v>119</v>
      </c>
      <c r="T285" s="21"/>
      <c r="U285" s="21" t="s">
        <v>115</v>
      </c>
      <c r="V285" s="29">
        <v>46197.5007523148</v>
      </c>
      <c r="W285">
        <f>VLOOKUP(H285,物料編碼!A:B,2,0)</f>
        <v>1310201023</v>
      </c>
      <c r="X285">
        <v>1310201</v>
      </c>
      <c r="Y285" t="str">
        <f>VLOOKUP(X285,物料編碼!D:G,4,0)</f>
        <v>丸類.牛肉丸</v>
      </c>
      <c r="Z285" t="str">
        <f>VLOOKUP(C285,客戶屬性1!A:C,2,0)</f>
        <v>骏利贸易公司</v>
      </c>
      <c r="AA285">
        <f>IF(COUNTIF($O$1:O285,O285)=1,L285,0)</f>
        <v>1980</v>
      </c>
    </row>
    <row r="286" customHeight="1" spans="1:27">
      <c r="A286" s="21" t="s">
        <v>653</v>
      </c>
      <c r="B286" s="21" t="s">
        <v>45</v>
      </c>
      <c r="C286" s="21" t="s">
        <v>114</v>
      </c>
      <c r="D286" s="21" t="s">
        <v>115</v>
      </c>
      <c r="E286" s="21" t="s">
        <v>116</v>
      </c>
      <c r="F286" s="21" t="s">
        <v>49</v>
      </c>
      <c r="G286" s="21" t="s">
        <v>100</v>
      </c>
      <c r="H286" s="21" t="s">
        <v>263</v>
      </c>
      <c r="I286" s="26">
        <v>1</v>
      </c>
      <c r="J286" s="27">
        <v>10</v>
      </c>
      <c r="K286" s="21" t="s">
        <v>112</v>
      </c>
      <c r="L286" s="27">
        <v>1980</v>
      </c>
      <c r="M286" s="21"/>
      <c r="N286" s="21"/>
      <c r="O286" s="21" t="s">
        <v>654</v>
      </c>
      <c r="P286" s="21" t="s">
        <v>54</v>
      </c>
      <c r="Q286" s="28">
        <v>46198</v>
      </c>
      <c r="R286" s="29">
        <v>46197.5007986111</v>
      </c>
      <c r="S286" s="21" t="s">
        <v>119</v>
      </c>
      <c r="T286" s="21"/>
      <c r="U286" s="21" t="s">
        <v>115</v>
      </c>
      <c r="V286" s="29">
        <v>46197.5007523148</v>
      </c>
      <c r="W286">
        <f>VLOOKUP(H286,物料編碼!A:B,2,0)</f>
        <v>1310201022</v>
      </c>
      <c r="X286">
        <v>1310201</v>
      </c>
      <c r="Y286" t="str">
        <f>VLOOKUP(X286,物料編碼!D:G,4,0)</f>
        <v>丸類.牛肉丸</v>
      </c>
      <c r="Z286" t="str">
        <f>VLOOKUP(C286,客戶屬性1!A:C,2,0)</f>
        <v>骏利贸易公司</v>
      </c>
      <c r="AA286">
        <f>IF(COUNTIF($O$1:O286,O286)=1,L286,0)</f>
        <v>0</v>
      </c>
    </row>
    <row r="287" customHeight="1" spans="1:27">
      <c r="A287" s="21" t="s">
        <v>655</v>
      </c>
      <c r="B287" s="21" t="s">
        <v>45</v>
      </c>
      <c r="C287" s="21" t="s">
        <v>158</v>
      </c>
      <c r="D287" s="21" t="s">
        <v>159</v>
      </c>
      <c r="E287" s="21" t="s">
        <v>160</v>
      </c>
      <c r="F287" s="21" t="s">
        <v>49</v>
      </c>
      <c r="G287" s="21" t="s">
        <v>68</v>
      </c>
      <c r="H287" s="21" t="s">
        <v>161</v>
      </c>
      <c r="I287" s="26">
        <v>10</v>
      </c>
      <c r="J287" s="26">
        <v>200</v>
      </c>
      <c r="K287" s="21" t="s">
        <v>52</v>
      </c>
      <c r="L287" s="27">
        <v>18624</v>
      </c>
      <c r="M287" s="21"/>
      <c r="N287" s="21"/>
      <c r="O287" s="21" t="s">
        <v>656</v>
      </c>
      <c r="P287" s="21" t="s">
        <v>54</v>
      </c>
      <c r="Q287" s="28">
        <v>46198</v>
      </c>
      <c r="R287" s="29">
        <v>46197.4956134259</v>
      </c>
      <c r="S287" s="21" t="s">
        <v>163</v>
      </c>
      <c r="T287" s="21"/>
      <c r="U287" s="21" t="s">
        <v>164</v>
      </c>
      <c r="V287" s="29">
        <v>46197.4955787037</v>
      </c>
      <c r="W287">
        <f>VLOOKUP(H287,物料編碼!A:B,2,0)</f>
        <v>1300501020</v>
      </c>
      <c r="X287">
        <v>1300501</v>
      </c>
      <c r="Y287" t="str">
        <f>VLOOKUP(X287,物料編碼!D:G,4,0)</f>
        <v>羊排</v>
      </c>
      <c r="Z287" t="str">
        <f>VLOOKUP(C287,客戶屬性1!A:C,2,0)</f>
        <v>先进食品国际有限公司</v>
      </c>
      <c r="AA287">
        <f>IF(COUNTIF($O$1:O287,O287)=1,L287,0)</f>
        <v>18624</v>
      </c>
    </row>
    <row r="288" customHeight="1" spans="1:27">
      <c r="A288" s="21" t="s">
        <v>657</v>
      </c>
      <c r="B288" s="21" t="s">
        <v>45</v>
      </c>
      <c r="C288" s="21" t="s">
        <v>72</v>
      </c>
      <c r="D288" s="21" t="s">
        <v>73</v>
      </c>
      <c r="E288" s="21" t="s">
        <v>74</v>
      </c>
      <c r="F288" s="21" t="s">
        <v>49</v>
      </c>
      <c r="G288" s="21" t="s">
        <v>50</v>
      </c>
      <c r="H288" s="21" t="s">
        <v>298</v>
      </c>
      <c r="I288" s="26">
        <v>1</v>
      </c>
      <c r="J288" s="26">
        <v>10</v>
      </c>
      <c r="K288" s="21" t="s">
        <v>52</v>
      </c>
      <c r="L288" s="27">
        <v>500</v>
      </c>
      <c r="M288" s="21"/>
      <c r="N288" s="21"/>
      <c r="O288" s="21" t="s">
        <v>658</v>
      </c>
      <c r="P288" s="21" t="s">
        <v>54</v>
      </c>
      <c r="Q288" s="28">
        <v>46198</v>
      </c>
      <c r="R288" s="29">
        <v>46197.4907638889</v>
      </c>
      <c r="S288" s="21" t="s">
        <v>77</v>
      </c>
      <c r="T288" s="21"/>
      <c r="U288" s="21" t="s">
        <v>74</v>
      </c>
      <c r="V288" s="29">
        <v>46197.4907175926</v>
      </c>
      <c r="W288">
        <f>VLOOKUP(H288,物料編碼!A:B,2,0)</f>
        <v>1300111003</v>
      </c>
      <c r="X288">
        <v>1300111</v>
      </c>
      <c r="Y288" t="str">
        <f>VLOOKUP(X288,物料編碼!D:G,4,0)</f>
        <v>寸骨</v>
      </c>
      <c r="Z288" t="str">
        <f>VLOOKUP(C288,客戶屬性1!A:C,2,0)</f>
        <v>恒辉贸易公司</v>
      </c>
      <c r="AA288">
        <f>IF(COUNTIF($O$1:O288,O288)=1,L288,0)</f>
        <v>500</v>
      </c>
    </row>
    <row r="289" customHeight="1" spans="1:27">
      <c r="A289" s="21" t="s">
        <v>659</v>
      </c>
      <c r="B289" s="21" t="s">
        <v>45</v>
      </c>
      <c r="C289" s="21" t="s">
        <v>141</v>
      </c>
      <c r="D289" s="21" t="s">
        <v>142</v>
      </c>
      <c r="E289" s="21" t="s">
        <v>142</v>
      </c>
      <c r="F289" s="21" t="s">
        <v>143</v>
      </c>
      <c r="G289" s="21" t="s">
        <v>100</v>
      </c>
      <c r="H289" s="21" t="s">
        <v>296</v>
      </c>
      <c r="I289" s="26">
        <v>1</v>
      </c>
      <c r="J289" s="26">
        <v>10</v>
      </c>
      <c r="K289" s="21" t="s">
        <v>52</v>
      </c>
      <c r="L289" s="27">
        <v>1262.95</v>
      </c>
      <c r="M289" s="21"/>
      <c r="N289" s="21"/>
      <c r="O289" s="21" t="s">
        <v>660</v>
      </c>
      <c r="P289" s="21" t="s">
        <v>54</v>
      </c>
      <c r="Q289" s="28">
        <v>46198</v>
      </c>
      <c r="R289" s="29">
        <v>46197.4781365741</v>
      </c>
      <c r="S289" s="21" t="s">
        <v>145</v>
      </c>
      <c r="T289" s="21"/>
      <c r="U289" s="21" t="s">
        <v>142</v>
      </c>
      <c r="V289" s="29">
        <v>46197.4780787037</v>
      </c>
      <c r="W289">
        <f>VLOOKUP(H289,物料編碼!A:B,2,0)</f>
        <v>1300902011</v>
      </c>
      <c r="X289">
        <v>1300902</v>
      </c>
      <c r="Y289" t="str">
        <f>VLOOKUP(X289,物料編碼!D:G,4,0)</f>
        <v>帶骨整腿</v>
      </c>
      <c r="Z289" t="str">
        <f>VLOOKUP(C289,客戶屬性1!A:C,2,0)</f>
        <v>新昌冻肉</v>
      </c>
      <c r="AA289">
        <f>IF(COUNTIF($O$1:O289,O289)=1,L289,0)</f>
        <v>1262.95</v>
      </c>
    </row>
    <row r="290" customHeight="1" spans="1:27">
      <c r="A290" s="21" t="s">
        <v>659</v>
      </c>
      <c r="B290" s="21" t="s">
        <v>45</v>
      </c>
      <c r="C290" s="21" t="s">
        <v>141</v>
      </c>
      <c r="D290" s="21" t="s">
        <v>142</v>
      </c>
      <c r="E290" s="21" t="s">
        <v>142</v>
      </c>
      <c r="F290" s="21" t="s">
        <v>143</v>
      </c>
      <c r="G290" s="21" t="s">
        <v>100</v>
      </c>
      <c r="H290" s="21" t="s">
        <v>168</v>
      </c>
      <c r="I290" s="26">
        <v>1</v>
      </c>
      <c r="J290" s="26">
        <v>10</v>
      </c>
      <c r="K290" s="21" t="s">
        <v>52</v>
      </c>
      <c r="L290" s="27">
        <v>1262.95</v>
      </c>
      <c r="M290" s="21"/>
      <c r="N290" s="21"/>
      <c r="O290" s="21" t="s">
        <v>660</v>
      </c>
      <c r="P290" s="21" t="s">
        <v>54</v>
      </c>
      <c r="Q290" s="28">
        <v>46198</v>
      </c>
      <c r="R290" s="29">
        <v>46197.4781365741</v>
      </c>
      <c r="S290" s="21" t="s">
        <v>145</v>
      </c>
      <c r="T290" s="21"/>
      <c r="U290" s="21" t="s">
        <v>142</v>
      </c>
      <c r="V290" s="29">
        <v>46197.4780787037</v>
      </c>
      <c r="W290">
        <f>VLOOKUP(H290,物料編碼!A:B,2,0)</f>
        <v>1300627002</v>
      </c>
      <c r="X290">
        <v>1300627</v>
      </c>
      <c r="Y290" t="str">
        <f>VLOOKUP(X290,物料編碼!D:G,4,0)</f>
        <v>翅尖</v>
      </c>
      <c r="Z290" t="str">
        <f>VLOOKUP(C290,客戶屬性1!A:C,2,0)</f>
        <v>新昌冻肉</v>
      </c>
      <c r="AA290">
        <f>IF(COUNTIF($O$1:O290,O290)=1,L290,0)</f>
        <v>0</v>
      </c>
    </row>
    <row r="291" customHeight="1" spans="1:27">
      <c r="A291" s="21" t="s">
        <v>659</v>
      </c>
      <c r="B291" s="21" t="s">
        <v>45</v>
      </c>
      <c r="C291" s="21" t="s">
        <v>141</v>
      </c>
      <c r="D291" s="21" t="s">
        <v>142</v>
      </c>
      <c r="E291" s="21" t="s">
        <v>142</v>
      </c>
      <c r="F291" s="21" t="s">
        <v>143</v>
      </c>
      <c r="G291" s="21" t="s">
        <v>100</v>
      </c>
      <c r="H291" s="21" t="s">
        <v>146</v>
      </c>
      <c r="I291" s="26">
        <v>2</v>
      </c>
      <c r="J291" s="26">
        <v>30</v>
      </c>
      <c r="K291" s="21" t="s">
        <v>52</v>
      </c>
      <c r="L291" s="27">
        <v>1262.95</v>
      </c>
      <c r="M291" s="21"/>
      <c r="N291" s="21"/>
      <c r="O291" s="21" t="s">
        <v>660</v>
      </c>
      <c r="P291" s="21" t="s">
        <v>54</v>
      </c>
      <c r="Q291" s="28">
        <v>46198</v>
      </c>
      <c r="R291" s="29">
        <v>46197.4781365741</v>
      </c>
      <c r="S291" s="21" t="s">
        <v>145</v>
      </c>
      <c r="T291" s="21"/>
      <c r="U291" s="21" t="s">
        <v>142</v>
      </c>
      <c r="V291" s="29">
        <v>46197.4780787037</v>
      </c>
      <c r="W291">
        <f>VLOOKUP(H291,物料編碼!A:B,2,0)</f>
        <v>1300603041</v>
      </c>
      <c r="X291">
        <v>1300603</v>
      </c>
      <c r="Y291" t="str">
        <f>VLOOKUP(X291,物料編碼!D:G,4,0)</f>
        <v>帶骨全腿</v>
      </c>
      <c r="Z291" t="str">
        <f>VLOOKUP(C291,客戶屬性1!A:C,2,0)</f>
        <v>新昌冻肉</v>
      </c>
      <c r="AA291">
        <f>IF(COUNTIF($O$1:O291,O291)=1,L291,0)</f>
        <v>0</v>
      </c>
    </row>
    <row r="292" customHeight="1" spans="1:27">
      <c r="A292" s="21" t="s">
        <v>659</v>
      </c>
      <c r="B292" s="21" t="s">
        <v>45</v>
      </c>
      <c r="C292" s="21" t="s">
        <v>141</v>
      </c>
      <c r="D292" s="21" t="s">
        <v>142</v>
      </c>
      <c r="E292" s="21" t="s">
        <v>142</v>
      </c>
      <c r="F292" s="21" t="s">
        <v>143</v>
      </c>
      <c r="G292" s="21" t="s">
        <v>100</v>
      </c>
      <c r="H292" s="21" t="s">
        <v>117</v>
      </c>
      <c r="I292" s="26">
        <v>3</v>
      </c>
      <c r="J292" s="26">
        <v>45</v>
      </c>
      <c r="K292" s="21" t="s">
        <v>52</v>
      </c>
      <c r="L292" s="27">
        <v>1262.95</v>
      </c>
      <c r="M292" s="21"/>
      <c r="N292" s="21"/>
      <c r="O292" s="21" t="s">
        <v>660</v>
      </c>
      <c r="P292" s="21" t="s">
        <v>54</v>
      </c>
      <c r="Q292" s="28">
        <v>46198</v>
      </c>
      <c r="R292" s="29">
        <v>46197.4781365741</v>
      </c>
      <c r="S292" s="21" t="s">
        <v>145</v>
      </c>
      <c r="T292" s="21"/>
      <c r="U292" s="21" t="s">
        <v>142</v>
      </c>
      <c r="V292" s="29">
        <v>46197.4780787037</v>
      </c>
      <c r="W292">
        <f>VLOOKUP(H292,物料編碼!A:B,2,0)</f>
        <v>1300607015</v>
      </c>
      <c r="X292">
        <v>1300607</v>
      </c>
      <c r="Y292" t="str">
        <f>VLOOKUP(X292,物料編碼!D:G,4,0)</f>
        <v>帶皮腿扒</v>
      </c>
      <c r="Z292" t="str">
        <f>VLOOKUP(C292,客戶屬性1!A:C,2,0)</f>
        <v>新昌冻肉</v>
      </c>
      <c r="AA292">
        <f>IF(COUNTIF($O$1:O292,O292)=1,L292,0)</f>
        <v>0</v>
      </c>
    </row>
    <row r="293" customHeight="1" spans="1:27">
      <c r="A293" s="21" t="s">
        <v>661</v>
      </c>
      <c r="B293" s="21" t="s">
        <v>45</v>
      </c>
      <c r="C293" s="21" t="s">
        <v>126</v>
      </c>
      <c r="D293" s="21" t="s">
        <v>127</v>
      </c>
      <c r="E293" s="21" t="s">
        <v>128</v>
      </c>
      <c r="F293" s="21" t="s">
        <v>49</v>
      </c>
      <c r="G293" s="21" t="s">
        <v>129</v>
      </c>
      <c r="H293" s="21" t="s">
        <v>117</v>
      </c>
      <c r="I293" s="26">
        <v>10</v>
      </c>
      <c r="J293" s="26">
        <v>150</v>
      </c>
      <c r="K293" s="21" t="s">
        <v>52</v>
      </c>
      <c r="L293" s="27">
        <v>2217</v>
      </c>
      <c r="M293" s="21"/>
      <c r="N293" s="21"/>
      <c r="O293" s="21" t="s">
        <v>662</v>
      </c>
      <c r="P293" s="21" t="s">
        <v>54</v>
      </c>
      <c r="Q293" s="28">
        <v>46197</v>
      </c>
      <c r="R293" s="29">
        <v>46197.4571527778</v>
      </c>
      <c r="S293" s="21" t="s">
        <v>131</v>
      </c>
      <c r="T293" s="21"/>
      <c r="U293" s="21" t="s">
        <v>127</v>
      </c>
      <c r="V293" s="29">
        <v>46197.4571064815</v>
      </c>
      <c r="W293">
        <f>VLOOKUP(H293,物料編碼!A:B,2,0)</f>
        <v>1300607015</v>
      </c>
      <c r="X293">
        <v>1300607</v>
      </c>
      <c r="Y293" t="str">
        <f>VLOOKUP(X293,物料編碼!D:G,4,0)</f>
        <v>帶皮腿扒</v>
      </c>
      <c r="Z293" t="str">
        <f>VLOOKUP(C293,客戶屬性1!A:C,2,0)</f>
        <v>福源食品有限公司</v>
      </c>
      <c r="AA293">
        <f>IF(COUNTIF($O$1:O293,O293)=1,L293,0)</f>
        <v>2217</v>
      </c>
    </row>
    <row r="294" customHeight="1" spans="1:27">
      <c r="A294" s="21" t="s">
        <v>663</v>
      </c>
      <c r="B294" s="21" t="s">
        <v>45</v>
      </c>
      <c r="C294" s="21" t="s">
        <v>46</v>
      </c>
      <c r="D294" s="21" t="s">
        <v>47</v>
      </c>
      <c r="E294" s="21" t="s">
        <v>48</v>
      </c>
      <c r="F294" s="21" t="s">
        <v>49</v>
      </c>
      <c r="G294" s="21" t="s">
        <v>50</v>
      </c>
      <c r="H294" s="21" t="s">
        <v>51</v>
      </c>
      <c r="I294" s="26">
        <v>1</v>
      </c>
      <c r="J294" s="26">
        <v>10</v>
      </c>
      <c r="K294" s="21" t="s">
        <v>52</v>
      </c>
      <c r="L294" s="27">
        <v>129</v>
      </c>
      <c r="M294" s="21"/>
      <c r="N294" s="21"/>
      <c r="O294" s="21" t="s">
        <v>664</v>
      </c>
      <c r="P294" s="21" t="s">
        <v>54</v>
      </c>
      <c r="Q294" s="28">
        <v>46197</v>
      </c>
      <c r="R294" s="29">
        <v>46197.4388425926</v>
      </c>
      <c r="S294" s="21" t="s">
        <v>55</v>
      </c>
      <c r="T294" s="21"/>
      <c r="U294" s="21" t="s">
        <v>47</v>
      </c>
      <c r="V294" s="29">
        <v>46197.4387962963</v>
      </c>
      <c r="W294">
        <f>VLOOKUP(H294,物料編碼!A:B,2,0)</f>
        <v>1300624103</v>
      </c>
      <c r="X294">
        <v>1300624</v>
      </c>
      <c r="Y294" t="str">
        <f>VLOOKUP(X294,物料編碼!D:G,4,0)</f>
        <v>琵琶腿</v>
      </c>
      <c r="Z294" t="str">
        <f>VLOOKUP(C294,客戶屬性1!A:C,2,0)</f>
        <v>明记冻肉</v>
      </c>
      <c r="AA294">
        <f>IF(COUNTIF($O$1:O294,O294)=1,L294,0)</f>
        <v>129</v>
      </c>
    </row>
    <row r="295" customHeight="1" spans="1:27">
      <c r="A295" s="21" t="s">
        <v>665</v>
      </c>
      <c r="B295" s="21" t="s">
        <v>45</v>
      </c>
      <c r="C295" s="21" t="s">
        <v>72</v>
      </c>
      <c r="D295" s="21" t="s">
        <v>73</v>
      </c>
      <c r="E295" s="21" t="s">
        <v>74</v>
      </c>
      <c r="F295" s="21" t="s">
        <v>49</v>
      </c>
      <c r="G295" s="21" t="s">
        <v>50</v>
      </c>
      <c r="H295" s="21" t="s">
        <v>393</v>
      </c>
      <c r="I295" s="26">
        <v>1</v>
      </c>
      <c r="J295" s="26">
        <v>15</v>
      </c>
      <c r="K295" s="21" t="s">
        <v>52</v>
      </c>
      <c r="L295" s="27">
        <v>221.7</v>
      </c>
      <c r="M295" s="21"/>
      <c r="N295" s="21"/>
      <c r="O295" s="21" t="s">
        <v>666</v>
      </c>
      <c r="P295" s="21" t="s">
        <v>54</v>
      </c>
      <c r="Q295" s="28">
        <v>46197</v>
      </c>
      <c r="R295" s="29">
        <v>46197.4305439815</v>
      </c>
      <c r="S295" s="21" t="s">
        <v>288</v>
      </c>
      <c r="T295" s="21"/>
      <c r="U295" s="21" t="s">
        <v>82</v>
      </c>
      <c r="V295" s="29">
        <v>46197.4304976852</v>
      </c>
      <c r="W295">
        <f>VLOOKUP(H295,物料編碼!A:B,2,0)</f>
        <v>1300607016</v>
      </c>
      <c r="X295">
        <v>1300607</v>
      </c>
      <c r="Y295" t="str">
        <f>VLOOKUP(X295,物料編碼!D:G,4,0)</f>
        <v>帶皮腿扒</v>
      </c>
      <c r="Z295" t="str">
        <f>VLOOKUP(C295,客戶屬性1!A:C,2,0)</f>
        <v>恒辉贸易公司</v>
      </c>
      <c r="AA295">
        <f>IF(COUNTIF($O$1:O295,O295)=1,L295,0)</f>
        <v>221.7</v>
      </c>
    </row>
    <row r="296" customHeight="1" spans="1:27">
      <c r="A296" s="21" t="s">
        <v>667</v>
      </c>
      <c r="B296" s="21" t="s">
        <v>45</v>
      </c>
      <c r="C296" s="21" t="s">
        <v>668</v>
      </c>
      <c r="D296" s="21" t="s">
        <v>669</v>
      </c>
      <c r="E296" s="21" t="s">
        <v>670</v>
      </c>
      <c r="F296" s="21" t="s">
        <v>49</v>
      </c>
      <c r="G296" s="21" t="s">
        <v>50</v>
      </c>
      <c r="H296" s="21" t="s">
        <v>671</v>
      </c>
      <c r="I296" s="26">
        <v>1</v>
      </c>
      <c r="J296" s="26">
        <v>12</v>
      </c>
      <c r="K296" s="21" t="s">
        <v>52</v>
      </c>
      <c r="L296" s="27">
        <v>141.6</v>
      </c>
      <c r="M296" s="21"/>
      <c r="N296" s="21"/>
      <c r="O296" s="21" t="s">
        <v>672</v>
      </c>
      <c r="P296" s="21" t="s">
        <v>183</v>
      </c>
      <c r="Q296" s="28">
        <v>46197</v>
      </c>
      <c r="R296" s="29">
        <v>46197.4065509259</v>
      </c>
      <c r="S296" s="21" t="s">
        <v>673</v>
      </c>
      <c r="T296" s="21"/>
      <c r="U296" s="21" t="s">
        <v>669</v>
      </c>
      <c r="V296" s="29">
        <v>46197.4065046296</v>
      </c>
      <c r="W296">
        <f>VLOOKUP(H296,物料編碼!A:B,2,0)</f>
        <v>1300612023</v>
      </c>
      <c r="X296">
        <v>1300612</v>
      </c>
      <c r="Y296" t="str">
        <f>VLOOKUP(X296,物料編碼!D:G,4,0)</f>
        <v>去皮胸肉</v>
      </c>
      <c r="Z296" t="str">
        <f>VLOOKUP(C296,客戶屬性1!A:C,2,0)</f>
        <v>皇品有限公司</v>
      </c>
      <c r="AA296">
        <f>IF(COUNTIF($O$1:O296,O296)=1,L296,0)</f>
        <v>141.6</v>
      </c>
    </row>
    <row r="297" customHeight="1" spans="1:27">
      <c r="A297" s="21" t="s">
        <v>674</v>
      </c>
      <c r="B297" s="21" t="s">
        <v>45</v>
      </c>
      <c r="C297" s="21" t="s">
        <v>72</v>
      </c>
      <c r="D297" s="21" t="s">
        <v>73</v>
      </c>
      <c r="E297" s="21" t="s">
        <v>74</v>
      </c>
      <c r="F297" s="21" t="s">
        <v>49</v>
      </c>
      <c r="G297" s="21" t="s">
        <v>50</v>
      </c>
      <c r="H297" s="21" t="s">
        <v>117</v>
      </c>
      <c r="I297" s="26">
        <v>6</v>
      </c>
      <c r="J297" s="26">
        <v>90</v>
      </c>
      <c r="K297" s="21" t="s">
        <v>52</v>
      </c>
      <c r="L297" s="27">
        <v>1330.2</v>
      </c>
      <c r="M297" s="21"/>
      <c r="N297" s="21"/>
      <c r="O297" s="21" t="s">
        <v>675</v>
      </c>
      <c r="P297" s="21" t="s">
        <v>54</v>
      </c>
      <c r="Q297" s="28">
        <v>46197</v>
      </c>
      <c r="R297" s="29">
        <v>46197.4026273148</v>
      </c>
      <c r="S297" s="21" t="s">
        <v>77</v>
      </c>
      <c r="T297" s="21"/>
      <c r="U297" s="21" t="s">
        <v>74</v>
      </c>
      <c r="V297" s="29">
        <v>46197.4025925926</v>
      </c>
      <c r="W297">
        <f>VLOOKUP(H297,物料編碼!A:B,2,0)</f>
        <v>1300607015</v>
      </c>
      <c r="X297">
        <v>1300607</v>
      </c>
      <c r="Y297" t="str">
        <f>VLOOKUP(X297,物料編碼!D:G,4,0)</f>
        <v>帶皮腿扒</v>
      </c>
      <c r="Z297" t="str">
        <f>VLOOKUP(C297,客戶屬性1!A:C,2,0)</f>
        <v>恒辉贸易公司</v>
      </c>
      <c r="AA297">
        <f>IF(COUNTIF($O$1:O297,O297)=1,L297,0)</f>
        <v>1330.2</v>
      </c>
    </row>
    <row r="298" customHeight="1" spans="1:27">
      <c r="A298" s="21" t="s">
        <v>676</v>
      </c>
      <c r="B298" s="21" t="s">
        <v>45</v>
      </c>
      <c r="C298" s="21" t="s">
        <v>72</v>
      </c>
      <c r="D298" s="21" t="s">
        <v>73</v>
      </c>
      <c r="E298" s="21" t="s">
        <v>74</v>
      </c>
      <c r="F298" s="21" t="s">
        <v>49</v>
      </c>
      <c r="G298" s="21" t="s">
        <v>50</v>
      </c>
      <c r="H298" s="21" t="s">
        <v>677</v>
      </c>
      <c r="I298" s="26">
        <v>1</v>
      </c>
      <c r="J298" s="26">
        <v>15</v>
      </c>
      <c r="K298" s="21" t="s">
        <v>52</v>
      </c>
      <c r="L298" s="27">
        <v>234.75</v>
      </c>
      <c r="M298" s="21"/>
      <c r="N298" s="21"/>
      <c r="O298" s="21" t="s">
        <v>678</v>
      </c>
      <c r="P298" s="21" t="s">
        <v>183</v>
      </c>
      <c r="Q298" s="28">
        <v>46197</v>
      </c>
      <c r="R298" s="29">
        <v>46197.3746875</v>
      </c>
      <c r="S298" s="21" t="s">
        <v>77</v>
      </c>
      <c r="T298" s="21"/>
      <c r="U298" s="21" t="s">
        <v>74</v>
      </c>
      <c r="V298" s="29">
        <v>46197.3746412037</v>
      </c>
      <c r="W298">
        <f>VLOOKUP(H298,物料編碼!A:B,2,0)</f>
        <v>1300603095</v>
      </c>
      <c r="X298">
        <v>1300603</v>
      </c>
      <c r="Y298" t="str">
        <f>VLOOKUP(X298,物料編碼!D:G,4,0)</f>
        <v>帶骨全腿</v>
      </c>
      <c r="Z298" t="str">
        <f>VLOOKUP(C298,客戶屬性1!A:C,2,0)</f>
        <v>恒辉贸易公司</v>
      </c>
      <c r="AA298">
        <f>IF(COUNTIF($O$1:O298,O298)=1,L298,0)</f>
        <v>234.75</v>
      </c>
    </row>
    <row r="299" customHeight="1" spans="1:27">
      <c r="A299" s="21" t="s">
        <v>679</v>
      </c>
      <c r="B299" s="21" t="s">
        <v>45</v>
      </c>
      <c r="C299" s="21" t="s">
        <v>72</v>
      </c>
      <c r="D299" s="21" t="s">
        <v>73</v>
      </c>
      <c r="E299" s="21" t="s">
        <v>74</v>
      </c>
      <c r="F299" s="21" t="s">
        <v>49</v>
      </c>
      <c r="G299" s="21" t="s">
        <v>50</v>
      </c>
      <c r="H299" s="21" t="s">
        <v>190</v>
      </c>
      <c r="I299" s="26">
        <v>2</v>
      </c>
      <c r="J299" s="26">
        <v>24</v>
      </c>
      <c r="K299" s="21" t="s">
        <v>52</v>
      </c>
      <c r="L299" s="27">
        <v>379.2</v>
      </c>
      <c r="M299" s="21"/>
      <c r="N299" s="21"/>
      <c r="O299" s="21" t="s">
        <v>680</v>
      </c>
      <c r="P299" s="21" t="s">
        <v>54</v>
      </c>
      <c r="Q299" s="28">
        <v>46197</v>
      </c>
      <c r="R299" s="29">
        <v>46197.367337963</v>
      </c>
      <c r="S299" s="21" t="s">
        <v>77</v>
      </c>
      <c r="T299" s="21"/>
      <c r="U299" s="21" t="s">
        <v>74</v>
      </c>
      <c r="V299" s="29">
        <v>46197.3672800926</v>
      </c>
      <c r="W299">
        <f>VLOOKUP(H299,物料編碼!A:B,2,0)</f>
        <v>1300609001</v>
      </c>
      <c r="X299">
        <v>1300609</v>
      </c>
      <c r="Y299" t="str">
        <f>VLOOKUP(X299,物料編碼!D:G,4,0)</f>
        <v>去皮上腿肉</v>
      </c>
      <c r="Z299" t="str">
        <f>VLOOKUP(C299,客戶屬性1!A:C,2,0)</f>
        <v>恒辉贸易公司</v>
      </c>
      <c r="AA299">
        <f>IF(COUNTIF($O$1:O299,O299)=1,L299,0)</f>
        <v>379.2</v>
      </c>
    </row>
    <row r="300" customHeight="1" spans="1:27">
      <c r="A300" s="21" t="s">
        <v>681</v>
      </c>
      <c r="B300" s="21" t="s">
        <v>45</v>
      </c>
      <c r="C300" s="21" t="s">
        <v>682</v>
      </c>
      <c r="D300" s="21" t="s">
        <v>683</v>
      </c>
      <c r="E300" s="21" t="s">
        <v>684</v>
      </c>
      <c r="F300" s="21" t="s">
        <v>49</v>
      </c>
      <c r="G300" s="21" t="s">
        <v>307</v>
      </c>
      <c r="H300" s="21" t="s">
        <v>117</v>
      </c>
      <c r="I300" s="26">
        <v>6</v>
      </c>
      <c r="J300" s="26">
        <v>90</v>
      </c>
      <c r="K300" s="21" t="s">
        <v>52</v>
      </c>
      <c r="L300" s="27">
        <v>1330.2</v>
      </c>
      <c r="M300" s="21"/>
      <c r="N300" s="21"/>
      <c r="O300" s="21" t="s">
        <v>685</v>
      </c>
      <c r="P300" s="21" t="s">
        <v>54</v>
      </c>
      <c r="Q300" s="28">
        <v>46197</v>
      </c>
      <c r="R300" s="29">
        <v>46196.5559953704</v>
      </c>
      <c r="S300" s="21" t="s">
        <v>686</v>
      </c>
      <c r="T300" s="21"/>
      <c r="U300" s="21" t="s">
        <v>683</v>
      </c>
      <c r="V300" s="29">
        <v>46196.5559490741</v>
      </c>
      <c r="W300">
        <f>VLOOKUP(H300,物料編碼!A:B,2,0)</f>
        <v>1300607015</v>
      </c>
      <c r="X300">
        <v>1300607</v>
      </c>
      <c r="Y300" t="str">
        <f>VLOOKUP(X300,物料編碼!D:G,4,0)</f>
        <v>帶皮腿扒</v>
      </c>
      <c r="Z300" t="str">
        <f>VLOOKUP(C300,客戶屬性1!A:C,2,0)</f>
        <v>姚氏食品有限公司</v>
      </c>
      <c r="AA300">
        <f>IF(COUNTIF($O$1:O300,O300)=1,L300,0)</f>
        <v>1330.2</v>
      </c>
    </row>
    <row r="301" customHeight="1" spans="1:27">
      <c r="A301" s="21" t="s">
        <v>687</v>
      </c>
      <c r="B301" s="21" t="s">
        <v>45</v>
      </c>
      <c r="C301" s="21" t="s">
        <v>538</v>
      </c>
      <c r="D301" s="21" t="s">
        <v>539</v>
      </c>
      <c r="E301" s="21" t="s">
        <v>540</v>
      </c>
      <c r="F301" s="21" t="s">
        <v>49</v>
      </c>
      <c r="G301" s="21" t="s">
        <v>541</v>
      </c>
      <c r="H301" s="21" t="s">
        <v>75</v>
      </c>
      <c r="I301" s="26">
        <v>2</v>
      </c>
      <c r="J301" s="26">
        <v>30</v>
      </c>
      <c r="K301" s="21" t="s">
        <v>52</v>
      </c>
      <c r="L301" s="27">
        <v>377.1</v>
      </c>
      <c r="M301" s="21"/>
      <c r="N301" s="21"/>
      <c r="O301" s="21" t="s">
        <v>688</v>
      </c>
      <c r="P301" s="21" t="s">
        <v>183</v>
      </c>
      <c r="Q301" s="28">
        <v>46196</v>
      </c>
      <c r="R301" s="29">
        <v>46196.4784143519</v>
      </c>
      <c r="S301" s="21" t="s">
        <v>543</v>
      </c>
      <c r="T301" s="21"/>
      <c r="U301" s="21" t="s">
        <v>539</v>
      </c>
      <c r="V301" s="29">
        <v>46196.4783796296</v>
      </c>
      <c r="W301">
        <f>VLOOKUP(H301,物料編碼!A:B,2,0)</f>
        <v>1300603040</v>
      </c>
      <c r="X301">
        <v>1300603</v>
      </c>
      <c r="Y301" t="str">
        <f>VLOOKUP(X301,物料編碼!D:G,4,0)</f>
        <v>帶骨全腿</v>
      </c>
      <c r="Z301" t="str">
        <f>VLOOKUP(C301,客戶屬性1!A:C,2,0)</f>
        <v>诚信冻肉有限公司</v>
      </c>
      <c r="AA301">
        <f>IF(COUNTIF($O$1:O301,O301)=1,L301,0)</f>
        <v>377.1</v>
      </c>
    </row>
    <row r="302" customHeight="1" spans="1:27">
      <c r="A302" s="21" t="s">
        <v>689</v>
      </c>
      <c r="B302" s="21" t="s">
        <v>45</v>
      </c>
      <c r="C302" s="21" t="s">
        <v>141</v>
      </c>
      <c r="D302" s="21" t="s">
        <v>142</v>
      </c>
      <c r="E302" s="21" t="s">
        <v>142</v>
      </c>
      <c r="F302" s="21" t="s">
        <v>143</v>
      </c>
      <c r="G302" s="21" t="s">
        <v>100</v>
      </c>
      <c r="H302" s="21" t="s">
        <v>146</v>
      </c>
      <c r="I302" s="26">
        <v>2</v>
      </c>
      <c r="J302" s="26">
        <v>30</v>
      </c>
      <c r="K302" s="21" t="s">
        <v>52</v>
      </c>
      <c r="L302" s="27">
        <v>1042.2</v>
      </c>
      <c r="M302" s="21"/>
      <c r="N302" s="21"/>
      <c r="O302" s="21" t="s">
        <v>690</v>
      </c>
      <c r="P302" s="21" t="s">
        <v>54</v>
      </c>
      <c r="Q302" s="28">
        <v>46197</v>
      </c>
      <c r="R302" s="29">
        <v>46196.4716550926</v>
      </c>
      <c r="S302" s="21" t="s">
        <v>145</v>
      </c>
      <c r="T302" s="21"/>
      <c r="U302" s="21" t="s">
        <v>142</v>
      </c>
      <c r="V302" s="29">
        <v>46196.4716087963</v>
      </c>
      <c r="W302">
        <f>VLOOKUP(H302,物料編碼!A:B,2,0)</f>
        <v>1300603041</v>
      </c>
      <c r="X302">
        <v>1300603</v>
      </c>
      <c r="Y302" t="str">
        <f>VLOOKUP(X302,物料編碼!D:G,4,0)</f>
        <v>帶骨全腿</v>
      </c>
      <c r="Z302" t="str">
        <f>VLOOKUP(C302,客戶屬性1!A:C,2,0)</f>
        <v>新昌冻肉</v>
      </c>
      <c r="AA302">
        <f>IF(COUNTIF($O$1:O302,O302)=1,L302,0)</f>
        <v>1042.2</v>
      </c>
    </row>
    <row r="303" customHeight="1" spans="1:27">
      <c r="A303" s="21" t="s">
        <v>689</v>
      </c>
      <c r="B303" s="21" t="s">
        <v>45</v>
      </c>
      <c r="C303" s="21" t="s">
        <v>141</v>
      </c>
      <c r="D303" s="21" t="s">
        <v>142</v>
      </c>
      <c r="E303" s="21" t="s">
        <v>142</v>
      </c>
      <c r="F303" s="21" t="s">
        <v>143</v>
      </c>
      <c r="G303" s="21" t="s">
        <v>100</v>
      </c>
      <c r="H303" s="21" t="s">
        <v>117</v>
      </c>
      <c r="I303" s="26">
        <v>3</v>
      </c>
      <c r="J303" s="26">
        <v>45</v>
      </c>
      <c r="K303" s="21" t="s">
        <v>52</v>
      </c>
      <c r="L303" s="27">
        <v>1042.2</v>
      </c>
      <c r="M303" s="21"/>
      <c r="N303" s="21"/>
      <c r="O303" s="21" t="s">
        <v>690</v>
      </c>
      <c r="P303" s="21" t="s">
        <v>54</v>
      </c>
      <c r="Q303" s="28">
        <v>46197</v>
      </c>
      <c r="R303" s="29">
        <v>46196.4716550926</v>
      </c>
      <c r="S303" s="21" t="s">
        <v>145</v>
      </c>
      <c r="T303" s="21"/>
      <c r="U303" s="21" t="s">
        <v>142</v>
      </c>
      <c r="V303" s="29">
        <v>46196.4716087963</v>
      </c>
      <c r="W303">
        <f>VLOOKUP(H303,物料編碼!A:B,2,0)</f>
        <v>1300607015</v>
      </c>
      <c r="X303">
        <v>1300607</v>
      </c>
      <c r="Y303" t="str">
        <f>VLOOKUP(X303,物料編碼!D:G,4,0)</f>
        <v>帶皮腿扒</v>
      </c>
      <c r="Z303" t="str">
        <f>VLOOKUP(C303,客戶屬性1!A:C,2,0)</f>
        <v>新昌冻肉</v>
      </c>
      <c r="AA303">
        <f>IF(COUNTIF($O$1:O303,O303)=1,L303,0)</f>
        <v>0</v>
      </c>
    </row>
    <row r="304" customHeight="1" spans="1:27">
      <c r="A304" s="21" t="s">
        <v>691</v>
      </c>
      <c r="B304" s="21" t="s">
        <v>45</v>
      </c>
      <c r="C304" s="21" t="s">
        <v>46</v>
      </c>
      <c r="D304" s="21" t="s">
        <v>47</v>
      </c>
      <c r="E304" s="21" t="s">
        <v>48</v>
      </c>
      <c r="F304" s="21" t="s">
        <v>49</v>
      </c>
      <c r="G304" s="21" t="s">
        <v>50</v>
      </c>
      <c r="H304" s="21" t="s">
        <v>51</v>
      </c>
      <c r="I304" s="26">
        <v>1</v>
      </c>
      <c r="J304" s="26">
        <v>10</v>
      </c>
      <c r="K304" s="21" t="s">
        <v>52</v>
      </c>
      <c r="L304" s="27">
        <v>129</v>
      </c>
      <c r="M304" s="21"/>
      <c r="N304" s="21"/>
      <c r="O304" s="21" t="s">
        <v>692</v>
      </c>
      <c r="P304" s="21" t="s">
        <v>54</v>
      </c>
      <c r="Q304" s="28">
        <v>46196</v>
      </c>
      <c r="R304" s="29">
        <v>46196.4480208333</v>
      </c>
      <c r="S304" s="21" t="s">
        <v>55</v>
      </c>
      <c r="T304" s="21"/>
      <c r="U304" s="21" t="s">
        <v>47</v>
      </c>
      <c r="V304" s="29">
        <v>46196.447974537</v>
      </c>
      <c r="W304">
        <f>VLOOKUP(H304,物料編碼!A:B,2,0)</f>
        <v>1300624103</v>
      </c>
      <c r="X304">
        <v>1300624</v>
      </c>
      <c r="Y304" t="str">
        <f>VLOOKUP(X304,物料編碼!D:G,4,0)</f>
        <v>琵琶腿</v>
      </c>
      <c r="Z304" t="str">
        <f>VLOOKUP(C304,客戶屬性1!A:C,2,0)</f>
        <v>明记冻肉</v>
      </c>
      <c r="AA304">
        <f>IF(COUNTIF($O$1:O304,O304)=1,L304,0)</f>
        <v>129</v>
      </c>
    </row>
    <row r="305" customHeight="1" spans="1:27">
      <c r="A305" s="21" t="s">
        <v>693</v>
      </c>
      <c r="B305" s="21" t="s">
        <v>45</v>
      </c>
      <c r="C305" s="21" t="s">
        <v>72</v>
      </c>
      <c r="D305" s="21" t="s">
        <v>73</v>
      </c>
      <c r="E305" s="21" t="s">
        <v>74</v>
      </c>
      <c r="F305" s="21" t="s">
        <v>49</v>
      </c>
      <c r="G305" s="21" t="s">
        <v>50</v>
      </c>
      <c r="H305" s="21" t="s">
        <v>190</v>
      </c>
      <c r="I305" s="26">
        <v>1</v>
      </c>
      <c r="J305" s="26">
        <v>12</v>
      </c>
      <c r="K305" s="21" t="s">
        <v>52</v>
      </c>
      <c r="L305" s="27">
        <v>189.6</v>
      </c>
      <c r="M305" s="21"/>
      <c r="N305" s="21"/>
      <c r="O305" s="21" t="s">
        <v>694</v>
      </c>
      <c r="P305" s="21" t="s">
        <v>54</v>
      </c>
      <c r="Q305" s="28">
        <v>46196</v>
      </c>
      <c r="R305" s="29">
        <v>46195.6477546296</v>
      </c>
      <c r="S305" s="21" t="s">
        <v>288</v>
      </c>
      <c r="T305" s="21"/>
      <c r="U305" s="21" t="s">
        <v>82</v>
      </c>
      <c r="V305" s="29">
        <v>46195.6477199074</v>
      </c>
      <c r="W305">
        <f>VLOOKUP(H305,物料編碼!A:B,2,0)</f>
        <v>1300609001</v>
      </c>
      <c r="X305">
        <v>1300609</v>
      </c>
      <c r="Y305" t="str">
        <f>VLOOKUP(X305,物料編碼!D:G,4,0)</f>
        <v>去皮上腿肉</v>
      </c>
      <c r="Z305" t="str">
        <f>VLOOKUP(C305,客戶屬性1!A:C,2,0)</f>
        <v>恒辉贸易公司</v>
      </c>
      <c r="AA305">
        <f>IF(COUNTIF($O$1:O305,O305)=1,L305,0)</f>
        <v>189.6</v>
      </c>
    </row>
    <row r="306" customHeight="1" spans="1:27">
      <c r="A306" s="21" t="s">
        <v>695</v>
      </c>
      <c r="B306" s="21" t="s">
        <v>45</v>
      </c>
      <c r="C306" s="21" t="s">
        <v>72</v>
      </c>
      <c r="D306" s="21" t="s">
        <v>73</v>
      </c>
      <c r="E306" s="21" t="s">
        <v>74</v>
      </c>
      <c r="F306" s="21" t="s">
        <v>49</v>
      </c>
      <c r="G306" s="21" t="s">
        <v>50</v>
      </c>
      <c r="H306" s="21" t="s">
        <v>117</v>
      </c>
      <c r="I306" s="26">
        <v>1</v>
      </c>
      <c r="J306" s="26">
        <v>15</v>
      </c>
      <c r="K306" s="21" t="s">
        <v>52</v>
      </c>
      <c r="L306" s="27">
        <v>221.7</v>
      </c>
      <c r="M306" s="21"/>
      <c r="N306" s="21"/>
      <c r="O306" s="21" t="s">
        <v>696</v>
      </c>
      <c r="P306" s="21" t="s">
        <v>54</v>
      </c>
      <c r="Q306" s="28">
        <v>46196</v>
      </c>
      <c r="R306" s="29">
        <v>46195.6144444444</v>
      </c>
      <c r="S306" s="21" t="s">
        <v>288</v>
      </c>
      <c r="T306" s="21"/>
      <c r="U306" s="21" t="s">
        <v>82</v>
      </c>
      <c r="V306" s="29">
        <v>46195.6143981482</v>
      </c>
      <c r="W306">
        <f>VLOOKUP(H306,物料編碼!A:B,2,0)</f>
        <v>1300607015</v>
      </c>
      <c r="X306">
        <v>1300607</v>
      </c>
      <c r="Y306" t="str">
        <f>VLOOKUP(X306,物料編碼!D:G,4,0)</f>
        <v>帶皮腿扒</v>
      </c>
      <c r="Z306" t="str">
        <f>VLOOKUP(C306,客戶屬性1!A:C,2,0)</f>
        <v>恒辉贸易公司</v>
      </c>
      <c r="AA306">
        <f>IF(COUNTIF($O$1:O306,O306)=1,L306,0)</f>
        <v>221.7</v>
      </c>
    </row>
    <row r="307" customHeight="1" spans="1:27">
      <c r="A307" s="21" t="s">
        <v>697</v>
      </c>
      <c r="B307" s="21" t="s">
        <v>45</v>
      </c>
      <c r="C307" s="21" t="s">
        <v>390</v>
      </c>
      <c r="D307" s="21" t="s">
        <v>391</v>
      </c>
      <c r="E307" s="21" t="s">
        <v>392</v>
      </c>
      <c r="F307" s="21" t="s">
        <v>49</v>
      </c>
      <c r="G307" s="21" t="s">
        <v>89</v>
      </c>
      <c r="H307" s="21" t="s">
        <v>161</v>
      </c>
      <c r="I307" s="26">
        <v>2</v>
      </c>
      <c r="J307" s="26">
        <v>40</v>
      </c>
      <c r="K307" s="21" t="s">
        <v>52</v>
      </c>
      <c r="L307" s="27">
        <v>3763.2</v>
      </c>
      <c r="M307" s="21"/>
      <c r="N307" s="21"/>
      <c r="O307" s="21" t="s">
        <v>698</v>
      </c>
      <c r="P307" s="21" t="s">
        <v>54</v>
      </c>
      <c r="Q307" s="28">
        <v>46196</v>
      </c>
      <c r="R307" s="29">
        <v>46195.563912037</v>
      </c>
      <c r="S307" s="21" t="s">
        <v>395</v>
      </c>
      <c r="T307" s="21"/>
      <c r="U307" s="21" t="s">
        <v>392</v>
      </c>
      <c r="V307" s="29">
        <v>46195.5638657407</v>
      </c>
      <c r="W307">
        <f>VLOOKUP(H307,物料編碼!A:B,2,0)</f>
        <v>1300501020</v>
      </c>
      <c r="X307">
        <v>1300501</v>
      </c>
      <c r="Y307" t="str">
        <f>VLOOKUP(X307,物料編碼!D:G,4,0)</f>
        <v>羊排</v>
      </c>
      <c r="Z307" t="str">
        <f>VLOOKUP(C307,客戶屬性1!A:C,2,0)</f>
        <v>美亚食品贸易有限公司</v>
      </c>
      <c r="AA307">
        <f>IF(COUNTIF($O$1:O307,O307)=1,L307,0)</f>
        <v>3763.2</v>
      </c>
    </row>
    <row r="308" customHeight="1" spans="1:27">
      <c r="A308" s="21" t="s">
        <v>699</v>
      </c>
      <c r="B308" s="21" t="s">
        <v>45</v>
      </c>
      <c r="C308" s="21" t="s">
        <v>390</v>
      </c>
      <c r="D308" s="21" t="s">
        <v>391</v>
      </c>
      <c r="E308" s="21" t="s">
        <v>392</v>
      </c>
      <c r="F308" s="21" t="s">
        <v>49</v>
      </c>
      <c r="G308" s="21" t="s">
        <v>89</v>
      </c>
      <c r="H308" s="21" t="s">
        <v>393</v>
      </c>
      <c r="I308" s="26">
        <v>25</v>
      </c>
      <c r="J308" s="26">
        <v>375</v>
      </c>
      <c r="K308" s="21" t="s">
        <v>52</v>
      </c>
      <c r="L308" s="27">
        <v>5542.5</v>
      </c>
      <c r="M308" s="21"/>
      <c r="N308" s="21"/>
      <c r="O308" s="21" t="s">
        <v>700</v>
      </c>
      <c r="P308" s="21" t="s">
        <v>54</v>
      </c>
      <c r="Q308" s="28">
        <v>46196</v>
      </c>
      <c r="R308" s="29">
        <v>46195.559224537</v>
      </c>
      <c r="S308" s="21" t="s">
        <v>395</v>
      </c>
      <c r="T308" s="21"/>
      <c r="U308" s="21" t="s">
        <v>392</v>
      </c>
      <c r="V308" s="29">
        <v>46195.5591782407</v>
      </c>
      <c r="W308">
        <f>VLOOKUP(H308,物料編碼!A:B,2,0)</f>
        <v>1300607016</v>
      </c>
      <c r="X308">
        <v>1300607</v>
      </c>
      <c r="Y308" t="str">
        <f>VLOOKUP(X308,物料編碼!D:G,4,0)</f>
        <v>帶皮腿扒</v>
      </c>
      <c r="Z308" t="str">
        <f>VLOOKUP(C308,客戶屬性1!A:C,2,0)</f>
        <v>美亚食品贸易有限公司</v>
      </c>
      <c r="AA308">
        <f>IF(COUNTIF($O$1:O308,O308)=1,L308,0)</f>
        <v>5542.5</v>
      </c>
    </row>
    <row r="309" customHeight="1" spans="1:27">
      <c r="A309" s="21" t="s">
        <v>701</v>
      </c>
      <c r="B309" s="21" t="s">
        <v>45</v>
      </c>
      <c r="C309" s="21" t="s">
        <v>197</v>
      </c>
      <c r="D309" s="21" t="s">
        <v>198</v>
      </c>
      <c r="E309" s="21" t="s">
        <v>199</v>
      </c>
      <c r="F309" s="21" t="s">
        <v>49</v>
      </c>
      <c r="G309" s="21" t="s">
        <v>136</v>
      </c>
      <c r="H309" s="21" t="s">
        <v>562</v>
      </c>
      <c r="I309" s="26">
        <v>4</v>
      </c>
      <c r="J309" s="26">
        <v>80</v>
      </c>
      <c r="K309" s="21" t="s">
        <v>52</v>
      </c>
      <c r="L309" s="27">
        <v>5820</v>
      </c>
      <c r="M309" s="21"/>
      <c r="N309" s="21"/>
      <c r="O309" s="21" t="s">
        <v>702</v>
      </c>
      <c r="P309" s="21" t="s">
        <v>54</v>
      </c>
      <c r="Q309" s="28">
        <v>46196</v>
      </c>
      <c r="R309" s="29">
        <v>46195.4974421296</v>
      </c>
      <c r="S309" s="21" t="s">
        <v>202</v>
      </c>
      <c r="T309" s="21"/>
      <c r="U309" s="21" t="s">
        <v>203</v>
      </c>
      <c r="V309" s="29">
        <v>46195.4973958333</v>
      </c>
      <c r="W309">
        <f>VLOOKUP(H309,物料編碼!A:B,2,0)</f>
        <v>1300501031</v>
      </c>
      <c r="X309">
        <v>1300501</v>
      </c>
      <c r="Y309" t="str">
        <f>VLOOKUP(X309,物料編碼!D:G,4,0)</f>
        <v>羊排</v>
      </c>
      <c r="Z309" t="str">
        <f>VLOOKUP(C309,客戶屬性1!A:C,2,0)</f>
        <v>信隆(亚洲)有限公司</v>
      </c>
      <c r="AA309">
        <f>IF(COUNTIF($O$1:O309,O309)=1,L309,0)</f>
        <v>5820</v>
      </c>
    </row>
    <row r="310" customHeight="1" spans="1:27">
      <c r="A310" s="21" t="s">
        <v>703</v>
      </c>
      <c r="B310" s="21" t="s">
        <v>45</v>
      </c>
      <c r="C310" s="21" t="s">
        <v>72</v>
      </c>
      <c r="D310" s="21" t="s">
        <v>73</v>
      </c>
      <c r="E310" s="21" t="s">
        <v>74</v>
      </c>
      <c r="F310" s="21" t="s">
        <v>49</v>
      </c>
      <c r="G310" s="21" t="s">
        <v>50</v>
      </c>
      <c r="H310" s="21" t="s">
        <v>63</v>
      </c>
      <c r="I310" s="26">
        <v>7</v>
      </c>
      <c r="J310" s="26">
        <v>175</v>
      </c>
      <c r="K310" s="21" t="s">
        <v>52</v>
      </c>
      <c r="L310" s="27">
        <v>5669.65</v>
      </c>
      <c r="M310" s="21"/>
      <c r="N310" s="21"/>
      <c r="O310" s="21" t="s">
        <v>704</v>
      </c>
      <c r="P310" s="21" t="s">
        <v>54</v>
      </c>
      <c r="Q310" s="28">
        <v>46196</v>
      </c>
      <c r="R310" s="29">
        <v>46195.494849537</v>
      </c>
      <c r="S310" s="21" t="s">
        <v>81</v>
      </c>
      <c r="T310" s="21"/>
      <c r="U310" s="21" t="s">
        <v>82</v>
      </c>
      <c r="V310" s="29">
        <v>46195.4948148148</v>
      </c>
      <c r="W310">
        <f>VLOOKUP(H310,物料編碼!A:B,2,0)</f>
        <v>1300109002</v>
      </c>
      <c r="X310">
        <v>1300109</v>
      </c>
      <c r="Y310" t="str">
        <f>VLOOKUP(X310,物料編碼!D:G,4,0)</f>
        <v>面精肉</v>
      </c>
      <c r="Z310" t="str">
        <f>VLOOKUP(C310,客戶屬性1!A:C,2,0)</f>
        <v>恒辉贸易公司</v>
      </c>
      <c r="AA310">
        <f>IF(COUNTIF($O$1:O310,O310)=1,L310,0)</f>
        <v>5669.65</v>
      </c>
    </row>
    <row r="311" customHeight="1" spans="1:27">
      <c r="A311" s="21" t="s">
        <v>705</v>
      </c>
      <c r="B311" s="21" t="s">
        <v>45</v>
      </c>
      <c r="C311" s="21" t="s">
        <v>133</v>
      </c>
      <c r="D311" s="21" t="s">
        <v>134</v>
      </c>
      <c r="E311" s="21" t="s">
        <v>135</v>
      </c>
      <c r="F311" s="21" t="s">
        <v>49</v>
      </c>
      <c r="G311" s="21" t="s">
        <v>136</v>
      </c>
      <c r="H311" s="21" t="s">
        <v>298</v>
      </c>
      <c r="I311" s="26">
        <v>2</v>
      </c>
      <c r="J311" s="26">
        <v>20</v>
      </c>
      <c r="K311" s="21" t="s">
        <v>52</v>
      </c>
      <c r="L311" s="27">
        <v>2649.9</v>
      </c>
      <c r="M311" s="21"/>
      <c r="N311" s="21"/>
      <c r="O311" s="21" t="s">
        <v>706</v>
      </c>
      <c r="P311" s="21" t="s">
        <v>54</v>
      </c>
      <c r="Q311" s="28">
        <v>46195</v>
      </c>
      <c r="R311" s="29">
        <v>46195.4817476852</v>
      </c>
      <c r="S311" s="21" t="s">
        <v>139</v>
      </c>
      <c r="T311" s="21"/>
      <c r="U311" s="21" t="s">
        <v>134</v>
      </c>
      <c r="V311" s="29">
        <v>46195.4817013889</v>
      </c>
      <c r="W311">
        <f>VLOOKUP(H311,物料編碼!A:B,2,0)</f>
        <v>1300111003</v>
      </c>
      <c r="X311">
        <v>1300111</v>
      </c>
      <c r="Y311" t="str">
        <f>VLOOKUP(X311,物料編碼!D:G,4,0)</f>
        <v>寸骨</v>
      </c>
      <c r="Z311" t="str">
        <f>VLOOKUP(C311,客戶屬性1!A:C,2,0)</f>
        <v>恒昌冻肉食品有限公司</v>
      </c>
      <c r="AA311">
        <f>IF(COUNTIF($O$1:O311,O311)=1,L311,0)</f>
        <v>2649.9</v>
      </c>
    </row>
    <row r="312" customHeight="1" spans="1:27">
      <c r="A312" s="21" t="s">
        <v>705</v>
      </c>
      <c r="B312" s="21" t="s">
        <v>45</v>
      </c>
      <c r="C312" s="21" t="s">
        <v>133</v>
      </c>
      <c r="D312" s="21" t="s">
        <v>134</v>
      </c>
      <c r="E312" s="21" t="s">
        <v>135</v>
      </c>
      <c r="F312" s="21" t="s">
        <v>49</v>
      </c>
      <c r="G312" s="21" t="s">
        <v>136</v>
      </c>
      <c r="H312" s="21" t="s">
        <v>137</v>
      </c>
      <c r="I312" s="26">
        <v>1</v>
      </c>
      <c r="J312" s="26">
        <v>18</v>
      </c>
      <c r="K312" s="21" t="s">
        <v>52</v>
      </c>
      <c r="L312" s="27">
        <v>2649.9</v>
      </c>
      <c r="M312" s="21"/>
      <c r="N312" s="21"/>
      <c r="O312" s="21" t="s">
        <v>706</v>
      </c>
      <c r="P312" s="21" t="s">
        <v>54</v>
      </c>
      <c r="Q312" s="28">
        <v>46195</v>
      </c>
      <c r="R312" s="29">
        <v>46195.4817476852</v>
      </c>
      <c r="S312" s="21" t="s">
        <v>139</v>
      </c>
      <c r="T312" s="21"/>
      <c r="U312" s="21" t="s">
        <v>134</v>
      </c>
      <c r="V312" s="29">
        <v>46195.4817013889</v>
      </c>
      <c r="W312">
        <f>VLOOKUP(H312,物料編碼!A:B,2,0)</f>
        <v>1300503009</v>
      </c>
      <c r="X312">
        <v>1300503</v>
      </c>
      <c r="Y312" t="str">
        <f>VLOOKUP(X312,物料編碼!D:G,4,0)</f>
        <v>羊肩卷肉</v>
      </c>
      <c r="Z312" t="str">
        <f>VLOOKUP(C312,客戶屬性1!A:C,2,0)</f>
        <v>恒昌冻肉食品有限公司</v>
      </c>
      <c r="AA312">
        <f>IF(COUNTIF($O$1:O312,O312)=1,L312,0)</f>
        <v>0</v>
      </c>
    </row>
    <row r="313" customHeight="1" spans="1:27">
      <c r="A313" s="21" t="s">
        <v>705</v>
      </c>
      <c r="B313" s="21" t="s">
        <v>45</v>
      </c>
      <c r="C313" s="21" t="s">
        <v>133</v>
      </c>
      <c r="D313" s="21" t="s">
        <v>134</v>
      </c>
      <c r="E313" s="21" t="s">
        <v>135</v>
      </c>
      <c r="F313" s="21" t="s">
        <v>49</v>
      </c>
      <c r="G313" s="21" t="s">
        <v>136</v>
      </c>
      <c r="H313" s="21" t="s">
        <v>274</v>
      </c>
      <c r="I313" s="26">
        <v>1</v>
      </c>
      <c r="J313" s="26">
        <v>10</v>
      </c>
      <c r="K313" s="21" t="s">
        <v>52</v>
      </c>
      <c r="L313" s="27">
        <v>2649.9</v>
      </c>
      <c r="M313" s="21"/>
      <c r="N313" s="21"/>
      <c r="O313" s="21" t="s">
        <v>706</v>
      </c>
      <c r="P313" s="21" t="s">
        <v>54</v>
      </c>
      <c r="Q313" s="28">
        <v>46195</v>
      </c>
      <c r="R313" s="29">
        <v>46195.4817476852</v>
      </c>
      <c r="S313" s="21" t="s">
        <v>139</v>
      </c>
      <c r="T313" s="21"/>
      <c r="U313" s="21" t="s">
        <v>134</v>
      </c>
      <c r="V313" s="29">
        <v>46195.4817013889</v>
      </c>
      <c r="W313">
        <f>VLOOKUP(H313,物料編碼!A:B,2,0)</f>
        <v>1300626003</v>
      </c>
      <c r="X313">
        <v>1300626</v>
      </c>
      <c r="Y313" t="str">
        <f>VLOOKUP(X313,物料編碼!D:G,4,0)</f>
        <v>翅根</v>
      </c>
      <c r="Z313" t="str">
        <f>VLOOKUP(C313,客戶屬性1!A:C,2,0)</f>
        <v>恒昌冻肉食品有限公司</v>
      </c>
      <c r="AA313">
        <f>IF(COUNTIF($O$1:O313,O313)=1,L313,0)</f>
        <v>0</v>
      </c>
    </row>
    <row r="314" customHeight="1" spans="1:27">
      <c r="A314" s="21" t="s">
        <v>705</v>
      </c>
      <c r="B314" s="21" t="s">
        <v>45</v>
      </c>
      <c r="C314" s="21" t="s">
        <v>133</v>
      </c>
      <c r="D314" s="21" t="s">
        <v>134</v>
      </c>
      <c r="E314" s="21" t="s">
        <v>135</v>
      </c>
      <c r="F314" s="21" t="s">
        <v>49</v>
      </c>
      <c r="G314" s="21" t="s">
        <v>136</v>
      </c>
      <c r="H314" s="21" t="s">
        <v>168</v>
      </c>
      <c r="I314" s="26">
        <v>1</v>
      </c>
      <c r="J314" s="26">
        <v>10</v>
      </c>
      <c r="K314" s="21" t="s">
        <v>52</v>
      </c>
      <c r="L314" s="27">
        <v>2649.9</v>
      </c>
      <c r="M314" s="21"/>
      <c r="N314" s="21"/>
      <c r="O314" s="21" t="s">
        <v>706</v>
      </c>
      <c r="P314" s="21" t="s">
        <v>54</v>
      </c>
      <c r="Q314" s="28">
        <v>46195</v>
      </c>
      <c r="R314" s="29">
        <v>46195.4817476852</v>
      </c>
      <c r="S314" s="21" t="s">
        <v>139</v>
      </c>
      <c r="T314" s="21"/>
      <c r="U314" s="21" t="s">
        <v>134</v>
      </c>
      <c r="V314" s="29">
        <v>46195.4817013889</v>
      </c>
      <c r="W314">
        <f>VLOOKUP(H314,物料編碼!A:B,2,0)</f>
        <v>1300627002</v>
      </c>
      <c r="X314">
        <v>1300627</v>
      </c>
      <c r="Y314" t="str">
        <f>VLOOKUP(X314,物料編碼!D:G,4,0)</f>
        <v>翅尖</v>
      </c>
      <c r="Z314" t="str">
        <f>VLOOKUP(C314,客戶屬性1!A:C,2,0)</f>
        <v>恒昌冻肉食品有限公司</v>
      </c>
      <c r="AA314">
        <f>IF(COUNTIF($O$1:O314,O314)=1,L314,0)</f>
        <v>0</v>
      </c>
    </row>
    <row r="315" customHeight="1" spans="1:27">
      <c r="A315" s="21" t="s">
        <v>707</v>
      </c>
      <c r="B315" s="21" t="s">
        <v>45</v>
      </c>
      <c r="C315" s="21" t="s">
        <v>133</v>
      </c>
      <c r="D315" s="21" t="s">
        <v>134</v>
      </c>
      <c r="E315" s="21" t="s">
        <v>135</v>
      </c>
      <c r="F315" s="21" t="s">
        <v>49</v>
      </c>
      <c r="G315" s="21" t="s">
        <v>136</v>
      </c>
      <c r="H315" s="21" t="s">
        <v>51</v>
      </c>
      <c r="I315" s="26">
        <v>2</v>
      </c>
      <c r="J315" s="26">
        <v>20</v>
      </c>
      <c r="K315" s="21" t="s">
        <v>52</v>
      </c>
      <c r="L315" s="27">
        <v>733.5</v>
      </c>
      <c r="M315" s="21"/>
      <c r="N315" s="21"/>
      <c r="O315" s="21" t="s">
        <v>708</v>
      </c>
      <c r="P315" s="21" t="s">
        <v>54</v>
      </c>
      <c r="Q315" s="28">
        <v>46195</v>
      </c>
      <c r="R315" s="29">
        <v>46195.4773958333</v>
      </c>
      <c r="S315" s="21" t="s">
        <v>139</v>
      </c>
      <c r="T315" s="21"/>
      <c r="U315" s="21" t="s">
        <v>134</v>
      </c>
      <c r="V315" s="29">
        <v>46195.477349537</v>
      </c>
      <c r="W315">
        <f>VLOOKUP(H315,物料編碼!A:B,2,0)</f>
        <v>1300624103</v>
      </c>
      <c r="X315">
        <v>1300624</v>
      </c>
      <c r="Y315" t="str">
        <f>VLOOKUP(X315,物料編碼!D:G,4,0)</f>
        <v>琵琶腿</v>
      </c>
      <c r="Z315" t="str">
        <f>VLOOKUP(C315,客戶屬性1!A:C,2,0)</f>
        <v>恒昌冻肉食品有限公司</v>
      </c>
      <c r="AA315">
        <f>IF(COUNTIF($O$1:O315,O315)=1,L315,0)</f>
        <v>733.5</v>
      </c>
    </row>
    <row r="316" customHeight="1" spans="1:27">
      <c r="A316" s="21" t="s">
        <v>707</v>
      </c>
      <c r="B316" s="21" t="s">
        <v>45</v>
      </c>
      <c r="C316" s="21" t="s">
        <v>133</v>
      </c>
      <c r="D316" s="21" t="s">
        <v>134</v>
      </c>
      <c r="E316" s="21" t="s">
        <v>135</v>
      </c>
      <c r="F316" s="21" t="s">
        <v>49</v>
      </c>
      <c r="G316" s="21" t="s">
        <v>136</v>
      </c>
      <c r="H316" s="21" t="s">
        <v>532</v>
      </c>
      <c r="I316" s="26">
        <v>2</v>
      </c>
      <c r="J316" s="26">
        <v>20</v>
      </c>
      <c r="K316" s="21" t="s">
        <v>52</v>
      </c>
      <c r="L316" s="27">
        <v>733.5</v>
      </c>
      <c r="M316" s="21"/>
      <c r="N316" s="21"/>
      <c r="O316" s="21" t="s">
        <v>708</v>
      </c>
      <c r="P316" s="21" t="s">
        <v>54</v>
      </c>
      <c r="Q316" s="28">
        <v>46195</v>
      </c>
      <c r="R316" s="29">
        <v>46195.4773958333</v>
      </c>
      <c r="S316" s="21" t="s">
        <v>139</v>
      </c>
      <c r="T316" s="21"/>
      <c r="U316" s="21" t="s">
        <v>134</v>
      </c>
      <c r="V316" s="29">
        <v>46195.477349537</v>
      </c>
      <c r="W316">
        <f>VLOOKUP(H316,物料編碼!A:B,2,0)</f>
        <v>1300903006</v>
      </c>
      <c r="X316">
        <v>1300903</v>
      </c>
      <c r="Y316" t="str">
        <f>VLOOKUP(X316,物料編碼!D:G,4,0)</f>
        <v>生鴨胸</v>
      </c>
      <c r="Z316" t="str">
        <f>VLOOKUP(C316,客戶屬性1!A:C,2,0)</f>
        <v>恒昌冻肉食品有限公司</v>
      </c>
      <c r="AA316">
        <f>IF(COUNTIF($O$1:O316,O316)=1,L316,0)</f>
        <v>0</v>
      </c>
    </row>
    <row r="317" customHeight="1" spans="1:27">
      <c r="A317" s="21" t="s">
        <v>707</v>
      </c>
      <c r="B317" s="21" t="s">
        <v>45</v>
      </c>
      <c r="C317" s="21" t="s">
        <v>133</v>
      </c>
      <c r="D317" s="21" t="s">
        <v>134</v>
      </c>
      <c r="E317" s="21" t="s">
        <v>135</v>
      </c>
      <c r="F317" s="21" t="s">
        <v>49</v>
      </c>
      <c r="G317" s="21" t="s">
        <v>136</v>
      </c>
      <c r="H317" s="21" t="s">
        <v>709</v>
      </c>
      <c r="I317" s="26">
        <v>3</v>
      </c>
      <c r="J317" s="26">
        <v>45</v>
      </c>
      <c r="K317" s="21" t="s">
        <v>52</v>
      </c>
      <c r="L317" s="27">
        <v>733.5</v>
      </c>
      <c r="M317" s="21"/>
      <c r="N317" s="21"/>
      <c r="O317" s="21" t="s">
        <v>708</v>
      </c>
      <c r="P317" s="21" t="s">
        <v>54</v>
      </c>
      <c r="Q317" s="28">
        <v>46195</v>
      </c>
      <c r="R317" s="29">
        <v>46195.4773958333</v>
      </c>
      <c r="S317" s="21" t="s">
        <v>139</v>
      </c>
      <c r="T317" s="21"/>
      <c r="U317" s="21" t="s">
        <v>134</v>
      </c>
      <c r="V317" s="29">
        <v>46195.477349537</v>
      </c>
      <c r="W317">
        <f>VLOOKUP(H317,物料編碼!A:B,2,0)</f>
        <v>1300605007</v>
      </c>
      <c r="X317">
        <v>1300605</v>
      </c>
      <c r="Y317" t="str">
        <f>VLOOKUP(X317,物料編碼!D:G,4,0)</f>
        <v>雞骨架</v>
      </c>
      <c r="Z317" t="str">
        <f>VLOOKUP(C317,客戶屬性1!A:C,2,0)</f>
        <v>恒昌冻肉食品有限公司</v>
      </c>
      <c r="AA317">
        <f>IF(COUNTIF($O$1:O317,O317)=1,L317,0)</f>
        <v>0</v>
      </c>
    </row>
    <row r="318" customHeight="1" spans="1:27">
      <c r="A318" s="21" t="s">
        <v>710</v>
      </c>
      <c r="B318" s="21" t="s">
        <v>45</v>
      </c>
      <c r="C318" s="21" t="s">
        <v>216</v>
      </c>
      <c r="D318" s="21" t="s">
        <v>217</v>
      </c>
      <c r="E318" s="21" t="s">
        <v>218</v>
      </c>
      <c r="F318" s="21" t="s">
        <v>49</v>
      </c>
      <c r="G318" s="21" t="s">
        <v>68</v>
      </c>
      <c r="H318" s="21" t="s">
        <v>590</v>
      </c>
      <c r="I318" s="26">
        <v>2</v>
      </c>
      <c r="J318" s="26">
        <v>50</v>
      </c>
      <c r="K318" s="21" t="s">
        <v>52</v>
      </c>
      <c r="L318" s="27">
        <v>1287</v>
      </c>
      <c r="M318" s="21"/>
      <c r="N318" s="21"/>
      <c r="O318" s="21" t="s">
        <v>711</v>
      </c>
      <c r="P318" s="21" t="s">
        <v>54</v>
      </c>
      <c r="Q318" s="28">
        <v>46195</v>
      </c>
      <c r="R318" s="29">
        <v>46195.4750231481</v>
      </c>
      <c r="S318" s="21" t="s">
        <v>221</v>
      </c>
      <c r="T318" s="21"/>
      <c r="U318" s="21" t="s">
        <v>222</v>
      </c>
      <c r="V318" s="29">
        <v>46195.4749652778</v>
      </c>
      <c r="W318">
        <f>VLOOKUP(H318,物料編碼!A:B,2,0)</f>
        <v>1300101040</v>
      </c>
      <c r="X318">
        <v>1300101</v>
      </c>
      <c r="Y318" t="str">
        <f>VLOOKUP(X318,物料編碼!D:G,4,0)</f>
        <v>一號肉</v>
      </c>
      <c r="Z318" t="str">
        <f>VLOOKUP(C318,客戶屬性1!A:C,2,0)</f>
        <v>天恒食品有限公司</v>
      </c>
      <c r="AA318">
        <f>IF(COUNTIF($O$1:O318,O318)=1,L318,0)</f>
        <v>1287</v>
      </c>
    </row>
    <row r="319" customHeight="1" spans="1:27">
      <c r="A319" s="21" t="s">
        <v>712</v>
      </c>
      <c r="B319" s="21" t="s">
        <v>45</v>
      </c>
      <c r="C319" s="21" t="s">
        <v>105</v>
      </c>
      <c r="D319" s="21" t="s">
        <v>106</v>
      </c>
      <c r="E319" s="21" t="s">
        <v>107</v>
      </c>
      <c r="F319" s="21" t="s">
        <v>49</v>
      </c>
      <c r="G319" s="21" t="s">
        <v>68</v>
      </c>
      <c r="H319" s="21" t="s">
        <v>239</v>
      </c>
      <c r="I319" s="26">
        <v>2</v>
      </c>
      <c r="J319" s="26">
        <v>20</v>
      </c>
      <c r="K319" s="21" t="s">
        <v>52</v>
      </c>
      <c r="L319" s="27">
        <v>2631.3</v>
      </c>
      <c r="M319" s="21"/>
      <c r="N319" s="21"/>
      <c r="O319" s="21" t="s">
        <v>713</v>
      </c>
      <c r="P319" s="21" t="s">
        <v>54</v>
      </c>
      <c r="Q319" s="28">
        <v>46196</v>
      </c>
      <c r="R319" s="29">
        <v>46195.4712384259</v>
      </c>
      <c r="S319" s="21" t="s">
        <v>109</v>
      </c>
      <c r="T319" s="21"/>
      <c r="U319" s="21" t="s">
        <v>110</v>
      </c>
      <c r="V319" s="29">
        <v>46195.4711921296</v>
      </c>
      <c r="W319">
        <f>VLOOKUP(H319,物料編碼!A:B,2,0)</f>
        <v>1300904023</v>
      </c>
      <c r="X319">
        <v>1300904</v>
      </c>
      <c r="Y319" t="str">
        <f>VLOOKUP(X319,物料編碼!D:G,4,0)</f>
        <v>煙熏鴨胸</v>
      </c>
      <c r="Z319" t="str">
        <f>VLOOKUP(C319,客戶屬性1!A:C,2,0)</f>
        <v>MING KEE</v>
      </c>
      <c r="AA319">
        <f>IF(COUNTIF($O$1:O319,O319)=1,L319,0)</f>
        <v>2631.3</v>
      </c>
    </row>
    <row r="320" customHeight="1" spans="1:27">
      <c r="A320" s="21" t="s">
        <v>712</v>
      </c>
      <c r="B320" s="21" t="s">
        <v>45</v>
      </c>
      <c r="C320" s="21" t="s">
        <v>105</v>
      </c>
      <c r="D320" s="21" t="s">
        <v>106</v>
      </c>
      <c r="E320" s="21" t="s">
        <v>107</v>
      </c>
      <c r="F320" s="21" t="s">
        <v>49</v>
      </c>
      <c r="G320" s="21" t="s">
        <v>68</v>
      </c>
      <c r="H320" s="21" t="s">
        <v>60</v>
      </c>
      <c r="I320" s="26">
        <v>2</v>
      </c>
      <c r="J320" s="26">
        <v>50</v>
      </c>
      <c r="K320" s="21" t="s">
        <v>52</v>
      </c>
      <c r="L320" s="27">
        <v>2631.3</v>
      </c>
      <c r="M320" s="21"/>
      <c r="N320" s="21"/>
      <c r="O320" s="21" t="s">
        <v>713</v>
      </c>
      <c r="P320" s="21" t="s">
        <v>54</v>
      </c>
      <c r="Q320" s="28">
        <v>46196</v>
      </c>
      <c r="R320" s="29">
        <v>46195.4712384259</v>
      </c>
      <c r="S320" s="21" t="s">
        <v>109</v>
      </c>
      <c r="T320" s="21"/>
      <c r="U320" s="21" t="s">
        <v>110</v>
      </c>
      <c r="V320" s="29">
        <v>46195.4711921296</v>
      </c>
      <c r="W320">
        <f>VLOOKUP(H320,物料編碼!A:B,2,0)</f>
        <v>1300101043</v>
      </c>
      <c r="X320">
        <v>1300101</v>
      </c>
      <c r="Y320" t="str">
        <f>VLOOKUP(X320,物料編碼!D:G,4,0)</f>
        <v>一號肉</v>
      </c>
      <c r="Z320" t="str">
        <f>VLOOKUP(C320,客戶屬性1!A:C,2,0)</f>
        <v>MING KEE</v>
      </c>
      <c r="AA320">
        <f>IF(COUNTIF($O$1:O320,O320)=1,L320,0)</f>
        <v>0</v>
      </c>
    </row>
    <row r="321" customHeight="1" spans="1:27">
      <c r="A321" s="21" t="s">
        <v>712</v>
      </c>
      <c r="B321" s="21" t="s">
        <v>45</v>
      </c>
      <c r="C321" s="21" t="s">
        <v>105</v>
      </c>
      <c r="D321" s="21" t="s">
        <v>106</v>
      </c>
      <c r="E321" s="21" t="s">
        <v>107</v>
      </c>
      <c r="F321" s="21" t="s">
        <v>49</v>
      </c>
      <c r="G321" s="21" t="s">
        <v>68</v>
      </c>
      <c r="H321" s="21" t="s">
        <v>714</v>
      </c>
      <c r="I321" s="26">
        <v>3</v>
      </c>
      <c r="J321" s="26">
        <v>30</v>
      </c>
      <c r="K321" s="21" t="s">
        <v>52</v>
      </c>
      <c r="L321" s="27">
        <v>2631.3</v>
      </c>
      <c r="M321" s="21"/>
      <c r="N321" s="21"/>
      <c r="O321" s="21" t="s">
        <v>713</v>
      </c>
      <c r="P321" s="21" t="s">
        <v>54</v>
      </c>
      <c r="Q321" s="28">
        <v>46196</v>
      </c>
      <c r="R321" s="29">
        <v>46195.4712384259</v>
      </c>
      <c r="S321" s="21" t="s">
        <v>109</v>
      </c>
      <c r="T321" s="21"/>
      <c r="U321" s="21" t="s">
        <v>110</v>
      </c>
      <c r="V321" s="29">
        <v>46195.4711921296</v>
      </c>
      <c r="W321">
        <f>VLOOKUP(H321,物料編碼!A:B,2,0)</f>
        <v>1300902010</v>
      </c>
      <c r="X321">
        <v>1300902</v>
      </c>
      <c r="Y321" t="str">
        <f>VLOOKUP(X321,物料編碼!D:G,4,0)</f>
        <v>帶骨整腿</v>
      </c>
      <c r="Z321" t="str">
        <f>VLOOKUP(C321,客戶屬性1!A:C,2,0)</f>
        <v>MING KEE</v>
      </c>
      <c r="AA321">
        <f>IF(COUNTIF($O$1:O321,O321)=1,L321,0)</f>
        <v>0</v>
      </c>
    </row>
    <row r="322" customHeight="1" spans="1:27">
      <c r="A322" s="21" t="s">
        <v>715</v>
      </c>
      <c r="B322" s="21" t="s">
        <v>45</v>
      </c>
      <c r="C322" s="21" t="s">
        <v>141</v>
      </c>
      <c r="D322" s="21" t="s">
        <v>142</v>
      </c>
      <c r="E322" s="21" t="s">
        <v>142</v>
      </c>
      <c r="F322" s="21" t="s">
        <v>143</v>
      </c>
      <c r="G322" s="21" t="s">
        <v>100</v>
      </c>
      <c r="H322" s="21" t="s">
        <v>298</v>
      </c>
      <c r="I322" s="26">
        <v>1</v>
      </c>
      <c r="J322" s="26">
        <v>10</v>
      </c>
      <c r="K322" s="21" t="s">
        <v>52</v>
      </c>
      <c r="L322" s="27">
        <v>1537.2</v>
      </c>
      <c r="M322" s="21"/>
      <c r="N322" s="21"/>
      <c r="O322" s="21" t="s">
        <v>716</v>
      </c>
      <c r="P322" s="21" t="s">
        <v>54</v>
      </c>
      <c r="Q322" s="28">
        <v>46196</v>
      </c>
      <c r="R322" s="29">
        <v>46195.4657060185</v>
      </c>
      <c r="S322" s="21" t="s">
        <v>145</v>
      </c>
      <c r="T322" s="21"/>
      <c r="U322" s="21" t="s">
        <v>142</v>
      </c>
      <c r="V322" s="29">
        <v>46195.4656597222</v>
      </c>
      <c r="W322">
        <f>VLOOKUP(H322,物料編碼!A:B,2,0)</f>
        <v>1300111003</v>
      </c>
      <c r="X322">
        <v>1300111</v>
      </c>
      <c r="Y322" t="str">
        <f>VLOOKUP(X322,物料編碼!D:G,4,0)</f>
        <v>寸骨</v>
      </c>
      <c r="Z322" t="str">
        <f>VLOOKUP(C322,客戶屬性1!A:C,2,0)</f>
        <v>新昌冻肉</v>
      </c>
      <c r="AA322">
        <f>IF(COUNTIF($O$1:O322,O322)=1,L322,0)</f>
        <v>1537.2</v>
      </c>
    </row>
    <row r="323" customHeight="1" spans="1:27">
      <c r="A323" s="21" t="s">
        <v>715</v>
      </c>
      <c r="B323" s="21" t="s">
        <v>45</v>
      </c>
      <c r="C323" s="21" t="s">
        <v>141</v>
      </c>
      <c r="D323" s="21" t="s">
        <v>142</v>
      </c>
      <c r="E323" s="21" t="s">
        <v>142</v>
      </c>
      <c r="F323" s="21" t="s">
        <v>143</v>
      </c>
      <c r="G323" s="21" t="s">
        <v>100</v>
      </c>
      <c r="H323" s="21" t="s">
        <v>146</v>
      </c>
      <c r="I323" s="26">
        <v>2</v>
      </c>
      <c r="J323" s="26">
        <v>30</v>
      </c>
      <c r="K323" s="21" t="s">
        <v>52</v>
      </c>
      <c r="L323" s="27">
        <v>1537.2</v>
      </c>
      <c r="M323" s="21"/>
      <c r="N323" s="21"/>
      <c r="O323" s="21" t="s">
        <v>716</v>
      </c>
      <c r="P323" s="21" t="s">
        <v>54</v>
      </c>
      <c r="Q323" s="28">
        <v>46196</v>
      </c>
      <c r="R323" s="29">
        <v>46195.4657060185</v>
      </c>
      <c r="S323" s="21" t="s">
        <v>145</v>
      </c>
      <c r="T323" s="21"/>
      <c r="U323" s="21" t="s">
        <v>142</v>
      </c>
      <c r="V323" s="29">
        <v>46195.4656597222</v>
      </c>
      <c r="W323">
        <f>VLOOKUP(H323,物料編碼!A:B,2,0)</f>
        <v>1300603041</v>
      </c>
      <c r="X323">
        <v>1300603</v>
      </c>
      <c r="Y323" t="str">
        <f>VLOOKUP(X323,物料編碼!D:G,4,0)</f>
        <v>帶骨全腿</v>
      </c>
      <c r="Z323" t="str">
        <f>VLOOKUP(C323,客戶屬性1!A:C,2,0)</f>
        <v>新昌冻肉</v>
      </c>
      <c r="AA323">
        <f>IF(COUNTIF($O$1:O323,O323)=1,L323,0)</f>
        <v>0</v>
      </c>
    </row>
    <row r="324" customHeight="1" spans="1:27">
      <c r="A324" s="21" t="s">
        <v>715</v>
      </c>
      <c r="B324" s="21" t="s">
        <v>45</v>
      </c>
      <c r="C324" s="21" t="s">
        <v>141</v>
      </c>
      <c r="D324" s="21" t="s">
        <v>142</v>
      </c>
      <c r="E324" s="21" t="s">
        <v>142</v>
      </c>
      <c r="F324" s="21" t="s">
        <v>143</v>
      </c>
      <c r="G324" s="21" t="s">
        <v>100</v>
      </c>
      <c r="H324" s="21" t="s">
        <v>117</v>
      </c>
      <c r="I324" s="26">
        <v>3</v>
      </c>
      <c r="J324" s="26">
        <v>45</v>
      </c>
      <c r="K324" s="21" t="s">
        <v>52</v>
      </c>
      <c r="L324" s="27">
        <v>1537.2</v>
      </c>
      <c r="M324" s="21"/>
      <c r="N324" s="21"/>
      <c r="O324" s="21" t="s">
        <v>716</v>
      </c>
      <c r="P324" s="21" t="s">
        <v>54</v>
      </c>
      <c r="Q324" s="28">
        <v>46196</v>
      </c>
      <c r="R324" s="29">
        <v>46195.4657060185</v>
      </c>
      <c r="S324" s="21" t="s">
        <v>145</v>
      </c>
      <c r="T324" s="21"/>
      <c r="U324" s="21" t="s">
        <v>142</v>
      </c>
      <c r="V324" s="29">
        <v>46195.4656597222</v>
      </c>
      <c r="W324">
        <f>VLOOKUP(H324,物料編碼!A:B,2,0)</f>
        <v>1300607015</v>
      </c>
      <c r="X324">
        <v>1300607</v>
      </c>
      <c r="Y324" t="str">
        <f>VLOOKUP(X324,物料編碼!D:G,4,0)</f>
        <v>帶皮腿扒</v>
      </c>
      <c r="Z324" t="str">
        <f>VLOOKUP(C324,客戶屬性1!A:C,2,0)</f>
        <v>新昌冻肉</v>
      </c>
      <c r="AA324">
        <f>IF(COUNTIF($O$1:O324,O324)=1,L324,0)</f>
        <v>0</v>
      </c>
    </row>
    <row r="325" customHeight="1" spans="1:27">
      <c r="A325" s="21" t="s">
        <v>717</v>
      </c>
      <c r="B325" s="21" t="s">
        <v>45</v>
      </c>
      <c r="C325" s="21" t="s">
        <v>158</v>
      </c>
      <c r="D325" s="21" t="s">
        <v>159</v>
      </c>
      <c r="E325" s="21" t="s">
        <v>160</v>
      </c>
      <c r="F325" s="21" t="s">
        <v>49</v>
      </c>
      <c r="G325" s="21" t="s">
        <v>68</v>
      </c>
      <c r="H325" s="21" t="s">
        <v>179</v>
      </c>
      <c r="I325" s="26">
        <v>2</v>
      </c>
      <c r="J325" s="26">
        <v>50</v>
      </c>
      <c r="K325" s="21" t="s">
        <v>52</v>
      </c>
      <c r="L325" s="27">
        <v>1608.75</v>
      </c>
      <c r="M325" s="21"/>
      <c r="N325" s="21"/>
      <c r="O325" s="21" t="s">
        <v>718</v>
      </c>
      <c r="P325" s="21" t="s">
        <v>54</v>
      </c>
      <c r="Q325" s="28">
        <v>46196</v>
      </c>
      <c r="R325" s="29">
        <v>46195.4599537037</v>
      </c>
      <c r="S325" s="21" t="s">
        <v>163</v>
      </c>
      <c r="T325" s="21"/>
      <c r="U325" s="21" t="s">
        <v>164</v>
      </c>
      <c r="V325" s="29">
        <v>46195.4598958333</v>
      </c>
      <c r="W325">
        <f>VLOOKUP(H325,物料編碼!A:B,2,0)</f>
        <v>1300109012</v>
      </c>
      <c r="X325">
        <v>1300109</v>
      </c>
      <c r="Y325" t="str">
        <f>VLOOKUP(X325,物料編碼!D:G,4,0)</f>
        <v>面精肉</v>
      </c>
      <c r="Z325" t="str">
        <f>VLOOKUP(C325,客戶屬性1!A:C,2,0)</f>
        <v>先进食品国际有限公司</v>
      </c>
      <c r="AA325">
        <f>IF(COUNTIF($O$1:O325,O325)=1,L325,0)</f>
        <v>1608.75</v>
      </c>
    </row>
    <row r="326" customHeight="1" spans="1:27">
      <c r="A326" s="21" t="s">
        <v>719</v>
      </c>
      <c r="B326" s="21" t="s">
        <v>45</v>
      </c>
      <c r="C326" s="21" t="s">
        <v>65</v>
      </c>
      <c r="D326" s="21" t="s">
        <v>66</v>
      </c>
      <c r="E326" s="21" t="s">
        <v>67</v>
      </c>
      <c r="F326" s="21" t="s">
        <v>49</v>
      </c>
      <c r="G326" s="21" t="s">
        <v>68</v>
      </c>
      <c r="H326" s="21" t="s">
        <v>590</v>
      </c>
      <c r="I326" s="26">
        <v>5</v>
      </c>
      <c r="J326" s="26">
        <v>125</v>
      </c>
      <c r="K326" s="21" t="s">
        <v>52</v>
      </c>
      <c r="L326" s="27">
        <v>3185</v>
      </c>
      <c r="M326" s="21"/>
      <c r="N326" s="21"/>
      <c r="O326" s="21" t="s">
        <v>720</v>
      </c>
      <c r="P326" s="21" t="s">
        <v>54</v>
      </c>
      <c r="Q326" s="28">
        <v>46195</v>
      </c>
      <c r="R326" s="29">
        <v>46195.4452083333</v>
      </c>
      <c r="S326" s="21" t="s">
        <v>70</v>
      </c>
      <c r="T326" s="21"/>
      <c r="U326" s="21" t="s">
        <v>67</v>
      </c>
      <c r="V326" s="29">
        <v>46195.4451736111</v>
      </c>
      <c r="W326">
        <f>VLOOKUP(H326,物料編碼!A:B,2,0)</f>
        <v>1300101040</v>
      </c>
      <c r="X326">
        <v>1300101</v>
      </c>
      <c r="Y326" t="str">
        <f>VLOOKUP(X326,物料編碼!D:G,4,0)</f>
        <v>一號肉</v>
      </c>
      <c r="Z326" t="str">
        <f>VLOOKUP(C326,客戶屬性1!A:C,2,0)</f>
        <v>万骏贸易公司</v>
      </c>
      <c r="AA326">
        <f>IF(COUNTIF($O$1:O326,O326)=1,L326,0)</f>
        <v>3185</v>
      </c>
    </row>
    <row r="327" customHeight="1" spans="1:27">
      <c r="A327" s="21" t="s">
        <v>721</v>
      </c>
      <c r="B327" s="21" t="s">
        <v>45</v>
      </c>
      <c r="C327" s="21" t="s">
        <v>46</v>
      </c>
      <c r="D327" s="21" t="s">
        <v>47</v>
      </c>
      <c r="E327" s="21" t="s">
        <v>48</v>
      </c>
      <c r="F327" s="21" t="s">
        <v>49</v>
      </c>
      <c r="G327" s="21" t="s">
        <v>50</v>
      </c>
      <c r="H327" s="21" t="s">
        <v>51</v>
      </c>
      <c r="I327" s="26">
        <v>1</v>
      </c>
      <c r="J327" s="26">
        <v>10</v>
      </c>
      <c r="K327" s="21" t="s">
        <v>52</v>
      </c>
      <c r="L327" s="27">
        <v>130</v>
      </c>
      <c r="M327" s="21"/>
      <c r="N327" s="21"/>
      <c r="O327" s="21" t="s">
        <v>722</v>
      </c>
      <c r="P327" s="21" t="s">
        <v>54</v>
      </c>
      <c r="Q327" s="28">
        <v>46195</v>
      </c>
      <c r="R327" s="29">
        <v>46195.4449884259</v>
      </c>
      <c r="S327" s="21" t="s">
        <v>55</v>
      </c>
      <c r="T327" s="21"/>
      <c r="U327" s="21" t="s">
        <v>47</v>
      </c>
      <c r="V327" s="29">
        <v>46195.4449421296</v>
      </c>
      <c r="W327">
        <f>VLOOKUP(H327,物料編碼!A:B,2,0)</f>
        <v>1300624103</v>
      </c>
      <c r="X327">
        <v>1300624</v>
      </c>
      <c r="Y327" t="str">
        <f>VLOOKUP(X327,物料編碼!D:G,4,0)</f>
        <v>琵琶腿</v>
      </c>
      <c r="Z327" t="str">
        <f>VLOOKUP(C327,客戶屬性1!A:C,2,0)</f>
        <v>明记冻肉</v>
      </c>
      <c r="AA327">
        <f>IF(COUNTIF($O$1:O327,O327)=1,L327,0)</f>
        <v>130</v>
      </c>
    </row>
    <row r="328" customHeight="1" spans="1:27">
      <c r="A328" s="21" t="s">
        <v>723</v>
      </c>
      <c r="B328" s="21" t="s">
        <v>45</v>
      </c>
      <c r="C328" s="21" t="s">
        <v>72</v>
      </c>
      <c r="D328" s="21" t="s">
        <v>73</v>
      </c>
      <c r="E328" s="21" t="s">
        <v>74</v>
      </c>
      <c r="F328" s="21" t="s">
        <v>49</v>
      </c>
      <c r="G328" s="21" t="s">
        <v>50</v>
      </c>
      <c r="H328" s="21" t="s">
        <v>393</v>
      </c>
      <c r="I328" s="26">
        <v>1</v>
      </c>
      <c r="J328" s="26">
        <v>15</v>
      </c>
      <c r="K328" s="21" t="s">
        <v>52</v>
      </c>
      <c r="L328" s="27">
        <v>221.7</v>
      </c>
      <c r="M328" s="21"/>
      <c r="N328" s="21"/>
      <c r="O328" s="21" t="s">
        <v>724</v>
      </c>
      <c r="P328" s="21" t="s">
        <v>54</v>
      </c>
      <c r="Q328" s="28">
        <v>46195</v>
      </c>
      <c r="R328" s="29">
        <v>46195.4223958333</v>
      </c>
      <c r="S328" s="21" t="s">
        <v>81</v>
      </c>
      <c r="T328" s="21"/>
      <c r="U328" s="21" t="s">
        <v>82</v>
      </c>
      <c r="V328" s="29">
        <v>46195.422349537</v>
      </c>
      <c r="W328">
        <f>VLOOKUP(H328,物料編碼!A:B,2,0)</f>
        <v>1300607016</v>
      </c>
      <c r="X328">
        <v>1300607</v>
      </c>
      <c r="Y328" t="str">
        <f>VLOOKUP(X328,物料編碼!D:G,4,0)</f>
        <v>帶皮腿扒</v>
      </c>
      <c r="Z328" t="str">
        <f>VLOOKUP(C328,客戶屬性1!A:C,2,0)</f>
        <v>恒辉贸易公司</v>
      </c>
      <c r="AA328">
        <f>IF(COUNTIF($O$1:O328,O328)=1,L328,0)</f>
        <v>221.7</v>
      </c>
    </row>
    <row r="329" customHeight="1" spans="1:27">
      <c r="A329" s="21" t="s">
        <v>725</v>
      </c>
      <c r="B329" s="21" t="s">
        <v>45</v>
      </c>
      <c r="C329" s="21" t="s">
        <v>57</v>
      </c>
      <c r="D329" s="21" t="s">
        <v>58</v>
      </c>
      <c r="E329" s="21" t="s">
        <v>59</v>
      </c>
      <c r="F329" s="21" t="s">
        <v>49</v>
      </c>
      <c r="G329" s="21" t="s">
        <v>50</v>
      </c>
      <c r="H329" s="21" t="s">
        <v>60</v>
      </c>
      <c r="I329" s="26">
        <v>15</v>
      </c>
      <c r="J329" s="26">
        <v>375</v>
      </c>
      <c r="K329" s="21" t="s">
        <v>52</v>
      </c>
      <c r="L329" s="27">
        <v>15369.65</v>
      </c>
      <c r="M329" s="21"/>
      <c r="N329" s="21"/>
      <c r="O329" s="21" t="s">
        <v>726</v>
      </c>
      <c r="P329" s="21" t="s">
        <v>54</v>
      </c>
      <c r="Q329" s="28">
        <v>46196</v>
      </c>
      <c r="R329" s="29">
        <v>46195.4166898148</v>
      </c>
      <c r="S329" s="21" t="s">
        <v>62</v>
      </c>
      <c r="T329" s="21"/>
      <c r="U329" s="21" t="s">
        <v>59</v>
      </c>
      <c r="V329" s="29">
        <v>46195.4166435185</v>
      </c>
      <c r="W329">
        <f>VLOOKUP(H329,物料編碼!A:B,2,0)</f>
        <v>1300101043</v>
      </c>
      <c r="X329">
        <v>1300101</v>
      </c>
      <c r="Y329" t="str">
        <f>VLOOKUP(X329,物料編碼!D:G,4,0)</f>
        <v>一號肉</v>
      </c>
      <c r="Z329" t="str">
        <f>VLOOKUP(C329,客戶屬性1!A:C,2,0)</f>
        <v>翎凰冻肉有限公司</v>
      </c>
      <c r="AA329">
        <f>IF(COUNTIF($O$1:O329,O329)=1,L329,0)</f>
        <v>15369.65</v>
      </c>
    </row>
    <row r="330" customHeight="1" spans="1:27">
      <c r="A330" s="21" t="s">
        <v>725</v>
      </c>
      <c r="B330" s="21" t="s">
        <v>45</v>
      </c>
      <c r="C330" s="21" t="s">
        <v>57</v>
      </c>
      <c r="D330" s="21" t="s">
        <v>58</v>
      </c>
      <c r="E330" s="21" t="s">
        <v>59</v>
      </c>
      <c r="F330" s="21" t="s">
        <v>49</v>
      </c>
      <c r="G330" s="21" t="s">
        <v>50</v>
      </c>
      <c r="H330" s="21" t="s">
        <v>63</v>
      </c>
      <c r="I330" s="26">
        <v>2</v>
      </c>
      <c r="J330" s="26">
        <v>50</v>
      </c>
      <c r="K330" s="21" t="s">
        <v>52</v>
      </c>
      <c r="L330" s="27">
        <v>15369.65</v>
      </c>
      <c r="M330" s="21"/>
      <c r="N330" s="21"/>
      <c r="O330" s="21" t="s">
        <v>726</v>
      </c>
      <c r="P330" s="21" t="s">
        <v>54</v>
      </c>
      <c r="Q330" s="28">
        <v>46196</v>
      </c>
      <c r="R330" s="29">
        <v>46195.4166898148</v>
      </c>
      <c r="S330" s="21" t="s">
        <v>62</v>
      </c>
      <c r="T330" s="21"/>
      <c r="U330" s="21" t="s">
        <v>59</v>
      </c>
      <c r="V330" s="29">
        <v>46195.4166435185</v>
      </c>
      <c r="W330">
        <f>VLOOKUP(H330,物料編碼!A:B,2,0)</f>
        <v>1300109002</v>
      </c>
      <c r="X330">
        <v>1300109</v>
      </c>
      <c r="Y330" t="str">
        <f>VLOOKUP(X330,物料編碼!D:G,4,0)</f>
        <v>面精肉</v>
      </c>
      <c r="Z330" t="str">
        <f>VLOOKUP(C330,客戶屬性1!A:C,2,0)</f>
        <v>翎凰冻肉有限公司</v>
      </c>
      <c r="AA330">
        <f>IF(COUNTIF($O$1:O330,O330)=1,L330,0)</f>
        <v>0</v>
      </c>
    </row>
    <row r="331" customHeight="1" spans="1:27">
      <c r="A331" s="21" t="s">
        <v>727</v>
      </c>
      <c r="B331" s="21" t="s">
        <v>45</v>
      </c>
      <c r="C331" s="21" t="s">
        <v>72</v>
      </c>
      <c r="D331" s="21" t="s">
        <v>73</v>
      </c>
      <c r="E331" s="21" t="s">
        <v>74</v>
      </c>
      <c r="F331" s="21" t="s">
        <v>49</v>
      </c>
      <c r="G331" s="21" t="s">
        <v>50</v>
      </c>
      <c r="H331" s="21" t="s">
        <v>75</v>
      </c>
      <c r="I331" s="26">
        <v>1</v>
      </c>
      <c r="J331" s="26">
        <v>15</v>
      </c>
      <c r="K331" s="21" t="s">
        <v>52</v>
      </c>
      <c r="L331" s="27">
        <v>188.55</v>
      </c>
      <c r="M331" s="21"/>
      <c r="N331" s="21"/>
      <c r="O331" s="21" t="s">
        <v>728</v>
      </c>
      <c r="P331" s="21" t="s">
        <v>54</v>
      </c>
      <c r="Q331" s="28">
        <v>46195</v>
      </c>
      <c r="R331" s="29">
        <v>46195.4043865741</v>
      </c>
      <c r="S331" s="21" t="s">
        <v>77</v>
      </c>
      <c r="T331" s="21"/>
      <c r="U331" s="21" t="s">
        <v>74</v>
      </c>
      <c r="V331" s="29">
        <v>46195.4043402778</v>
      </c>
      <c r="W331">
        <f>VLOOKUP(H331,物料編碼!A:B,2,0)</f>
        <v>1300603040</v>
      </c>
      <c r="X331">
        <v>1300603</v>
      </c>
      <c r="Y331" t="str">
        <f>VLOOKUP(X331,物料編碼!D:G,4,0)</f>
        <v>帶骨全腿</v>
      </c>
      <c r="Z331" t="str">
        <f>VLOOKUP(C331,客戶屬性1!A:C,2,0)</f>
        <v>恒辉贸易公司</v>
      </c>
      <c r="AA331">
        <f>IF(COUNTIF($O$1:O331,O331)=1,L331,0)</f>
        <v>188.55</v>
      </c>
    </row>
    <row r="332" customHeight="1" spans="1:27">
      <c r="A332" s="21" t="s">
        <v>729</v>
      </c>
      <c r="B332" s="21" t="s">
        <v>45</v>
      </c>
      <c r="C332" s="21" t="s">
        <v>72</v>
      </c>
      <c r="D332" s="21" t="s">
        <v>73</v>
      </c>
      <c r="E332" s="21" t="s">
        <v>74</v>
      </c>
      <c r="F332" s="21" t="s">
        <v>49</v>
      </c>
      <c r="G332" s="21" t="s">
        <v>50</v>
      </c>
      <c r="H332" s="21" t="s">
        <v>190</v>
      </c>
      <c r="I332" s="26">
        <v>2</v>
      </c>
      <c r="J332" s="26">
        <v>24</v>
      </c>
      <c r="K332" s="21" t="s">
        <v>52</v>
      </c>
      <c r="L332" s="27">
        <v>379.2</v>
      </c>
      <c r="M332" s="21"/>
      <c r="N332" s="21"/>
      <c r="O332" s="21" t="s">
        <v>730</v>
      </c>
      <c r="P332" s="21" t="s">
        <v>54</v>
      </c>
      <c r="Q332" s="28">
        <v>46195</v>
      </c>
      <c r="R332" s="29">
        <v>46195.3983564815</v>
      </c>
      <c r="S332" s="21" t="s">
        <v>77</v>
      </c>
      <c r="T332" s="21"/>
      <c r="U332" s="21" t="s">
        <v>74</v>
      </c>
      <c r="V332" s="29">
        <v>46195.3983101852</v>
      </c>
      <c r="W332">
        <f>VLOOKUP(H332,物料編碼!A:B,2,0)</f>
        <v>1300609001</v>
      </c>
      <c r="X332">
        <v>1300609</v>
      </c>
      <c r="Y332" t="str">
        <f>VLOOKUP(X332,物料編碼!D:G,4,0)</f>
        <v>去皮上腿肉</v>
      </c>
      <c r="Z332" t="str">
        <f>VLOOKUP(C332,客戶屬性1!A:C,2,0)</f>
        <v>恒辉贸易公司</v>
      </c>
      <c r="AA332">
        <f>IF(COUNTIF($O$1:O332,O332)=1,L332,0)</f>
        <v>379.2</v>
      </c>
    </row>
    <row r="333" customHeight="1" spans="1:27">
      <c r="A333" s="21" t="s">
        <v>731</v>
      </c>
      <c r="B333" s="21" t="s">
        <v>45</v>
      </c>
      <c r="C333" s="21" t="s">
        <v>126</v>
      </c>
      <c r="D333" s="21" t="s">
        <v>127</v>
      </c>
      <c r="E333" s="21" t="s">
        <v>128</v>
      </c>
      <c r="F333" s="21" t="s">
        <v>49</v>
      </c>
      <c r="G333" s="21" t="s">
        <v>129</v>
      </c>
      <c r="H333" s="21" t="s">
        <v>117</v>
      </c>
      <c r="I333" s="26">
        <v>15</v>
      </c>
      <c r="J333" s="26">
        <v>225</v>
      </c>
      <c r="K333" s="21" t="s">
        <v>52</v>
      </c>
      <c r="L333" s="27">
        <v>3325.5</v>
      </c>
      <c r="M333" s="21"/>
      <c r="N333" s="21"/>
      <c r="O333" s="21" t="s">
        <v>732</v>
      </c>
      <c r="P333" s="21" t="s">
        <v>54</v>
      </c>
      <c r="Q333" s="28">
        <v>46195</v>
      </c>
      <c r="R333" s="29">
        <v>46195.305625</v>
      </c>
      <c r="S333" s="21" t="s">
        <v>131</v>
      </c>
      <c r="T333" s="21"/>
      <c r="U333" s="21" t="s">
        <v>127</v>
      </c>
      <c r="V333" s="29">
        <v>46195.3055555556</v>
      </c>
      <c r="W333">
        <f>VLOOKUP(H333,物料編碼!A:B,2,0)</f>
        <v>1300607015</v>
      </c>
      <c r="X333">
        <v>1300607</v>
      </c>
      <c r="Y333" t="str">
        <f>VLOOKUP(X333,物料編碼!D:G,4,0)</f>
        <v>帶皮腿扒</v>
      </c>
      <c r="Z333" t="str">
        <f>VLOOKUP(C333,客戶屬性1!A:C,2,0)</f>
        <v>福源食品有限公司</v>
      </c>
      <c r="AA333">
        <f>IF(COUNTIF($O$1:O333,O333)=1,L333,0)</f>
        <v>3325.5</v>
      </c>
    </row>
    <row r="334" customHeight="1" spans="1:27">
      <c r="A334" s="21" t="s">
        <v>733</v>
      </c>
      <c r="B334" s="21" t="s">
        <v>45</v>
      </c>
      <c r="C334" s="21" t="s">
        <v>133</v>
      </c>
      <c r="D334" s="21" t="s">
        <v>134</v>
      </c>
      <c r="E334" s="21" t="s">
        <v>135</v>
      </c>
      <c r="F334" s="21" t="s">
        <v>49</v>
      </c>
      <c r="G334" s="21" t="s">
        <v>136</v>
      </c>
      <c r="H334" s="21" t="s">
        <v>298</v>
      </c>
      <c r="I334" s="26">
        <v>2</v>
      </c>
      <c r="J334" s="26">
        <v>20</v>
      </c>
      <c r="K334" s="21" t="s">
        <v>52</v>
      </c>
      <c r="L334" s="27">
        <v>990</v>
      </c>
      <c r="M334" s="21"/>
      <c r="N334" s="21"/>
      <c r="O334" s="21" t="s">
        <v>734</v>
      </c>
      <c r="P334" s="21" t="s">
        <v>54</v>
      </c>
      <c r="Q334" s="28">
        <v>46193</v>
      </c>
      <c r="R334" s="29">
        <v>46193.4596759259</v>
      </c>
      <c r="S334" s="21" t="s">
        <v>139</v>
      </c>
      <c r="T334" s="21"/>
      <c r="U334" s="21" t="s">
        <v>134</v>
      </c>
      <c r="V334" s="29">
        <v>46193.4596296296</v>
      </c>
      <c r="W334">
        <f>VLOOKUP(H334,物料編碼!A:B,2,0)</f>
        <v>1300111003</v>
      </c>
      <c r="X334">
        <v>1300111</v>
      </c>
      <c r="Y334" t="str">
        <f>VLOOKUP(X334,物料編碼!D:G,4,0)</f>
        <v>寸骨</v>
      </c>
      <c r="Z334" t="str">
        <f>VLOOKUP(C334,客戶屬性1!A:C,2,0)</f>
        <v>恒昌冻肉食品有限公司</v>
      </c>
      <c r="AA334">
        <f>IF(COUNTIF($O$1:O334,O334)=1,L334,0)</f>
        <v>990</v>
      </c>
    </row>
    <row r="335" customHeight="1" spans="1:27">
      <c r="A335" s="21" t="s">
        <v>735</v>
      </c>
      <c r="B335" s="21" t="s">
        <v>45</v>
      </c>
      <c r="C335" s="21" t="s">
        <v>171</v>
      </c>
      <c r="D335" s="21" t="s">
        <v>172</v>
      </c>
      <c r="E335" s="21" t="s">
        <v>173</v>
      </c>
      <c r="F335" s="21" t="s">
        <v>49</v>
      </c>
      <c r="G335" s="21" t="s">
        <v>174</v>
      </c>
      <c r="H335" s="21" t="s">
        <v>267</v>
      </c>
      <c r="I335" s="26">
        <v>1</v>
      </c>
      <c r="J335" s="26">
        <v>20</v>
      </c>
      <c r="K335" s="21" t="s">
        <v>52</v>
      </c>
      <c r="L335" s="27">
        <v>1188</v>
      </c>
      <c r="M335" s="21"/>
      <c r="N335" s="21"/>
      <c r="O335" s="21" t="s">
        <v>736</v>
      </c>
      <c r="P335" s="21" t="s">
        <v>54</v>
      </c>
      <c r="Q335" s="28">
        <v>46195</v>
      </c>
      <c r="R335" s="29">
        <v>46193.4548263889</v>
      </c>
      <c r="S335" s="21" t="s">
        <v>177</v>
      </c>
      <c r="T335" s="21"/>
      <c r="U335" s="21" t="s">
        <v>172</v>
      </c>
      <c r="V335" s="29">
        <v>46193.4547800926</v>
      </c>
      <c r="W335">
        <f>VLOOKUP(H335,物料編碼!A:B,2,0)</f>
        <v>1300511002</v>
      </c>
      <c r="X335">
        <v>1300511</v>
      </c>
      <c r="Y335" t="str">
        <f>VLOOKUP(X335,物料編碼!D:G,4,0)</f>
        <v>羊卷肉</v>
      </c>
      <c r="Z335" t="str">
        <f>VLOOKUP(C335,客戶屬性1!A:C,2,0)</f>
        <v>豪气有限公司</v>
      </c>
      <c r="AA335">
        <f>IF(COUNTIF($O$1:O335,O335)=1,L335,0)</f>
        <v>1188</v>
      </c>
    </row>
    <row r="336" customHeight="1" spans="1:27">
      <c r="A336" s="21" t="s">
        <v>737</v>
      </c>
      <c r="B336" s="21" t="s">
        <v>45</v>
      </c>
      <c r="C336" s="21" t="s">
        <v>65</v>
      </c>
      <c r="D336" s="21" t="s">
        <v>66</v>
      </c>
      <c r="E336" s="21" t="s">
        <v>67</v>
      </c>
      <c r="F336" s="21" t="s">
        <v>49</v>
      </c>
      <c r="G336" s="21" t="s">
        <v>68</v>
      </c>
      <c r="H336" s="21" t="s">
        <v>590</v>
      </c>
      <c r="I336" s="26">
        <v>10</v>
      </c>
      <c r="J336" s="26">
        <v>250</v>
      </c>
      <c r="K336" s="21" t="s">
        <v>52</v>
      </c>
      <c r="L336" s="27">
        <v>6305</v>
      </c>
      <c r="M336" s="21"/>
      <c r="N336" s="21"/>
      <c r="O336" s="21" t="s">
        <v>738</v>
      </c>
      <c r="P336" s="21" t="s">
        <v>54</v>
      </c>
      <c r="Q336" s="28">
        <v>46193</v>
      </c>
      <c r="R336" s="29">
        <v>46193.4425115741</v>
      </c>
      <c r="S336" s="21" t="s">
        <v>70</v>
      </c>
      <c r="T336" s="21"/>
      <c r="U336" s="21" t="s">
        <v>67</v>
      </c>
      <c r="V336" s="29">
        <v>46193.4424652778</v>
      </c>
      <c r="W336">
        <f>VLOOKUP(H336,物料編碼!A:B,2,0)</f>
        <v>1300101040</v>
      </c>
      <c r="X336">
        <v>1300101</v>
      </c>
      <c r="Y336" t="str">
        <f>VLOOKUP(X336,物料編碼!D:G,4,0)</f>
        <v>一號肉</v>
      </c>
      <c r="Z336" t="str">
        <f>VLOOKUP(C336,客戶屬性1!A:C,2,0)</f>
        <v>万骏贸易公司</v>
      </c>
      <c r="AA336">
        <f>IF(COUNTIF($O$1:O336,O336)=1,L336,0)</f>
        <v>6305</v>
      </c>
    </row>
    <row r="337" customHeight="1" spans="1:27">
      <c r="A337" s="21" t="s">
        <v>739</v>
      </c>
      <c r="B337" s="21" t="s">
        <v>45</v>
      </c>
      <c r="C337" s="21" t="s">
        <v>46</v>
      </c>
      <c r="D337" s="21" t="s">
        <v>47</v>
      </c>
      <c r="E337" s="21" t="s">
        <v>48</v>
      </c>
      <c r="F337" s="21" t="s">
        <v>49</v>
      </c>
      <c r="G337" s="21" t="s">
        <v>50</v>
      </c>
      <c r="H337" s="21" t="s">
        <v>168</v>
      </c>
      <c r="I337" s="26">
        <v>1</v>
      </c>
      <c r="J337" s="26">
        <v>10</v>
      </c>
      <c r="K337" s="21" t="s">
        <v>52</v>
      </c>
      <c r="L337" s="27">
        <v>97</v>
      </c>
      <c r="M337" s="21"/>
      <c r="N337" s="21"/>
      <c r="O337" s="21" t="s">
        <v>740</v>
      </c>
      <c r="P337" s="21" t="s">
        <v>54</v>
      </c>
      <c r="Q337" s="28">
        <v>46193</v>
      </c>
      <c r="R337" s="29">
        <v>46193.4317476852</v>
      </c>
      <c r="S337" s="21" t="s">
        <v>55</v>
      </c>
      <c r="T337" s="21"/>
      <c r="U337" s="21" t="s">
        <v>47</v>
      </c>
      <c r="V337" s="29">
        <v>46193.4316898148</v>
      </c>
      <c r="W337">
        <f>VLOOKUP(H337,物料編碼!A:B,2,0)</f>
        <v>1300627002</v>
      </c>
      <c r="X337">
        <v>1300627</v>
      </c>
      <c r="Y337" t="str">
        <f>VLOOKUP(X337,物料編碼!D:G,4,0)</f>
        <v>翅尖</v>
      </c>
      <c r="Z337" t="str">
        <f>VLOOKUP(C337,客戶屬性1!A:C,2,0)</f>
        <v>明记冻肉</v>
      </c>
      <c r="AA337">
        <f>IF(COUNTIF($O$1:O337,O337)=1,L337,0)</f>
        <v>97</v>
      </c>
    </row>
    <row r="338" customHeight="1" spans="1:27">
      <c r="A338" s="21" t="s">
        <v>741</v>
      </c>
      <c r="B338" s="21" t="s">
        <v>45</v>
      </c>
      <c r="C338" s="21" t="s">
        <v>57</v>
      </c>
      <c r="D338" s="21" t="s">
        <v>58</v>
      </c>
      <c r="E338" s="21" t="s">
        <v>59</v>
      </c>
      <c r="F338" s="21" t="s">
        <v>49</v>
      </c>
      <c r="G338" s="21" t="s">
        <v>50</v>
      </c>
      <c r="H338" s="21" t="s">
        <v>161</v>
      </c>
      <c r="I338" s="26">
        <v>1</v>
      </c>
      <c r="J338" s="26">
        <v>20</v>
      </c>
      <c r="K338" s="21" t="s">
        <v>52</v>
      </c>
      <c r="L338" s="27">
        <v>2589.6</v>
      </c>
      <c r="M338" s="21"/>
      <c r="N338" s="21"/>
      <c r="O338" s="21" t="s">
        <v>742</v>
      </c>
      <c r="P338" s="21" t="s">
        <v>54</v>
      </c>
      <c r="Q338" s="28">
        <v>46193</v>
      </c>
      <c r="R338" s="29">
        <v>46193.4143634259</v>
      </c>
      <c r="S338" s="21" t="s">
        <v>62</v>
      </c>
      <c r="T338" s="21"/>
      <c r="U338" s="21" t="s">
        <v>59</v>
      </c>
      <c r="V338" s="29">
        <v>46193.4142939815</v>
      </c>
      <c r="W338">
        <f>VLOOKUP(H338,物料編碼!A:B,2,0)</f>
        <v>1300501020</v>
      </c>
      <c r="X338">
        <v>1300501</v>
      </c>
      <c r="Y338" t="str">
        <f>VLOOKUP(X338,物料編碼!D:G,4,0)</f>
        <v>羊排</v>
      </c>
      <c r="Z338" t="str">
        <f>VLOOKUP(C338,客戶屬性1!A:C,2,0)</f>
        <v>翎凰冻肉有限公司</v>
      </c>
      <c r="AA338">
        <f>IF(COUNTIF($O$1:O338,O338)=1,L338,0)</f>
        <v>2589.6</v>
      </c>
    </row>
    <row r="339" customHeight="1" spans="1:27">
      <c r="A339" s="21" t="s">
        <v>741</v>
      </c>
      <c r="B339" s="21" t="s">
        <v>45</v>
      </c>
      <c r="C339" s="21" t="s">
        <v>57</v>
      </c>
      <c r="D339" s="21" t="s">
        <v>58</v>
      </c>
      <c r="E339" s="21" t="s">
        <v>59</v>
      </c>
      <c r="F339" s="21" t="s">
        <v>49</v>
      </c>
      <c r="G339" s="21" t="s">
        <v>50</v>
      </c>
      <c r="H339" s="21" t="s">
        <v>743</v>
      </c>
      <c r="I339" s="26">
        <v>5</v>
      </c>
      <c r="J339" s="26">
        <v>60</v>
      </c>
      <c r="K339" s="21" t="s">
        <v>52</v>
      </c>
      <c r="L339" s="27">
        <v>2589.6</v>
      </c>
      <c r="M339" s="21"/>
      <c r="N339" s="21"/>
      <c r="O339" s="21" t="s">
        <v>742</v>
      </c>
      <c r="P339" s="21" t="s">
        <v>54</v>
      </c>
      <c r="Q339" s="28">
        <v>46193</v>
      </c>
      <c r="R339" s="29">
        <v>46193.4143634259</v>
      </c>
      <c r="S339" s="21" t="s">
        <v>62</v>
      </c>
      <c r="T339" s="21"/>
      <c r="U339" s="21" t="s">
        <v>59</v>
      </c>
      <c r="V339" s="29">
        <v>46193.4142939815</v>
      </c>
      <c r="W339">
        <f>VLOOKUP(H339,物料編碼!A:B,2,0)</f>
        <v>1300612031</v>
      </c>
      <c r="X339">
        <v>1300612</v>
      </c>
      <c r="Y339" t="str">
        <f>VLOOKUP(X339,物料編碼!D:G,4,0)</f>
        <v>去皮胸肉</v>
      </c>
      <c r="Z339" t="str">
        <f>VLOOKUP(C339,客戶屬性1!A:C,2,0)</f>
        <v>翎凰冻肉有限公司</v>
      </c>
      <c r="AA339">
        <f>IF(COUNTIF($O$1:O339,O339)=1,L339,0)</f>
        <v>0</v>
      </c>
    </row>
    <row r="340" customHeight="1" spans="1:27">
      <c r="A340" s="21" t="s">
        <v>744</v>
      </c>
      <c r="B340" s="21" t="s">
        <v>45</v>
      </c>
      <c r="C340" s="21" t="s">
        <v>72</v>
      </c>
      <c r="D340" s="21" t="s">
        <v>73</v>
      </c>
      <c r="E340" s="21" t="s">
        <v>74</v>
      </c>
      <c r="F340" s="21" t="s">
        <v>49</v>
      </c>
      <c r="G340" s="21" t="s">
        <v>50</v>
      </c>
      <c r="H340" s="21" t="s">
        <v>190</v>
      </c>
      <c r="I340" s="26">
        <v>12</v>
      </c>
      <c r="J340" s="26">
        <v>144</v>
      </c>
      <c r="K340" s="21" t="s">
        <v>52</v>
      </c>
      <c r="L340" s="27">
        <v>2275.2</v>
      </c>
      <c r="M340" s="21"/>
      <c r="N340" s="21"/>
      <c r="O340" s="21" t="s">
        <v>745</v>
      </c>
      <c r="P340" s="21" t="s">
        <v>54</v>
      </c>
      <c r="Q340" s="28">
        <v>46193</v>
      </c>
      <c r="R340" s="29">
        <v>46193.3888541667</v>
      </c>
      <c r="S340" s="21" t="s">
        <v>77</v>
      </c>
      <c r="T340" s="21"/>
      <c r="U340" s="21" t="s">
        <v>74</v>
      </c>
      <c r="V340" s="29">
        <v>46193.3887962963</v>
      </c>
      <c r="W340">
        <f>VLOOKUP(H340,物料編碼!A:B,2,0)</f>
        <v>1300609001</v>
      </c>
      <c r="X340">
        <v>1300609</v>
      </c>
      <c r="Y340" t="str">
        <f>VLOOKUP(X340,物料編碼!D:G,4,0)</f>
        <v>去皮上腿肉</v>
      </c>
      <c r="Z340" t="str">
        <f>VLOOKUP(C340,客戶屬性1!A:C,2,0)</f>
        <v>恒辉贸易公司</v>
      </c>
      <c r="AA340">
        <f>IF(COUNTIF($O$1:O340,O340)=1,L340,0)</f>
        <v>2275.2</v>
      </c>
    </row>
    <row r="341" customHeight="1" spans="1:27">
      <c r="A341" s="21" t="s">
        <v>746</v>
      </c>
      <c r="B341" s="21" t="s">
        <v>45</v>
      </c>
      <c r="C341" s="21" t="s">
        <v>72</v>
      </c>
      <c r="D341" s="21" t="s">
        <v>73</v>
      </c>
      <c r="E341" s="21" t="s">
        <v>74</v>
      </c>
      <c r="F341" s="21" t="s">
        <v>49</v>
      </c>
      <c r="G341" s="21" t="s">
        <v>50</v>
      </c>
      <c r="H341" s="21" t="s">
        <v>747</v>
      </c>
      <c r="I341" s="26">
        <v>1</v>
      </c>
      <c r="J341" s="26">
        <v>10</v>
      </c>
      <c r="K341" s="21" t="s">
        <v>52</v>
      </c>
      <c r="L341" s="27">
        <v>132</v>
      </c>
      <c r="M341" s="21"/>
      <c r="N341" s="21"/>
      <c r="O341" s="21" t="s">
        <v>748</v>
      </c>
      <c r="P341" s="21" t="s">
        <v>54</v>
      </c>
      <c r="Q341" s="28">
        <v>46193</v>
      </c>
      <c r="R341" s="29">
        <v>46191.5425115741</v>
      </c>
      <c r="S341" s="21" t="s">
        <v>288</v>
      </c>
      <c r="T341" s="21"/>
      <c r="U341" s="21" t="s">
        <v>82</v>
      </c>
      <c r="V341" s="29">
        <v>46191.5424652778</v>
      </c>
      <c r="W341">
        <f>VLOOKUP(H341,物料編碼!A:B,2,0)</f>
        <v>1300902006</v>
      </c>
      <c r="X341">
        <v>1300902</v>
      </c>
      <c r="Y341" t="str">
        <f>VLOOKUP(X341,物料編碼!D:G,4,0)</f>
        <v>帶骨整腿</v>
      </c>
      <c r="Z341" t="str">
        <f>VLOOKUP(C341,客戶屬性1!A:C,2,0)</f>
        <v>恒辉贸易公司</v>
      </c>
      <c r="AA341">
        <f>IF(COUNTIF($O$1:O341,O341)=1,L341,0)</f>
        <v>132</v>
      </c>
    </row>
    <row r="342" customHeight="1" spans="1:27">
      <c r="A342" s="21" t="s">
        <v>749</v>
      </c>
      <c r="B342" s="21" t="s">
        <v>45</v>
      </c>
      <c r="C342" s="21" t="s">
        <v>72</v>
      </c>
      <c r="D342" s="21" t="s">
        <v>73</v>
      </c>
      <c r="E342" s="21" t="s">
        <v>74</v>
      </c>
      <c r="F342" s="21" t="s">
        <v>49</v>
      </c>
      <c r="G342" s="21" t="s">
        <v>50</v>
      </c>
      <c r="H342" s="21" t="s">
        <v>267</v>
      </c>
      <c r="I342" s="26">
        <v>1</v>
      </c>
      <c r="J342" s="26">
        <v>20</v>
      </c>
      <c r="K342" s="21" t="s">
        <v>52</v>
      </c>
      <c r="L342" s="27">
        <v>1188</v>
      </c>
      <c r="M342" s="21"/>
      <c r="N342" s="21"/>
      <c r="O342" s="21" t="s">
        <v>750</v>
      </c>
      <c r="P342" s="21" t="s">
        <v>54</v>
      </c>
      <c r="Q342" s="28">
        <v>46193</v>
      </c>
      <c r="R342" s="29">
        <v>46191.5212037037</v>
      </c>
      <c r="S342" s="21" t="s">
        <v>81</v>
      </c>
      <c r="T342" s="21"/>
      <c r="U342" s="21" t="s">
        <v>82</v>
      </c>
      <c r="V342" s="29">
        <v>46191.5211574074</v>
      </c>
      <c r="W342">
        <f>VLOOKUP(H342,物料編碼!A:B,2,0)</f>
        <v>1300511002</v>
      </c>
      <c r="X342">
        <v>1300511</v>
      </c>
      <c r="Y342" t="str">
        <f>VLOOKUP(X342,物料編碼!D:G,4,0)</f>
        <v>羊卷肉</v>
      </c>
      <c r="Z342" t="str">
        <f>VLOOKUP(C342,客戶屬性1!A:C,2,0)</f>
        <v>恒辉贸易公司</v>
      </c>
      <c r="AA342">
        <f>IF(COUNTIF($O$1:O342,O342)=1,L342,0)</f>
        <v>1188</v>
      </c>
    </row>
    <row r="343" customHeight="1" spans="1:27">
      <c r="A343" s="21" t="s">
        <v>751</v>
      </c>
      <c r="B343" s="21" t="s">
        <v>45</v>
      </c>
      <c r="C343" s="21" t="s">
        <v>216</v>
      </c>
      <c r="D343" s="21" t="s">
        <v>217</v>
      </c>
      <c r="E343" s="21" t="s">
        <v>218</v>
      </c>
      <c r="F343" s="21" t="s">
        <v>49</v>
      </c>
      <c r="G343" s="21" t="s">
        <v>68</v>
      </c>
      <c r="H343" s="21" t="s">
        <v>553</v>
      </c>
      <c r="I343" s="26">
        <v>1</v>
      </c>
      <c r="J343" s="26">
        <v>20</v>
      </c>
      <c r="K343" s="21" t="s">
        <v>52</v>
      </c>
      <c r="L343" s="27">
        <v>1960.2</v>
      </c>
      <c r="M343" s="21"/>
      <c r="N343" s="21"/>
      <c r="O343" s="21" t="s">
        <v>752</v>
      </c>
      <c r="P343" s="21" t="s">
        <v>54</v>
      </c>
      <c r="Q343" s="28">
        <v>46193</v>
      </c>
      <c r="R343" s="29">
        <v>46191.5030671296</v>
      </c>
      <c r="S343" s="21" t="s">
        <v>221</v>
      </c>
      <c r="T343" s="21"/>
      <c r="U343" s="21" t="s">
        <v>222</v>
      </c>
      <c r="V343" s="29">
        <v>46191.5030324074</v>
      </c>
      <c r="W343">
        <f>VLOOKUP(H343,物料編碼!A:B,2,0)</f>
        <v>1300510007</v>
      </c>
      <c r="X343">
        <v>1300510</v>
      </c>
      <c r="Y343" t="str">
        <f>VLOOKUP(X343,物料編碼!D:G,4,0)</f>
        <v>其他</v>
      </c>
      <c r="Z343" t="str">
        <f>VLOOKUP(C343,客戶屬性1!A:C,2,0)</f>
        <v>天恒食品有限公司</v>
      </c>
      <c r="AA343">
        <f>IF(COUNTIF($O$1:O343,O343)=1,L343,0)</f>
        <v>1960.2</v>
      </c>
    </row>
    <row r="344" customHeight="1" spans="1:27">
      <c r="A344" s="21" t="s">
        <v>753</v>
      </c>
      <c r="B344" s="21" t="s">
        <v>45</v>
      </c>
      <c r="C344" s="21" t="s">
        <v>141</v>
      </c>
      <c r="D344" s="21" t="s">
        <v>142</v>
      </c>
      <c r="E344" s="21" t="s">
        <v>142</v>
      </c>
      <c r="F344" s="21" t="s">
        <v>143</v>
      </c>
      <c r="G344" s="21" t="s">
        <v>100</v>
      </c>
      <c r="H344" s="21" t="s">
        <v>60</v>
      </c>
      <c r="I344" s="26">
        <v>1</v>
      </c>
      <c r="J344" s="26">
        <v>25</v>
      </c>
      <c r="K344" s="21" t="s">
        <v>52</v>
      </c>
      <c r="L344" s="27">
        <v>1977.75</v>
      </c>
      <c r="M344" s="21"/>
      <c r="N344" s="21"/>
      <c r="O344" s="21" t="s">
        <v>754</v>
      </c>
      <c r="P344" s="21" t="s">
        <v>54</v>
      </c>
      <c r="Q344" s="28">
        <v>46195</v>
      </c>
      <c r="R344" s="29">
        <v>46191.4929050926</v>
      </c>
      <c r="S344" s="21" t="s">
        <v>145</v>
      </c>
      <c r="T344" s="21"/>
      <c r="U344" s="21" t="s">
        <v>142</v>
      </c>
      <c r="V344" s="29">
        <v>46191.4928472222</v>
      </c>
      <c r="W344">
        <f>VLOOKUP(H344,物料編碼!A:B,2,0)</f>
        <v>1300101043</v>
      </c>
      <c r="X344">
        <v>1300101</v>
      </c>
      <c r="Y344" t="str">
        <f>VLOOKUP(X344,物料編碼!D:G,4,0)</f>
        <v>一號肉</v>
      </c>
      <c r="Z344" t="str">
        <f>VLOOKUP(C344,客戶屬性1!A:C,2,0)</f>
        <v>新昌冻肉</v>
      </c>
      <c r="AA344">
        <f>IF(COUNTIF($O$1:O344,O344)=1,L344,0)</f>
        <v>1977.75</v>
      </c>
    </row>
    <row r="345" customHeight="1" spans="1:27">
      <c r="A345" s="21" t="s">
        <v>753</v>
      </c>
      <c r="B345" s="21" t="s">
        <v>45</v>
      </c>
      <c r="C345" s="21" t="s">
        <v>141</v>
      </c>
      <c r="D345" s="21" t="s">
        <v>142</v>
      </c>
      <c r="E345" s="21" t="s">
        <v>142</v>
      </c>
      <c r="F345" s="21" t="s">
        <v>143</v>
      </c>
      <c r="G345" s="21" t="s">
        <v>100</v>
      </c>
      <c r="H345" s="21" t="s">
        <v>146</v>
      </c>
      <c r="I345" s="26">
        <v>2</v>
      </c>
      <c r="J345" s="26">
        <v>30</v>
      </c>
      <c r="K345" s="21" t="s">
        <v>52</v>
      </c>
      <c r="L345" s="27">
        <v>1977.75</v>
      </c>
      <c r="M345" s="21"/>
      <c r="N345" s="21"/>
      <c r="O345" s="21" t="s">
        <v>754</v>
      </c>
      <c r="P345" s="21" t="s">
        <v>54</v>
      </c>
      <c r="Q345" s="28">
        <v>46195</v>
      </c>
      <c r="R345" s="29">
        <v>46191.4929050926</v>
      </c>
      <c r="S345" s="21" t="s">
        <v>145</v>
      </c>
      <c r="T345" s="21"/>
      <c r="U345" s="21" t="s">
        <v>142</v>
      </c>
      <c r="V345" s="29">
        <v>46191.4928472222</v>
      </c>
      <c r="W345">
        <f>VLOOKUP(H345,物料編碼!A:B,2,0)</f>
        <v>1300603041</v>
      </c>
      <c r="X345">
        <v>1300603</v>
      </c>
      <c r="Y345" t="str">
        <f>VLOOKUP(X345,物料編碼!D:G,4,0)</f>
        <v>帶骨全腿</v>
      </c>
      <c r="Z345" t="str">
        <f>VLOOKUP(C345,客戶屬性1!A:C,2,0)</f>
        <v>新昌冻肉</v>
      </c>
      <c r="AA345">
        <f>IF(COUNTIF($O$1:O345,O345)=1,L345,0)</f>
        <v>0</v>
      </c>
    </row>
    <row r="346" customHeight="1" spans="1:27">
      <c r="A346" s="21" t="s">
        <v>753</v>
      </c>
      <c r="B346" s="21" t="s">
        <v>45</v>
      </c>
      <c r="C346" s="21" t="s">
        <v>141</v>
      </c>
      <c r="D346" s="21" t="s">
        <v>142</v>
      </c>
      <c r="E346" s="21" t="s">
        <v>142</v>
      </c>
      <c r="F346" s="21" t="s">
        <v>143</v>
      </c>
      <c r="G346" s="21" t="s">
        <v>100</v>
      </c>
      <c r="H346" s="21" t="s">
        <v>117</v>
      </c>
      <c r="I346" s="26">
        <v>3</v>
      </c>
      <c r="J346" s="26">
        <v>45</v>
      </c>
      <c r="K346" s="21" t="s">
        <v>52</v>
      </c>
      <c r="L346" s="27">
        <v>1977.75</v>
      </c>
      <c r="M346" s="21"/>
      <c r="N346" s="21"/>
      <c r="O346" s="21" t="s">
        <v>754</v>
      </c>
      <c r="P346" s="21" t="s">
        <v>54</v>
      </c>
      <c r="Q346" s="28">
        <v>46195</v>
      </c>
      <c r="R346" s="29">
        <v>46191.4929050926</v>
      </c>
      <c r="S346" s="21" t="s">
        <v>145</v>
      </c>
      <c r="T346" s="21"/>
      <c r="U346" s="21" t="s">
        <v>142</v>
      </c>
      <c r="V346" s="29">
        <v>46191.4928472222</v>
      </c>
      <c r="W346">
        <f>VLOOKUP(H346,物料編碼!A:B,2,0)</f>
        <v>1300607015</v>
      </c>
      <c r="X346">
        <v>1300607</v>
      </c>
      <c r="Y346" t="str">
        <f>VLOOKUP(X346,物料編碼!D:G,4,0)</f>
        <v>帶皮腿扒</v>
      </c>
      <c r="Z346" t="str">
        <f>VLOOKUP(C346,客戶屬性1!A:C,2,0)</f>
        <v>新昌冻肉</v>
      </c>
      <c r="AA346">
        <f>IF(COUNTIF($O$1:O346,O346)=1,L346,0)</f>
        <v>0</v>
      </c>
    </row>
    <row r="347" customHeight="1" spans="1:27">
      <c r="A347" s="21" t="s">
        <v>755</v>
      </c>
      <c r="B347" s="21" t="s">
        <v>45</v>
      </c>
      <c r="C347" s="21" t="s">
        <v>141</v>
      </c>
      <c r="D347" s="21" t="s">
        <v>142</v>
      </c>
      <c r="E347" s="21" t="s">
        <v>142</v>
      </c>
      <c r="F347" s="21" t="s">
        <v>143</v>
      </c>
      <c r="G347" s="21" t="s">
        <v>100</v>
      </c>
      <c r="H347" s="21" t="s">
        <v>298</v>
      </c>
      <c r="I347" s="26">
        <v>1</v>
      </c>
      <c r="J347" s="26">
        <v>10</v>
      </c>
      <c r="K347" s="21" t="s">
        <v>52</v>
      </c>
      <c r="L347" s="27">
        <v>1160.1</v>
      </c>
      <c r="M347" s="21"/>
      <c r="N347" s="21"/>
      <c r="O347" s="21" t="s">
        <v>756</v>
      </c>
      <c r="P347" s="21" t="s">
        <v>54</v>
      </c>
      <c r="Q347" s="28">
        <v>46193</v>
      </c>
      <c r="R347" s="29">
        <v>46191.491400463</v>
      </c>
      <c r="S347" s="21" t="s">
        <v>145</v>
      </c>
      <c r="T347" s="21"/>
      <c r="U347" s="21" t="s">
        <v>142</v>
      </c>
      <c r="V347" s="29">
        <v>46191.4913541667</v>
      </c>
      <c r="W347">
        <f>VLOOKUP(H347,物料編碼!A:B,2,0)</f>
        <v>1300111003</v>
      </c>
      <c r="X347">
        <v>1300111</v>
      </c>
      <c r="Y347" t="str">
        <f>VLOOKUP(X347,物料編碼!D:G,4,0)</f>
        <v>寸骨</v>
      </c>
      <c r="Z347" t="str">
        <f>VLOOKUP(C347,客戶屬性1!A:C,2,0)</f>
        <v>新昌冻肉</v>
      </c>
      <c r="AA347">
        <f>IF(COUNTIF($O$1:O347,O347)=1,L347,0)</f>
        <v>1160.1</v>
      </c>
    </row>
    <row r="348" customHeight="1" spans="1:27">
      <c r="A348" s="21" t="s">
        <v>755</v>
      </c>
      <c r="B348" s="21" t="s">
        <v>45</v>
      </c>
      <c r="C348" s="21" t="s">
        <v>141</v>
      </c>
      <c r="D348" s="21" t="s">
        <v>142</v>
      </c>
      <c r="E348" s="21" t="s">
        <v>142</v>
      </c>
      <c r="F348" s="21" t="s">
        <v>143</v>
      </c>
      <c r="G348" s="21" t="s">
        <v>100</v>
      </c>
      <c r="H348" s="21" t="s">
        <v>117</v>
      </c>
      <c r="I348" s="26">
        <v>3</v>
      </c>
      <c r="J348" s="26">
        <v>45</v>
      </c>
      <c r="K348" s="21" t="s">
        <v>52</v>
      </c>
      <c r="L348" s="27">
        <v>1160.1</v>
      </c>
      <c r="M348" s="21"/>
      <c r="N348" s="21"/>
      <c r="O348" s="21" t="s">
        <v>756</v>
      </c>
      <c r="P348" s="21" t="s">
        <v>54</v>
      </c>
      <c r="Q348" s="28">
        <v>46193</v>
      </c>
      <c r="R348" s="29">
        <v>46191.491400463</v>
      </c>
      <c r="S348" s="21" t="s">
        <v>145</v>
      </c>
      <c r="T348" s="21"/>
      <c r="U348" s="21" t="s">
        <v>142</v>
      </c>
      <c r="V348" s="29">
        <v>46191.4913541667</v>
      </c>
      <c r="W348">
        <f>VLOOKUP(H348,物料編碼!A:B,2,0)</f>
        <v>1300607015</v>
      </c>
      <c r="X348">
        <v>1300607</v>
      </c>
      <c r="Y348" t="str">
        <f>VLOOKUP(X348,物料編碼!D:G,4,0)</f>
        <v>帶皮腿扒</v>
      </c>
      <c r="Z348" t="str">
        <f>VLOOKUP(C348,客戶屬性1!A:C,2,0)</f>
        <v>新昌冻肉</v>
      </c>
      <c r="AA348">
        <f>IF(COUNTIF($O$1:O348,O348)=1,L348,0)</f>
        <v>0</v>
      </c>
    </row>
    <row r="349" customHeight="1" spans="1:27">
      <c r="A349" s="21" t="s">
        <v>757</v>
      </c>
      <c r="B349" s="21" t="s">
        <v>45</v>
      </c>
      <c r="C349" s="21" t="s">
        <v>72</v>
      </c>
      <c r="D349" s="21" t="s">
        <v>73</v>
      </c>
      <c r="E349" s="21" t="s">
        <v>74</v>
      </c>
      <c r="F349" s="21" t="s">
        <v>49</v>
      </c>
      <c r="G349" s="21" t="s">
        <v>50</v>
      </c>
      <c r="H349" s="21" t="s">
        <v>75</v>
      </c>
      <c r="I349" s="26">
        <v>1</v>
      </c>
      <c r="J349" s="26">
        <v>15</v>
      </c>
      <c r="K349" s="21" t="s">
        <v>52</v>
      </c>
      <c r="L349" s="27">
        <v>410.25</v>
      </c>
      <c r="M349" s="21"/>
      <c r="N349" s="21"/>
      <c r="O349" s="21" t="s">
        <v>758</v>
      </c>
      <c r="P349" s="21" t="s">
        <v>54</v>
      </c>
      <c r="Q349" s="28">
        <v>46193</v>
      </c>
      <c r="R349" s="29">
        <v>46191.4798263889</v>
      </c>
      <c r="S349" s="21" t="s">
        <v>77</v>
      </c>
      <c r="T349" s="21"/>
      <c r="U349" s="21" t="s">
        <v>74</v>
      </c>
      <c r="V349" s="29">
        <v>46191.4797800926</v>
      </c>
      <c r="W349">
        <f>VLOOKUP(H349,物料編碼!A:B,2,0)</f>
        <v>1300603040</v>
      </c>
      <c r="X349">
        <v>1300603</v>
      </c>
      <c r="Y349" t="str">
        <f>VLOOKUP(X349,物料編碼!D:G,4,0)</f>
        <v>帶骨全腿</v>
      </c>
      <c r="Z349" t="str">
        <f>VLOOKUP(C349,客戶屬性1!A:C,2,0)</f>
        <v>恒辉贸易公司</v>
      </c>
      <c r="AA349">
        <f>IF(COUNTIF($O$1:O349,O349)=1,L349,0)</f>
        <v>410.25</v>
      </c>
    </row>
    <row r="350" customHeight="1" spans="1:27">
      <c r="A350" s="21" t="s">
        <v>757</v>
      </c>
      <c r="B350" s="21" t="s">
        <v>45</v>
      </c>
      <c r="C350" s="21" t="s">
        <v>72</v>
      </c>
      <c r="D350" s="21" t="s">
        <v>73</v>
      </c>
      <c r="E350" s="21" t="s">
        <v>74</v>
      </c>
      <c r="F350" s="21" t="s">
        <v>49</v>
      </c>
      <c r="G350" s="21" t="s">
        <v>50</v>
      </c>
      <c r="H350" s="21" t="s">
        <v>78</v>
      </c>
      <c r="I350" s="26">
        <v>1</v>
      </c>
      <c r="J350" s="26">
        <v>15</v>
      </c>
      <c r="K350" s="21" t="s">
        <v>52</v>
      </c>
      <c r="L350" s="27">
        <v>410.25</v>
      </c>
      <c r="M350" s="21"/>
      <c r="N350" s="21"/>
      <c r="O350" s="21" t="s">
        <v>758</v>
      </c>
      <c r="P350" s="21" t="s">
        <v>54</v>
      </c>
      <c r="Q350" s="28">
        <v>46193</v>
      </c>
      <c r="R350" s="29">
        <v>46191.4798263889</v>
      </c>
      <c r="S350" s="21" t="s">
        <v>77</v>
      </c>
      <c r="T350" s="21"/>
      <c r="U350" s="21" t="s">
        <v>74</v>
      </c>
      <c r="V350" s="29">
        <v>46191.4797800926</v>
      </c>
      <c r="W350">
        <f>VLOOKUP(H350,物料編碼!A:B,2,0)</f>
        <v>1300607014</v>
      </c>
      <c r="X350">
        <v>1300607</v>
      </c>
      <c r="Y350" t="str">
        <f>VLOOKUP(X350,物料編碼!D:G,4,0)</f>
        <v>帶皮腿扒</v>
      </c>
      <c r="Z350" t="str">
        <f>VLOOKUP(C350,客戶屬性1!A:C,2,0)</f>
        <v>恒辉贸易公司</v>
      </c>
      <c r="AA350">
        <f>IF(COUNTIF($O$1:O350,O350)=1,L350,0)</f>
        <v>0</v>
      </c>
    </row>
    <row r="351" customHeight="1" spans="1:27">
      <c r="A351" s="21" t="s">
        <v>759</v>
      </c>
      <c r="B351" s="21" t="s">
        <v>45</v>
      </c>
      <c r="C351" s="21" t="s">
        <v>383</v>
      </c>
      <c r="D351" s="21" t="s">
        <v>384</v>
      </c>
      <c r="E351" s="21" t="s">
        <v>385</v>
      </c>
      <c r="F351" s="21" t="s">
        <v>49</v>
      </c>
      <c r="G351" s="21" t="s">
        <v>50</v>
      </c>
      <c r="H351" s="21" t="s">
        <v>760</v>
      </c>
      <c r="I351" s="26">
        <v>4</v>
      </c>
      <c r="J351" s="26">
        <v>60</v>
      </c>
      <c r="K351" s="21" t="s">
        <v>52</v>
      </c>
      <c r="L351" s="27">
        <v>886.2</v>
      </c>
      <c r="M351" s="21"/>
      <c r="N351" s="21"/>
      <c r="O351" s="21" t="s">
        <v>761</v>
      </c>
      <c r="P351" s="21" t="s">
        <v>183</v>
      </c>
      <c r="Q351" s="28">
        <v>46191</v>
      </c>
      <c r="R351" s="29">
        <v>46191.4718402778</v>
      </c>
      <c r="S351" s="21" t="s">
        <v>387</v>
      </c>
      <c r="T351" s="21"/>
      <c r="U351" s="21" t="s">
        <v>384</v>
      </c>
      <c r="V351" s="29">
        <v>46191.4717824074</v>
      </c>
      <c r="W351">
        <f>VLOOKUP(H351,物料編碼!A:B,2,0)</f>
        <v>1300603105</v>
      </c>
      <c r="X351">
        <v>1300603</v>
      </c>
      <c r="Y351" t="str">
        <f>VLOOKUP(X351,物料編碼!D:G,4,0)</f>
        <v>帶骨全腿</v>
      </c>
      <c r="Z351" t="str">
        <f>VLOOKUP(C351,客戶屬性1!A:C,2,0)</f>
        <v>新协兴冻肉食品公司</v>
      </c>
      <c r="AA351">
        <f>IF(COUNTIF($O$1:O351,O351)=1,L351,0)</f>
        <v>886.2</v>
      </c>
    </row>
    <row r="352" customHeight="1" spans="1:27">
      <c r="A352" s="21" t="s">
        <v>762</v>
      </c>
      <c r="B352" s="21" t="s">
        <v>45</v>
      </c>
      <c r="C352" s="21" t="s">
        <v>65</v>
      </c>
      <c r="D352" s="21" t="s">
        <v>66</v>
      </c>
      <c r="E352" s="21" t="s">
        <v>67</v>
      </c>
      <c r="F352" s="21" t="s">
        <v>49</v>
      </c>
      <c r="G352" s="21" t="s">
        <v>68</v>
      </c>
      <c r="H352" s="21" t="s">
        <v>60</v>
      </c>
      <c r="I352" s="26">
        <v>10</v>
      </c>
      <c r="J352" s="26">
        <v>250</v>
      </c>
      <c r="K352" s="21" t="s">
        <v>52</v>
      </c>
      <c r="L352" s="27">
        <v>9166.5</v>
      </c>
      <c r="M352" s="21"/>
      <c r="N352" s="21"/>
      <c r="O352" s="21" t="s">
        <v>763</v>
      </c>
      <c r="P352" s="21" t="s">
        <v>54</v>
      </c>
      <c r="Q352" s="28">
        <v>46193</v>
      </c>
      <c r="R352" s="29">
        <v>46191.4564351852</v>
      </c>
      <c r="S352" s="21" t="s">
        <v>70</v>
      </c>
      <c r="T352" s="21"/>
      <c r="U352" s="21" t="s">
        <v>67</v>
      </c>
      <c r="V352" s="29">
        <v>46191.4563888889</v>
      </c>
      <c r="W352">
        <f>VLOOKUP(H352,物料編碼!A:B,2,0)</f>
        <v>1300101043</v>
      </c>
      <c r="X352">
        <v>1300101</v>
      </c>
      <c r="Y352" t="str">
        <f>VLOOKUP(X352,物料編碼!D:G,4,0)</f>
        <v>一號肉</v>
      </c>
      <c r="Z352" t="str">
        <f>VLOOKUP(C352,客戶屬性1!A:C,2,0)</f>
        <v>万骏贸易公司</v>
      </c>
      <c r="AA352">
        <f>IF(COUNTIF($O$1:O352,O352)=1,L352,0)</f>
        <v>9166.5</v>
      </c>
    </row>
    <row r="353" customHeight="1" spans="1:27">
      <c r="A353" s="21" t="s">
        <v>764</v>
      </c>
      <c r="B353" s="21" t="s">
        <v>45</v>
      </c>
      <c r="C353" s="21" t="s">
        <v>46</v>
      </c>
      <c r="D353" s="21" t="s">
        <v>47</v>
      </c>
      <c r="E353" s="21" t="s">
        <v>48</v>
      </c>
      <c r="F353" s="21" t="s">
        <v>49</v>
      </c>
      <c r="G353" s="21" t="s">
        <v>50</v>
      </c>
      <c r="H353" s="21" t="s">
        <v>274</v>
      </c>
      <c r="I353" s="26">
        <v>1</v>
      </c>
      <c r="J353" s="26">
        <v>10</v>
      </c>
      <c r="K353" s="21" t="s">
        <v>52</v>
      </c>
      <c r="L353" s="27">
        <v>132</v>
      </c>
      <c r="M353" s="21"/>
      <c r="N353" s="21"/>
      <c r="O353" s="21" t="s">
        <v>765</v>
      </c>
      <c r="P353" s="21" t="s">
        <v>54</v>
      </c>
      <c r="Q353" s="28">
        <v>46191</v>
      </c>
      <c r="R353" s="29">
        <v>46191.4439583333</v>
      </c>
      <c r="S353" s="21" t="s">
        <v>55</v>
      </c>
      <c r="T353" s="21"/>
      <c r="U353" s="21" t="s">
        <v>47</v>
      </c>
      <c r="V353" s="29">
        <v>46191.4439236111</v>
      </c>
      <c r="W353">
        <f>VLOOKUP(H353,物料編碼!A:B,2,0)</f>
        <v>1300626003</v>
      </c>
      <c r="X353">
        <v>1300626</v>
      </c>
      <c r="Y353" t="str">
        <f>VLOOKUP(X353,物料編碼!D:G,4,0)</f>
        <v>翅根</v>
      </c>
      <c r="Z353" t="str">
        <f>VLOOKUP(C353,客戶屬性1!A:C,2,0)</f>
        <v>明记冻肉</v>
      </c>
      <c r="AA353">
        <f>IF(COUNTIF($O$1:O353,O353)=1,L353,0)</f>
        <v>132</v>
      </c>
    </row>
    <row r="354" customHeight="1" spans="1:27">
      <c r="A354" s="21" t="s">
        <v>766</v>
      </c>
      <c r="B354" s="21" t="s">
        <v>45</v>
      </c>
      <c r="C354" s="21" t="s">
        <v>767</v>
      </c>
      <c r="D354" s="21" t="s">
        <v>768</v>
      </c>
      <c r="E354" s="21" t="s">
        <v>769</v>
      </c>
      <c r="F354" s="21" t="s">
        <v>49</v>
      </c>
      <c r="G354" s="21" t="s">
        <v>136</v>
      </c>
      <c r="H354" s="21" t="s">
        <v>298</v>
      </c>
      <c r="I354" s="26">
        <v>5</v>
      </c>
      <c r="J354" s="26">
        <v>50</v>
      </c>
      <c r="K354" s="21" t="s">
        <v>52</v>
      </c>
      <c r="L354" s="27">
        <v>2450</v>
      </c>
      <c r="M354" s="21"/>
      <c r="N354" s="21"/>
      <c r="O354" s="21" t="s">
        <v>770</v>
      </c>
      <c r="P354" s="21" t="s">
        <v>54</v>
      </c>
      <c r="Q354" s="28">
        <v>46191</v>
      </c>
      <c r="R354" s="29">
        <v>46191.4374537037</v>
      </c>
      <c r="S354" s="21" t="s">
        <v>771</v>
      </c>
      <c r="T354" s="21"/>
      <c r="U354" s="21" t="s">
        <v>772</v>
      </c>
      <c r="V354" s="29">
        <v>46191.4374074074</v>
      </c>
      <c r="W354">
        <f>VLOOKUP(H354,物料編碼!A:B,2,0)</f>
        <v>1300111003</v>
      </c>
      <c r="X354">
        <v>1300111</v>
      </c>
      <c r="Y354" t="str">
        <f>VLOOKUP(X354,物料編碼!D:G,4,0)</f>
        <v>寸骨</v>
      </c>
      <c r="Z354" t="str">
        <f>VLOOKUP(C354,客戶屬性1!A:C,2,0)</f>
        <v>峻星貿易有限公司</v>
      </c>
      <c r="AA354">
        <f>IF(COUNTIF($O$1:O354,O354)=1,L354,0)</f>
        <v>2450</v>
      </c>
    </row>
    <row r="355" customHeight="1" spans="1:27">
      <c r="A355" s="21" t="s">
        <v>773</v>
      </c>
      <c r="B355" s="21" t="s">
        <v>45</v>
      </c>
      <c r="C355" s="21" t="s">
        <v>72</v>
      </c>
      <c r="D355" s="21" t="s">
        <v>73</v>
      </c>
      <c r="E355" s="21" t="s">
        <v>74</v>
      </c>
      <c r="F355" s="21" t="s">
        <v>49</v>
      </c>
      <c r="G355" s="21" t="s">
        <v>50</v>
      </c>
      <c r="H355" s="21" t="s">
        <v>117</v>
      </c>
      <c r="I355" s="26">
        <v>2</v>
      </c>
      <c r="J355" s="26">
        <v>30</v>
      </c>
      <c r="K355" s="21" t="s">
        <v>52</v>
      </c>
      <c r="L355" s="27">
        <v>575.4</v>
      </c>
      <c r="M355" s="21"/>
      <c r="N355" s="21"/>
      <c r="O355" s="21" t="s">
        <v>774</v>
      </c>
      <c r="P355" s="21" t="s">
        <v>54</v>
      </c>
      <c r="Q355" s="28">
        <v>46191</v>
      </c>
      <c r="R355" s="29">
        <v>46191.4293055556</v>
      </c>
      <c r="S355" s="21" t="s">
        <v>288</v>
      </c>
      <c r="T355" s="21"/>
      <c r="U355" s="21" t="s">
        <v>82</v>
      </c>
      <c r="V355" s="29">
        <v>46191.4292592593</v>
      </c>
      <c r="W355">
        <f>VLOOKUP(H355,物料編碼!A:B,2,0)</f>
        <v>1300607015</v>
      </c>
      <c r="X355">
        <v>1300607</v>
      </c>
      <c r="Y355" t="str">
        <f>VLOOKUP(X355,物料編碼!D:G,4,0)</f>
        <v>帶皮腿扒</v>
      </c>
      <c r="Z355" t="str">
        <f>VLOOKUP(C355,客戶屬性1!A:C,2,0)</f>
        <v>恒辉贸易公司</v>
      </c>
      <c r="AA355">
        <f>IF(COUNTIF($O$1:O355,O355)=1,L355,0)</f>
        <v>575.4</v>
      </c>
    </row>
    <row r="356" customHeight="1" spans="1:27">
      <c r="A356" s="21" t="s">
        <v>773</v>
      </c>
      <c r="B356" s="21" t="s">
        <v>45</v>
      </c>
      <c r="C356" s="21" t="s">
        <v>72</v>
      </c>
      <c r="D356" s="21" t="s">
        <v>73</v>
      </c>
      <c r="E356" s="21" t="s">
        <v>74</v>
      </c>
      <c r="F356" s="21" t="s">
        <v>49</v>
      </c>
      <c r="G356" s="21" t="s">
        <v>50</v>
      </c>
      <c r="H356" s="21" t="s">
        <v>747</v>
      </c>
      <c r="I356" s="26">
        <v>1</v>
      </c>
      <c r="J356" s="26">
        <v>10</v>
      </c>
      <c r="K356" s="21" t="s">
        <v>52</v>
      </c>
      <c r="L356" s="27">
        <v>575.4</v>
      </c>
      <c r="M356" s="21"/>
      <c r="N356" s="21"/>
      <c r="O356" s="21" t="s">
        <v>774</v>
      </c>
      <c r="P356" s="21" t="s">
        <v>54</v>
      </c>
      <c r="Q356" s="28">
        <v>46191</v>
      </c>
      <c r="R356" s="29">
        <v>46191.4293055556</v>
      </c>
      <c r="S356" s="21" t="s">
        <v>288</v>
      </c>
      <c r="T356" s="21"/>
      <c r="U356" s="21" t="s">
        <v>82</v>
      </c>
      <c r="V356" s="29">
        <v>46191.4292592593</v>
      </c>
      <c r="W356">
        <f>VLOOKUP(H356,物料編碼!A:B,2,0)</f>
        <v>1300902006</v>
      </c>
      <c r="X356">
        <v>1300902</v>
      </c>
      <c r="Y356" t="str">
        <f>VLOOKUP(X356,物料編碼!D:G,4,0)</f>
        <v>帶骨整腿</v>
      </c>
      <c r="Z356" t="str">
        <f>VLOOKUP(C356,客戶屬性1!A:C,2,0)</f>
        <v>恒辉贸易公司</v>
      </c>
      <c r="AA356">
        <f>IF(COUNTIF($O$1:O356,O356)=1,L356,0)</f>
        <v>0</v>
      </c>
    </row>
    <row r="357" customHeight="1" spans="1:27">
      <c r="A357" s="21" t="s">
        <v>775</v>
      </c>
      <c r="B357" s="21" t="s">
        <v>45</v>
      </c>
      <c r="C357" s="21" t="s">
        <v>776</v>
      </c>
      <c r="D357" s="21" t="s">
        <v>777</v>
      </c>
      <c r="E357" s="21" t="s">
        <v>778</v>
      </c>
      <c r="F357" s="21" t="s">
        <v>49</v>
      </c>
      <c r="G357" s="21" t="s">
        <v>50</v>
      </c>
      <c r="H357" s="21" t="s">
        <v>137</v>
      </c>
      <c r="I357" s="26">
        <v>2</v>
      </c>
      <c r="J357" s="26">
        <v>36</v>
      </c>
      <c r="K357" s="21" t="s">
        <v>52</v>
      </c>
      <c r="L357" s="27">
        <v>4698.14</v>
      </c>
      <c r="M357" s="21"/>
      <c r="N357" s="21"/>
      <c r="O357" s="21" t="s">
        <v>779</v>
      </c>
      <c r="P357" s="21" t="s">
        <v>54</v>
      </c>
      <c r="Q357" s="28">
        <v>46191</v>
      </c>
      <c r="R357" s="29">
        <v>46191.4059027778</v>
      </c>
      <c r="S357" s="21" t="s">
        <v>780</v>
      </c>
      <c r="T357" s="21"/>
      <c r="U357" s="21" t="s">
        <v>777</v>
      </c>
      <c r="V357" s="29">
        <v>46191.4058564815</v>
      </c>
      <c r="W357">
        <f>VLOOKUP(H357,物料編碼!A:B,2,0)</f>
        <v>1300503009</v>
      </c>
      <c r="X357">
        <v>1300503</v>
      </c>
      <c r="Y357" t="str">
        <f>VLOOKUP(X357,物料編碼!D:G,4,0)</f>
        <v>羊肩卷肉</v>
      </c>
      <c r="Z357" t="str">
        <f>VLOOKUP(C357,客戶屬性1!A:C,2,0)</f>
        <v>国威夏门猪肉</v>
      </c>
      <c r="AA357">
        <f>IF(COUNTIF($O$1:O357,O357)=1,L357,0)</f>
        <v>4698.14</v>
      </c>
    </row>
    <row r="358" customHeight="1" spans="1:27">
      <c r="A358" s="21" t="s">
        <v>775</v>
      </c>
      <c r="B358" s="21" t="s">
        <v>45</v>
      </c>
      <c r="C358" s="21" t="s">
        <v>776</v>
      </c>
      <c r="D358" s="21" t="s">
        <v>777</v>
      </c>
      <c r="E358" s="21" t="s">
        <v>778</v>
      </c>
      <c r="F358" s="21" t="s">
        <v>49</v>
      </c>
      <c r="G358" s="21" t="s">
        <v>50</v>
      </c>
      <c r="H358" s="21" t="s">
        <v>781</v>
      </c>
      <c r="I358" s="26">
        <v>1</v>
      </c>
      <c r="J358" s="26">
        <v>10</v>
      </c>
      <c r="K358" s="21" t="s">
        <v>52</v>
      </c>
      <c r="L358" s="27">
        <v>4698.14</v>
      </c>
      <c r="M358" s="21"/>
      <c r="N358" s="21"/>
      <c r="O358" s="21" t="s">
        <v>779</v>
      </c>
      <c r="P358" s="21" t="s">
        <v>54</v>
      </c>
      <c r="Q358" s="28">
        <v>46191</v>
      </c>
      <c r="R358" s="29">
        <v>46191.4059027778</v>
      </c>
      <c r="S358" s="21" t="s">
        <v>780</v>
      </c>
      <c r="T358" s="21"/>
      <c r="U358" s="21" t="s">
        <v>777</v>
      </c>
      <c r="V358" s="29">
        <v>46191.4058564815</v>
      </c>
      <c r="W358">
        <f>VLOOKUP(H358,物料編碼!A:B,2,0)</f>
        <v>1300904022</v>
      </c>
      <c r="X358">
        <v>1300904</v>
      </c>
      <c r="Y358" t="str">
        <f>VLOOKUP(X358,物料編碼!D:G,4,0)</f>
        <v>煙熏鴨胸</v>
      </c>
      <c r="Z358" t="str">
        <f>VLOOKUP(C358,客戶屬性1!A:C,2,0)</f>
        <v>国威夏门猪肉</v>
      </c>
      <c r="AA358">
        <f>IF(COUNTIF($O$1:O358,O358)=1,L358,0)</f>
        <v>0</v>
      </c>
    </row>
    <row r="359" customHeight="1" spans="1:27">
      <c r="A359" s="21" t="s">
        <v>775</v>
      </c>
      <c r="B359" s="21" t="s">
        <v>45</v>
      </c>
      <c r="C359" s="21" t="s">
        <v>776</v>
      </c>
      <c r="D359" s="21" t="s">
        <v>777</v>
      </c>
      <c r="E359" s="21" t="s">
        <v>778</v>
      </c>
      <c r="F359" s="21" t="s">
        <v>49</v>
      </c>
      <c r="G359" s="21" t="s">
        <v>50</v>
      </c>
      <c r="H359" s="21" t="s">
        <v>782</v>
      </c>
      <c r="I359" s="26">
        <v>10</v>
      </c>
      <c r="J359" s="26">
        <v>100</v>
      </c>
      <c r="K359" s="21" t="s">
        <v>52</v>
      </c>
      <c r="L359" s="27">
        <v>4698.14</v>
      </c>
      <c r="M359" s="21"/>
      <c r="N359" s="21"/>
      <c r="O359" s="21" t="s">
        <v>779</v>
      </c>
      <c r="P359" s="21" t="s">
        <v>54</v>
      </c>
      <c r="Q359" s="28">
        <v>46191</v>
      </c>
      <c r="R359" s="29">
        <v>46191.4059027778</v>
      </c>
      <c r="S359" s="21" t="s">
        <v>780</v>
      </c>
      <c r="T359" s="21"/>
      <c r="U359" s="21" t="s">
        <v>777</v>
      </c>
      <c r="V359" s="29">
        <v>46191.4058564815</v>
      </c>
      <c r="W359">
        <f>VLOOKUP(H359,物料編碼!A:B,2,0)</f>
        <v>1800102281</v>
      </c>
      <c r="X359">
        <v>1800102</v>
      </c>
      <c r="Y359" t="str">
        <f>VLOOKUP(X359,物料編碼!D:G,4,0)</f>
        <v>魚.鯰魚柳</v>
      </c>
      <c r="Z359" t="str">
        <f>VLOOKUP(C359,客戶屬性1!A:C,2,0)</f>
        <v>国威夏门猪肉</v>
      </c>
      <c r="AA359">
        <f>IF(COUNTIF($O$1:O359,O359)=1,L359,0)</f>
        <v>0</v>
      </c>
    </row>
    <row r="360" customHeight="1" spans="1:27">
      <c r="A360" s="21" t="s">
        <v>783</v>
      </c>
      <c r="B360" s="21" t="s">
        <v>45</v>
      </c>
      <c r="C360" s="21" t="s">
        <v>72</v>
      </c>
      <c r="D360" s="21" t="s">
        <v>73</v>
      </c>
      <c r="E360" s="21" t="s">
        <v>74</v>
      </c>
      <c r="F360" s="21" t="s">
        <v>49</v>
      </c>
      <c r="G360" s="21" t="s">
        <v>50</v>
      </c>
      <c r="H360" s="21" t="s">
        <v>190</v>
      </c>
      <c r="I360" s="26">
        <v>8</v>
      </c>
      <c r="J360" s="26">
        <v>96</v>
      </c>
      <c r="K360" s="21" t="s">
        <v>52</v>
      </c>
      <c r="L360" s="27">
        <v>1516.8</v>
      </c>
      <c r="M360" s="21"/>
      <c r="N360" s="21"/>
      <c r="O360" s="21" t="s">
        <v>784</v>
      </c>
      <c r="P360" s="21" t="s">
        <v>54</v>
      </c>
      <c r="Q360" s="28">
        <v>46191</v>
      </c>
      <c r="R360" s="29">
        <v>46191.3960185185</v>
      </c>
      <c r="S360" s="21" t="s">
        <v>77</v>
      </c>
      <c r="T360" s="21"/>
      <c r="U360" s="21" t="s">
        <v>74</v>
      </c>
      <c r="V360" s="29">
        <v>46191.3959606482</v>
      </c>
      <c r="W360">
        <f>VLOOKUP(H360,物料編碼!A:B,2,0)</f>
        <v>1300609001</v>
      </c>
      <c r="X360">
        <v>1300609</v>
      </c>
      <c r="Y360" t="str">
        <f>VLOOKUP(X360,物料編碼!D:G,4,0)</f>
        <v>去皮上腿肉</v>
      </c>
      <c r="Z360" t="str">
        <f>VLOOKUP(C360,客戶屬性1!A:C,2,0)</f>
        <v>恒辉贸易公司</v>
      </c>
      <c r="AA360">
        <f>IF(COUNTIF($O$1:O360,O360)=1,L360,0)</f>
        <v>1516.8</v>
      </c>
    </row>
    <row r="361" customHeight="1" spans="1:27">
      <c r="A361" s="21" t="s">
        <v>785</v>
      </c>
      <c r="B361" s="21" t="s">
        <v>45</v>
      </c>
      <c r="C361" s="21" t="s">
        <v>216</v>
      </c>
      <c r="D361" s="21" t="s">
        <v>217</v>
      </c>
      <c r="E361" s="21" t="s">
        <v>218</v>
      </c>
      <c r="F361" s="21" t="s">
        <v>49</v>
      </c>
      <c r="G361" s="21" t="s">
        <v>68</v>
      </c>
      <c r="H361" s="21" t="s">
        <v>267</v>
      </c>
      <c r="I361" s="26">
        <v>1</v>
      </c>
      <c r="J361" s="26">
        <v>20</v>
      </c>
      <c r="K361" s="21" t="s">
        <v>52</v>
      </c>
      <c r="L361" s="27">
        <v>1188</v>
      </c>
      <c r="M361" s="21"/>
      <c r="N361" s="21"/>
      <c r="O361" s="21" t="s">
        <v>786</v>
      </c>
      <c r="P361" s="21" t="s">
        <v>54</v>
      </c>
      <c r="Q361" s="28">
        <v>46191</v>
      </c>
      <c r="R361" s="29">
        <v>46190.6666666667</v>
      </c>
      <c r="S361" s="21" t="s">
        <v>221</v>
      </c>
      <c r="T361" s="21"/>
      <c r="U361" s="21" t="s">
        <v>222</v>
      </c>
      <c r="V361" s="29">
        <v>46190.6666203704</v>
      </c>
      <c r="W361">
        <f>VLOOKUP(H361,物料編碼!A:B,2,0)</f>
        <v>1300511002</v>
      </c>
      <c r="X361">
        <v>1300511</v>
      </c>
      <c r="Y361" t="str">
        <f>VLOOKUP(X361,物料編碼!D:G,4,0)</f>
        <v>羊卷肉</v>
      </c>
      <c r="Z361" t="str">
        <f>VLOOKUP(C361,客戶屬性1!A:C,2,0)</f>
        <v>天恒食品有限公司</v>
      </c>
      <c r="AA361">
        <f>IF(COUNTIF($O$1:O361,O361)=1,L361,0)</f>
        <v>1188</v>
      </c>
    </row>
    <row r="362" customHeight="1" spans="1:27">
      <c r="A362" s="21" t="s">
        <v>787</v>
      </c>
      <c r="B362" s="21" t="s">
        <v>45</v>
      </c>
      <c r="C362" s="21" t="s">
        <v>290</v>
      </c>
      <c r="D362" s="21" t="s">
        <v>291</v>
      </c>
      <c r="E362" s="21" t="s">
        <v>292</v>
      </c>
      <c r="F362" s="21" t="s">
        <v>49</v>
      </c>
      <c r="G362" s="21" t="s">
        <v>50</v>
      </c>
      <c r="H362" s="21" t="s">
        <v>121</v>
      </c>
      <c r="I362" s="26">
        <v>2</v>
      </c>
      <c r="J362" s="26">
        <v>40</v>
      </c>
      <c r="K362" s="21" t="s">
        <v>52</v>
      </c>
      <c r="L362" s="27">
        <v>980</v>
      </c>
      <c r="M362" s="21"/>
      <c r="N362" s="21"/>
      <c r="O362" s="21" t="s">
        <v>788</v>
      </c>
      <c r="P362" s="21" t="s">
        <v>54</v>
      </c>
      <c r="Q362" s="28">
        <v>46191</v>
      </c>
      <c r="R362" s="29">
        <v>46190.5154398148</v>
      </c>
      <c r="S362" s="21" t="s">
        <v>294</v>
      </c>
      <c r="T362" s="21"/>
      <c r="U362" s="21" t="s">
        <v>292</v>
      </c>
      <c r="V362" s="29">
        <v>46190.5154050926</v>
      </c>
      <c r="W362">
        <f>VLOOKUP(H362,物料編碼!A:B,2,0)</f>
        <v>1300114011</v>
      </c>
      <c r="X362">
        <v>1300114</v>
      </c>
      <c r="Y362" t="str">
        <f>VLOOKUP(X362,物料編碼!D:G,4,0)</f>
        <v>熟食</v>
      </c>
      <c r="Z362" t="str">
        <f>VLOOKUP(C362,客戶屬性1!A:C,2,0)</f>
        <v>溢利食品(香港)有限公司</v>
      </c>
      <c r="AA362">
        <f>IF(COUNTIF($O$1:O362,O362)=1,L362,0)</f>
        <v>980</v>
      </c>
    </row>
    <row r="363" customHeight="1" spans="1:27">
      <c r="A363" s="21" t="s">
        <v>789</v>
      </c>
      <c r="B363" s="21" t="s">
        <v>45</v>
      </c>
      <c r="C363" s="21" t="s">
        <v>538</v>
      </c>
      <c r="D363" s="21" t="s">
        <v>539</v>
      </c>
      <c r="E363" s="21" t="s">
        <v>540</v>
      </c>
      <c r="F363" s="21" t="s">
        <v>49</v>
      </c>
      <c r="G363" s="21" t="s">
        <v>541</v>
      </c>
      <c r="H363" s="21" t="s">
        <v>75</v>
      </c>
      <c r="I363" s="26">
        <v>2</v>
      </c>
      <c r="J363" s="26">
        <v>30</v>
      </c>
      <c r="K363" s="21" t="s">
        <v>52</v>
      </c>
      <c r="L363" s="27">
        <v>377.1</v>
      </c>
      <c r="M363" s="21"/>
      <c r="N363" s="21"/>
      <c r="O363" s="21" t="s">
        <v>790</v>
      </c>
      <c r="P363" s="21" t="s">
        <v>54</v>
      </c>
      <c r="Q363" s="28">
        <v>46190</v>
      </c>
      <c r="R363" s="29">
        <v>46190.4978472222</v>
      </c>
      <c r="S363" s="21" t="s">
        <v>543</v>
      </c>
      <c r="T363" s="21"/>
      <c r="U363" s="21" t="s">
        <v>539</v>
      </c>
      <c r="V363" s="29">
        <v>46190.4978125</v>
      </c>
      <c r="W363">
        <f>VLOOKUP(H363,物料編碼!A:B,2,0)</f>
        <v>1300603040</v>
      </c>
      <c r="X363">
        <v>1300603</v>
      </c>
      <c r="Y363" t="str">
        <f>VLOOKUP(X363,物料編碼!D:G,4,0)</f>
        <v>帶骨全腿</v>
      </c>
      <c r="Z363" t="str">
        <f>VLOOKUP(C363,客戶屬性1!A:C,2,0)</f>
        <v>诚信冻肉有限公司</v>
      </c>
      <c r="AA363">
        <f>IF(COUNTIF($O$1:O363,O363)=1,L363,0)</f>
        <v>377.1</v>
      </c>
    </row>
    <row r="364" customHeight="1" spans="1:27">
      <c r="A364" s="21" t="s">
        <v>791</v>
      </c>
      <c r="B364" s="21" t="s">
        <v>45</v>
      </c>
      <c r="C364" s="21" t="s">
        <v>197</v>
      </c>
      <c r="D364" s="21" t="s">
        <v>198</v>
      </c>
      <c r="E364" s="21" t="s">
        <v>199</v>
      </c>
      <c r="F364" s="21" t="s">
        <v>49</v>
      </c>
      <c r="G364" s="21" t="s">
        <v>136</v>
      </c>
      <c r="H364" s="21" t="s">
        <v>161</v>
      </c>
      <c r="I364" s="26">
        <v>2</v>
      </c>
      <c r="J364" s="26">
        <v>40</v>
      </c>
      <c r="K364" s="21" t="s">
        <v>52</v>
      </c>
      <c r="L364" s="27">
        <v>5761.8</v>
      </c>
      <c r="M364" s="21"/>
      <c r="N364" s="21"/>
      <c r="O364" s="21" t="s">
        <v>792</v>
      </c>
      <c r="P364" s="21" t="s">
        <v>54</v>
      </c>
      <c r="Q364" s="28">
        <v>46195</v>
      </c>
      <c r="R364" s="29">
        <v>46190.497662037</v>
      </c>
      <c r="S364" s="21" t="s">
        <v>202</v>
      </c>
      <c r="T364" s="21"/>
      <c r="U364" s="21" t="s">
        <v>203</v>
      </c>
      <c r="V364" s="29">
        <v>46190.4976157407</v>
      </c>
      <c r="W364">
        <f>VLOOKUP(H364,物料編碼!A:B,2,0)</f>
        <v>1300501020</v>
      </c>
      <c r="X364">
        <v>1300501</v>
      </c>
      <c r="Y364" t="str">
        <f>VLOOKUP(X364,物料編碼!D:G,4,0)</f>
        <v>羊排</v>
      </c>
      <c r="Z364" t="str">
        <f>VLOOKUP(C364,客戶屬性1!A:C,2,0)</f>
        <v>信隆(亚洲)有限公司</v>
      </c>
      <c r="AA364">
        <f>IF(COUNTIF($O$1:O364,O364)=1,L364,0)</f>
        <v>5761.8</v>
      </c>
    </row>
    <row r="365" customHeight="1" spans="1:27">
      <c r="A365" s="21" t="s">
        <v>791</v>
      </c>
      <c r="B365" s="21" t="s">
        <v>45</v>
      </c>
      <c r="C365" s="21" t="s">
        <v>197</v>
      </c>
      <c r="D365" s="21" t="s">
        <v>198</v>
      </c>
      <c r="E365" s="21" t="s">
        <v>199</v>
      </c>
      <c r="F365" s="21" t="s">
        <v>49</v>
      </c>
      <c r="G365" s="21" t="s">
        <v>136</v>
      </c>
      <c r="H365" s="21" t="s">
        <v>200</v>
      </c>
      <c r="I365" s="26">
        <v>10</v>
      </c>
      <c r="J365" s="26">
        <v>100</v>
      </c>
      <c r="K365" s="21" t="s">
        <v>52</v>
      </c>
      <c r="L365" s="27">
        <v>5761.8</v>
      </c>
      <c r="M365" s="21"/>
      <c r="N365" s="21"/>
      <c r="O365" s="21" t="s">
        <v>792</v>
      </c>
      <c r="P365" s="21" t="s">
        <v>54</v>
      </c>
      <c r="Q365" s="28">
        <v>46195</v>
      </c>
      <c r="R365" s="29">
        <v>46190.497662037</v>
      </c>
      <c r="S365" s="21" t="s">
        <v>202</v>
      </c>
      <c r="T365" s="21"/>
      <c r="U365" s="21" t="s">
        <v>203</v>
      </c>
      <c r="V365" s="29">
        <v>46190.4976157407</v>
      </c>
      <c r="W365">
        <f>VLOOKUP(H365,物料編碼!A:B,2,0)</f>
        <v>1300904024</v>
      </c>
      <c r="X365">
        <v>1300904</v>
      </c>
      <c r="Y365" t="str">
        <f>VLOOKUP(X365,物料編碼!D:G,4,0)</f>
        <v>煙熏鴨胸</v>
      </c>
      <c r="Z365" t="str">
        <f>VLOOKUP(C365,客戶屬性1!A:C,2,0)</f>
        <v>信隆(亚洲)有限公司</v>
      </c>
      <c r="AA365">
        <f>IF(COUNTIF($O$1:O365,O365)=1,L365,0)</f>
        <v>0</v>
      </c>
    </row>
    <row r="366" customHeight="1" spans="1:27">
      <c r="A366" s="21" t="s">
        <v>793</v>
      </c>
      <c r="B366" s="21" t="s">
        <v>45</v>
      </c>
      <c r="C366" s="21" t="s">
        <v>197</v>
      </c>
      <c r="D366" s="21" t="s">
        <v>198</v>
      </c>
      <c r="E366" s="21" t="s">
        <v>199</v>
      </c>
      <c r="F366" s="21" t="s">
        <v>49</v>
      </c>
      <c r="G366" s="21" t="s">
        <v>136</v>
      </c>
      <c r="H366" s="21" t="s">
        <v>63</v>
      </c>
      <c r="I366" s="26">
        <v>5</v>
      </c>
      <c r="J366" s="26">
        <v>125</v>
      </c>
      <c r="K366" s="21" t="s">
        <v>52</v>
      </c>
      <c r="L366" s="27">
        <v>12692.45</v>
      </c>
      <c r="M366" s="21"/>
      <c r="N366" s="21"/>
      <c r="O366" s="21" t="s">
        <v>794</v>
      </c>
      <c r="P366" s="21" t="s">
        <v>54</v>
      </c>
      <c r="Q366" s="28">
        <v>46191</v>
      </c>
      <c r="R366" s="29">
        <v>46190.494224537</v>
      </c>
      <c r="S366" s="21" t="s">
        <v>202</v>
      </c>
      <c r="T366" s="21"/>
      <c r="U366" s="21" t="s">
        <v>203</v>
      </c>
      <c r="V366" s="29">
        <v>46190.4941666667</v>
      </c>
      <c r="W366">
        <f>VLOOKUP(H366,物料編碼!A:B,2,0)</f>
        <v>1300109002</v>
      </c>
      <c r="X366">
        <v>1300109</v>
      </c>
      <c r="Y366" t="str">
        <f>VLOOKUP(X366,物料編碼!D:G,4,0)</f>
        <v>面精肉</v>
      </c>
      <c r="Z366" t="str">
        <f>VLOOKUP(C366,客戶屬性1!A:C,2,0)</f>
        <v>信隆(亚洲)有限公司</v>
      </c>
      <c r="AA366">
        <f>IF(COUNTIF($O$1:O366,O366)=1,L366,0)</f>
        <v>12692.45</v>
      </c>
    </row>
    <row r="367" customHeight="1" spans="1:27">
      <c r="A367" s="21" t="s">
        <v>793</v>
      </c>
      <c r="B367" s="21" t="s">
        <v>45</v>
      </c>
      <c r="C367" s="21" t="s">
        <v>197</v>
      </c>
      <c r="D367" s="21" t="s">
        <v>198</v>
      </c>
      <c r="E367" s="21" t="s">
        <v>199</v>
      </c>
      <c r="F367" s="21" t="s">
        <v>49</v>
      </c>
      <c r="G367" s="21" t="s">
        <v>136</v>
      </c>
      <c r="H367" s="21" t="s">
        <v>161</v>
      </c>
      <c r="I367" s="26">
        <v>3</v>
      </c>
      <c r="J367" s="26">
        <v>60</v>
      </c>
      <c r="K367" s="21" t="s">
        <v>52</v>
      </c>
      <c r="L367" s="27">
        <v>12692.45</v>
      </c>
      <c r="M367" s="21"/>
      <c r="N367" s="21"/>
      <c r="O367" s="21" t="s">
        <v>794</v>
      </c>
      <c r="P367" s="21" t="s">
        <v>54</v>
      </c>
      <c r="Q367" s="28">
        <v>46191</v>
      </c>
      <c r="R367" s="29">
        <v>46190.494224537</v>
      </c>
      <c r="S367" s="21" t="s">
        <v>202</v>
      </c>
      <c r="T367" s="21"/>
      <c r="U367" s="21" t="s">
        <v>203</v>
      </c>
      <c r="V367" s="29">
        <v>46190.4941666667</v>
      </c>
      <c r="W367">
        <f>VLOOKUP(H367,物料編碼!A:B,2,0)</f>
        <v>1300501020</v>
      </c>
      <c r="X367">
        <v>1300501</v>
      </c>
      <c r="Y367" t="str">
        <f>VLOOKUP(X367,物料編碼!D:G,4,0)</f>
        <v>羊排</v>
      </c>
      <c r="Z367" t="str">
        <f>VLOOKUP(C367,客戶屬性1!A:C,2,0)</f>
        <v>信隆(亚洲)有限公司</v>
      </c>
      <c r="AA367">
        <f>IF(COUNTIF($O$1:O367,O367)=1,L367,0)</f>
        <v>0</v>
      </c>
    </row>
    <row r="368" customHeight="1" spans="1:27">
      <c r="A368" s="21" t="s">
        <v>793</v>
      </c>
      <c r="B368" s="21" t="s">
        <v>45</v>
      </c>
      <c r="C368" s="21" t="s">
        <v>197</v>
      </c>
      <c r="D368" s="21" t="s">
        <v>198</v>
      </c>
      <c r="E368" s="21" t="s">
        <v>199</v>
      </c>
      <c r="F368" s="21" t="s">
        <v>49</v>
      </c>
      <c r="G368" s="21" t="s">
        <v>136</v>
      </c>
      <c r="H368" s="21" t="s">
        <v>200</v>
      </c>
      <c r="I368" s="26">
        <v>15</v>
      </c>
      <c r="J368" s="26">
        <v>150</v>
      </c>
      <c r="K368" s="21" t="s">
        <v>52</v>
      </c>
      <c r="L368" s="27">
        <v>12692.45</v>
      </c>
      <c r="M368" s="21"/>
      <c r="N368" s="21"/>
      <c r="O368" s="21" t="s">
        <v>794</v>
      </c>
      <c r="P368" s="21" t="s">
        <v>54</v>
      </c>
      <c r="Q368" s="28">
        <v>46191</v>
      </c>
      <c r="R368" s="29">
        <v>46190.494224537</v>
      </c>
      <c r="S368" s="21" t="s">
        <v>202</v>
      </c>
      <c r="T368" s="21"/>
      <c r="U368" s="21" t="s">
        <v>203</v>
      </c>
      <c r="V368" s="29">
        <v>46190.4941666667</v>
      </c>
      <c r="W368">
        <f>VLOOKUP(H368,物料編碼!A:B,2,0)</f>
        <v>1300904024</v>
      </c>
      <c r="X368">
        <v>1300904</v>
      </c>
      <c r="Y368" t="str">
        <f>VLOOKUP(X368,物料編碼!D:G,4,0)</f>
        <v>煙熏鴨胸</v>
      </c>
      <c r="Z368" t="str">
        <f>VLOOKUP(C368,客戶屬性1!A:C,2,0)</f>
        <v>信隆(亚洲)有限公司</v>
      </c>
      <c r="AA368">
        <f>IF(COUNTIF($O$1:O368,O368)=1,L368,0)</f>
        <v>0</v>
      </c>
    </row>
    <row r="369" customHeight="1" spans="1:27">
      <c r="A369" s="21" t="s">
        <v>795</v>
      </c>
      <c r="B369" s="21" t="s">
        <v>45</v>
      </c>
      <c r="C369" s="21" t="s">
        <v>216</v>
      </c>
      <c r="D369" s="21" t="s">
        <v>217</v>
      </c>
      <c r="E369" s="21" t="s">
        <v>218</v>
      </c>
      <c r="F369" s="21" t="s">
        <v>49</v>
      </c>
      <c r="G369" s="21" t="s">
        <v>68</v>
      </c>
      <c r="H369" s="21" t="s">
        <v>161</v>
      </c>
      <c r="I369" s="26">
        <v>1</v>
      </c>
      <c r="J369" s="26">
        <v>20</v>
      </c>
      <c r="K369" s="21" t="s">
        <v>52</v>
      </c>
      <c r="L369" s="27">
        <v>1900.8</v>
      </c>
      <c r="M369" s="21"/>
      <c r="N369" s="21"/>
      <c r="O369" s="21" t="s">
        <v>796</v>
      </c>
      <c r="P369" s="21" t="s">
        <v>54</v>
      </c>
      <c r="Q369" s="28">
        <v>46191</v>
      </c>
      <c r="R369" s="29">
        <v>46190.4725925926</v>
      </c>
      <c r="S369" s="21" t="s">
        <v>221</v>
      </c>
      <c r="T369" s="21"/>
      <c r="U369" s="21" t="s">
        <v>222</v>
      </c>
      <c r="V369" s="29">
        <v>46190.4725462963</v>
      </c>
      <c r="W369">
        <f>VLOOKUP(H369,物料編碼!A:B,2,0)</f>
        <v>1300501020</v>
      </c>
      <c r="X369">
        <v>1300501</v>
      </c>
      <c r="Y369" t="str">
        <f>VLOOKUP(X369,物料編碼!D:G,4,0)</f>
        <v>羊排</v>
      </c>
      <c r="Z369" t="str">
        <f>VLOOKUP(C369,客戶屬性1!A:C,2,0)</f>
        <v>天恒食品有限公司</v>
      </c>
      <c r="AA369">
        <f>IF(COUNTIF($O$1:O369,O369)=1,L369,0)</f>
        <v>1900.8</v>
      </c>
    </row>
    <row r="370" customHeight="1" spans="1:27">
      <c r="A370" s="21" t="s">
        <v>797</v>
      </c>
      <c r="B370" s="21" t="s">
        <v>45</v>
      </c>
      <c r="C370" s="21" t="s">
        <v>46</v>
      </c>
      <c r="D370" s="21" t="s">
        <v>47</v>
      </c>
      <c r="E370" s="21" t="s">
        <v>48</v>
      </c>
      <c r="F370" s="21" t="s">
        <v>49</v>
      </c>
      <c r="G370" s="21" t="s">
        <v>50</v>
      </c>
      <c r="H370" s="21" t="s">
        <v>168</v>
      </c>
      <c r="I370" s="26">
        <v>1</v>
      </c>
      <c r="J370" s="26">
        <v>10</v>
      </c>
      <c r="K370" s="21" t="s">
        <v>52</v>
      </c>
      <c r="L370" s="27">
        <v>97</v>
      </c>
      <c r="M370" s="21"/>
      <c r="N370" s="21"/>
      <c r="O370" s="21" t="s">
        <v>798</v>
      </c>
      <c r="P370" s="21" t="s">
        <v>54</v>
      </c>
      <c r="Q370" s="28">
        <v>46190</v>
      </c>
      <c r="R370" s="29">
        <v>46190.4459375</v>
      </c>
      <c r="S370" s="21" t="s">
        <v>55</v>
      </c>
      <c r="T370" s="21"/>
      <c r="U370" s="21" t="s">
        <v>47</v>
      </c>
      <c r="V370" s="29">
        <v>46190.4458912037</v>
      </c>
      <c r="W370">
        <f>VLOOKUP(H370,物料編碼!A:B,2,0)</f>
        <v>1300627002</v>
      </c>
      <c r="X370">
        <v>1300627</v>
      </c>
      <c r="Y370" t="str">
        <f>VLOOKUP(X370,物料編碼!D:G,4,0)</f>
        <v>翅尖</v>
      </c>
      <c r="Z370" t="str">
        <f>VLOOKUP(C370,客戶屬性1!A:C,2,0)</f>
        <v>明记冻肉</v>
      </c>
      <c r="AA370">
        <f>IF(COUNTIF($O$1:O370,O370)=1,L370,0)</f>
        <v>97</v>
      </c>
    </row>
    <row r="371" customHeight="1" spans="1:27">
      <c r="A371" s="21" t="s">
        <v>799</v>
      </c>
      <c r="B371" s="21" t="s">
        <v>45</v>
      </c>
      <c r="C371" s="21" t="s">
        <v>682</v>
      </c>
      <c r="D371" s="21" t="s">
        <v>683</v>
      </c>
      <c r="E371" s="21" t="s">
        <v>684</v>
      </c>
      <c r="F371" s="21" t="s">
        <v>49</v>
      </c>
      <c r="G371" s="21" t="s">
        <v>307</v>
      </c>
      <c r="H371" s="21" t="s">
        <v>267</v>
      </c>
      <c r="I371" s="26">
        <v>3</v>
      </c>
      <c r="J371" s="26">
        <v>60</v>
      </c>
      <c r="K371" s="21" t="s">
        <v>52</v>
      </c>
      <c r="L371" s="27">
        <v>3528</v>
      </c>
      <c r="M371" s="21"/>
      <c r="N371" s="21"/>
      <c r="O371" s="21" t="s">
        <v>800</v>
      </c>
      <c r="P371" s="21" t="s">
        <v>54</v>
      </c>
      <c r="Q371" s="28">
        <v>46190</v>
      </c>
      <c r="R371" s="29">
        <v>46190.4261805556</v>
      </c>
      <c r="S371" s="21" t="s">
        <v>801</v>
      </c>
      <c r="T371" s="21"/>
      <c r="U371" s="21" t="s">
        <v>683</v>
      </c>
      <c r="V371" s="29">
        <v>46190.4261226852</v>
      </c>
      <c r="W371">
        <f>VLOOKUP(H371,物料編碼!A:B,2,0)</f>
        <v>1300511002</v>
      </c>
      <c r="X371">
        <v>1300511</v>
      </c>
      <c r="Y371" t="str">
        <f>VLOOKUP(X371,物料編碼!D:G,4,0)</f>
        <v>羊卷肉</v>
      </c>
      <c r="Z371" t="str">
        <f>VLOOKUP(C371,客戶屬性1!A:C,2,0)</f>
        <v>姚氏食品有限公司</v>
      </c>
      <c r="AA371">
        <f>IF(COUNTIF($O$1:O371,O371)=1,L371,0)</f>
        <v>3528</v>
      </c>
    </row>
    <row r="372" customHeight="1" spans="1:27">
      <c r="A372" s="21" t="s">
        <v>802</v>
      </c>
      <c r="B372" s="21" t="s">
        <v>45</v>
      </c>
      <c r="C372" s="21" t="s">
        <v>171</v>
      </c>
      <c r="D372" s="21" t="s">
        <v>172</v>
      </c>
      <c r="E372" s="21" t="s">
        <v>173</v>
      </c>
      <c r="F372" s="21" t="s">
        <v>49</v>
      </c>
      <c r="G372" s="21" t="s">
        <v>174</v>
      </c>
      <c r="H372" s="21" t="s">
        <v>267</v>
      </c>
      <c r="I372" s="26">
        <v>2</v>
      </c>
      <c r="J372" s="26">
        <v>40</v>
      </c>
      <c r="K372" s="21" t="s">
        <v>52</v>
      </c>
      <c r="L372" s="27">
        <v>2481.36</v>
      </c>
      <c r="M372" s="21"/>
      <c r="N372" s="21"/>
      <c r="O372" s="21" t="s">
        <v>803</v>
      </c>
      <c r="P372" s="21" t="s">
        <v>54</v>
      </c>
      <c r="Q372" s="28">
        <v>46190</v>
      </c>
      <c r="R372" s="29">
        <v>46189.6710185185</v>
      </c>
      <c r="S372" s="21" t="s">
        <v>177</v>
      </c>
      <c r="T372" s="21"/>
      <c r="U372" s="21" t="s">
        <v>172</v>
      </c>
      <c r="V372" s="29">
        <v>46189.6709606481</v>
      </c>
      <c r="W372">
        <f>VLOOKUP(H372,物料編碼!A:B,2,0)</f>
        <v>1300511002</v>
      </c>
      <c r="X372">
        <v>1300511</v>
      </c>
      <c r="Y372" t="str">
        <f>VLOOKUP(X372,物料編碼!D:G,4,0)</f>
        <v>羊卷肉</v>
      </c>
      <c r="Z372" t="str">
        <f>VLOOKUP(C372,客戶屬性1!A:C,2,0)</f>
        <v>豪气有限公司</v>
      </c>
      <c r="AA372">
        <f>IF(COUNTIF($O$1:O372,O372)=1,L372,0)</f>
        <v>2481.36</v>
      </c>
    </row>
    <row r="373" customHeight="1" spans="1:27">
      <c r="A373" s="21" t="s">
        <v>802</v>
      </c>
      <c r="B373" s="21" t="s">
        <v>45</v>
      </c>
      <c r="C373" s="21" t="s">
        <v>171</v>
      </c>
      <c r="D373" s="21" t="s">
        <v>172</v>
      </c>
      <c r="E373" s="21" t="s">
        <v>173</v>
      </c>
      <c r="F373" s="21" t="s">
        <v>49</v>
      </c>
      <c r="G373" s="21" t="s">
        <v>174</v>
      </c>
      <c r="H373" s="21" t="s">
        <v>804</v>
      </c>
      <c r="I373" s="26">
        <v>1</v>
      </c>
      <c r="J373" s="26">
        <v>10</v>
      </c>
      <c r="K373" s="21" t="s">
        <v>52</v>
      </c>
      <c r="L373" s="27">
        <v>2481.36</v>
      </c>
      <c r="M373" s="21"/>
      <c r="N373" s="21"/>
      <c r="O373" s="21" t="s">
        <v>803</v>
      </c>
      <c r="P373" s="21" t="s">
        <v>54</v>
      </c>
      <c r="Q373" s="28">
        <v>46190</v>
      </c>
      <c r="R373" s="29">
        <v>46189.6710185185</v>
      </c>
      <c r="S373" s="21" t="s">
        <v>177</v>
      </c>
      <c r="T373" s="21"/>
      <c r="U373" s="21" t="s">
        <v>172</v>
      </c>
      <c r="V373" s="29">
        <v>46189.6709606481</v>
      </c>
      <c r="W373">
        <f>VLOOKUP(H373,物料編碼!A:B,2,0)</f>
        <v>1300902003</v>
      </c>
      <c r="X373">
        <v>1300902</v>
      </c>
      <c r="Y373" t="str">
        <f>VLOOKUP(X373,物料編碼!D:G,4,0)</f>
        <v>帶骨整腿</v>
      </c>
      <c r="Z373" t="str">
        <f>VLOOKUP(C373,客戶屬性1!A:C,2,0)</f>
        <v>豪气有限公司</v>
      </c>
      <c r="AA373">
        <f>IF(COUNTIF($O$1:O373,O373)=1,L373,0)</f>
        <v>0</v>
      </c>
    </row>
    <row r="374" customHeight="1" spans="1:27">
      <c r="A374" s="21" t="s">
        <v>805</v>
      </c>
      <c r="B374" s="21" t="s">
        <v>45</v>
      </c>
      <c r="C374" s="21" t="s">
        <v>72</v>
      </c>
      <c r="D374" s="21" t="s">
        <v>73</v>
      </c>
      <c r="E374" s="21" t="s">
        <v>74</v>
      </c>
      <c r="F374" s="21" t="s">
        <v>49</v>
      </c>
      <c r="G374" s="21" t="s">
        <v>50</v>
      </c>
      <c r="H374" s="21" t="s">
        <v>63</v>
      </c>
      <c r="I374" s="26">
        <v>7</v>
      </c>
      <c r="J374" s="26">
        <v>175</v>
      </c>
      <c r="K374" s="21" t="s">
        <v>52</v>
      </c>
      <c r="L374" s="27">
        <v>5669.65</v>
      </c>
      <c r="M374" s="21"/>
      <c r="N374" s="21"/>
      <c r="O374" s="21" t="s">
        <v>806</v>
      </c>
      <c r="P374" s="21" t="s">
        <v>54</v>
      </c>
      <c r="Q374" s="28">
        <v>46190</v>
      </c>
      <c r="R374" s="29">
        <v>46189.5252083333</v>
      </c>
      <c r="S374" s="21" t="s">
        <v>81</v>
      </c>
      <c r="T374" s="21"/>
      <c r="U374" s="21" t="s">
        <v>82</v>
      </c>
      <c r="V374" s="29">
        <v>46189.525150463</v>
      </c>
      <c r="W374">
        <f>VLOOKUP(H374,物料編碼!A:B,2,0)</f>
        <v>1300109002</v>
      </c>
      <c r="X374">
        <v>1300109</v>
      </c>
      <c r="Y374" t="str">
        <f>VLOOKUP(X374,物料編碼!D:G,4,0)</f>
        <v>面精肉</v>
      </c>
      <c r="Z374" t="str">
        <f>VLOOKUP(C374,客戶屬性1!A:C,2,0)</f>
        <v>恒辉贸易公司</v>
      </c>
      <c r="AA374">
        <f>IF(COUNTIF($O$1:O374,O374)=1,L374,0)</f>
        <v>5669.65</v>
      </c>
    </row>
    <row r="375" customHeight="1" spans="1:27">
      <c r="A375" s="21" t="s">
        <v>807</v>
      </c>
      <c r="B375" s="21" t="s">
        <v>45</v>
      </c>
      <c r="C375" s="21" t="s">
        <v>114</v>
      </c>
      <c r="D375" s="21" t="s">
        <v>115</v>
      </c>
      <c r="E375" s="21" t="s">
        <v>116</v>
      </c>
      <c r="F375" s="21" t="s">
        <v>49</v>
      </c>
      <c r="G375" s="21" t="s">
        <v>100</v>
      </c>
      <c r="H375" s="21" t="s">
        <v>808</v>
      </c>
      <c r="I375" s="26">
        <v>2</v>
      </c>
      <c r="J375" s="26">
        <v>20</v>
      </c>
      <c r="K375" s="21" t="s">
        <v>52</v>
      </c>
      <c r="L375" s="27">
        <v>242</v>
      </c>
      <c r="M375" s="21"/>
      <c r="N375" s="21"/>
      <c r="O375" s="21" t="s">
        <v>809</v>
      </c>
      <c r="P375" s="21" t="s">
        <v>54</v>
      </c>
      <c r="Q375" s="28">
        <v>46190</v>
      </c>
      <c r="R375" s="29">
        <v>46189.4820949074</v>
      </c>
      <c r="S375" s="21" t="s">
        <v>119</v>
      </c>
      <c r="T375" s="21"/>
      <c r="U375" s="21" t="s">
        <v>115</v>
      </c>
      <c r="V375" s="29">
        <v>46189.4820601852</v>
      </c>
      <c r="W375">
        <f>VLOOKUP(H375,物料編碼!A:B,2,0)</f>
        <v>1300613017</v>
      </c>
      <c r="X375">
        <v>1300613</v>
      </c>
      <c r="Y375" t="str">
        <f>VLOOKUP(X375,物料編碼!D:G,4,0)</f>
        <v>小胸肉</v>
      </c>
      <c r="Z375" t="str">
        <f>VLOOKUP(C375,客戶屬性1!A:C,2,0)</f>
        <v>骏利贸易公司</v>
      </c>
      <c r="AA375">
        <f>IF(COUNTIF($O$1:O375,O375)=1,L375,0)</f>
        <v>242</v>
      </c>
    </row>
    <row r="376" customHeight="1" spans="1:27">
      <c r="A376" s="21" t="s">
        <v>810</v>
      </c>
      <c r="B376" s="21" t="s">
        <v>45</v>
      </c>
      <c r="C376" s="21" t="s">
        <v>114</v>
      </c>
      <c r="D376" s="21" t="s">
        <v>115</v>
      </c>
      <c r="E376" s="21" t="s">
        <v>116</v>
      </c>
      <c r="F376" s="21" t="s">
        <v>49</v>
      </c>
      <c r="G376" s="21" t="s">
        <v>100</v>
      </c>
      <c r="H376" s="21" t="s">
        <v>168</v>
      </c>
      <c r="I376" s="26">
        <v>1</v>
      </c>
      <c r="J376" s="26">
        <v>10</v>
      </c>
      <c r="K376" s="21" t="s">
        <v>52</v>
      </c>
      <c r="L376" s="27">
        <v>97</v>
      </c>
      <c r="M376" s="21"/>
      <c r="N376" s="21"/>
      <c r="O376" s="21" t="s">
        <v>811</v>
      </c>
      <c r="P376" s="21" t="s">
        <v>54</v>
      </c>
      <c r="Q376" s="28">
        <v>46190</v>
      </c>
      <c r="R376" s="29">
        <v>46189.4809490741</v>
      </c>
      <c r="S376" s="21" t="s">
        <v>119</v>
      </c>
      <c r="T376" s="21"/>
      <c r="U376" s="21" t="s">
        <v>115</v>
      </c>
      <c r="V376" s="29">
        <v>46189.4809027778</v>
      </c>
      <c r="W376">
        <f>VLOOKUP(H376,物料編碼!A:B,2,0)</f>
        <v>1300627002</v>
      </c>
      <c r="X376">
        <v>1300627</v>
      </c>
      <c r="Y376" t="str">
        <f>VLOOKUP(X376,物料編碼!D:G,4,0)</f>
        <v>翅尖</v>
      </c>
      <c r="Z376" t="str">
        <f>VLOOKUP(C376,客戶屬性1!A:C,2,0)</f>
        <v>骏利贸易公司</v>
      </c>
      <c r="AA376">
        <f>IF(COUNTIF($O$1:O376,O376)=1,L376,0)</f>
        <v>97</v>
      </c>
    </row>
    <row r="377" customHeight="1" spans="1:27">
      <c r="A377" s="21" t="s">
        <v>812</v>
      </c>
      <c r="B377" s="21" t="s">
        <v>45</v>
      </c>
      <c r="C377" s="21" t="s">
        <v>141</v>
      </c>
      <c r="D377" s="21" t="s">
        <v>142</v>
      </c>
      <c r="E377" s="21" t="s">
        <v>142</v>
      </c>
      <c r="F377" s="21" t="s">
        <v>143</v>
      </c>
      <c r="G377" s="21" t="s">
        <v>100</v>
      </c>
      <c r="H377" s="21" t="s">
        <v>60</v>
      </c>
      <c r="I377" s="26">
        <v>1</v>
      </c>
      <c r="J377" s="26">
        <v>25</v>
      </c>
      <c r="K377" s="21" t="s">
        <v>52</v>
      </c>
      <c r="L377" s="27">
        <v>1977.75</v>
      </c>
      <c r="M377" s="21"/>
      <c r="N377" s="21"/>
      <c r="O377" s="21" t="s">
        <v>813</v>
      </c>
      <c r="P377" s="21" t="s">
        <v>54</v>
      </c>
      <c r="Q377" s="28">
        <v>46190</v>
      </c>
      <c r="R377" s="29">
        <v>46189.4662268519</v>
      </c>
      <c r="S377" s="21" t="s">
        <v>145</v>
      </c>
      <c r="T377" s="21"/>
      <c r="U377" s="21" t="s">
        <v>142</v>
      </c>
      <c r="V377" s="29">
        <v>46189.4661805556</v>
      </c>
      <c r="W377">
        <f>VLOOKUP(H377,物料編碼!A:B,2,0)</f>
        <v>1300101043</v>
      </c>
      <c r="X377">
        <v>1300101</v>
      </c>
      <c r="Y377" t="str">
        <f>VLOOKUP(X377,物料編碼!D:G,4,0)</f>
        <v>一號肉</v>
      </c>
      <c r="Z377" t="str">
        <f>VLOOKUP(C377,客戶屬性1!A:C,2,0)</f>
        <v>新昌冻肉</v>
      </c>
      <c r="AA377">
        <f>IF(COUNTIF($O$1:O377,O377)=1,L377,0)</f>
        <v>1977.75</v>
      </c>
    </row>
    <row r="378" customHeight="1" spans="1:27">
      <c r="A378" s="21" t="s">
        <v>812</v>
      </c>
      <c r="B378" s="21" t="s">
        <v>45</v>
      </c>
      <c r="C378" s="21" t="s">
        <v>141</v>
      </c>
      <c r="D378" s="21" t="s">
        <v>142</v>
      </c>
      <c r="E378" s="21" t="s">
        <v>142</v>
      </c>
      <c r="F378" s="21" t="s">
        <v>143</v>
      </c>
      <c r="G378" s="21" t="s">
        <v>100</v>
      </c>
      <c r="H378" s="21" t="s">
        <v>146</v>
      </c>
      <c r="I378" s="26">
        <v>2</v>
      </c>
      <c r="J378" s="26">
        <v>30</v>
      </c>
      <c r="K378" s="21" t="s">
        <v>52</v>
      </c>
      <c r="L378" s="27">
        <v>1977.75</v>
      </c>
      <c r="M378" s="21"/>
      <c r="N378" s="21"/>
      <c r="O378" s="21" t="s">
        <v>813</v>
      </c>
      <c r="P378" s="21" t="s">
        <v>54</v>
      </c>
      <c r="Q378" s="28">
        <v>46190</v>
      </c>
      <c r="R378" s="29">
        <v>46189.4662268519</v>
      </c>
      <c r="S378" s="21" t="s">
        <v>145</v>
      </c>
      <c r="T378" s="21"/>
      <c r="U378" s="21" t="s">
        <v>142</v>
      </c>
      <c r="V378" s="29">
        <v>46189.4661805556</v>
      </c>
      <c r="W378">
        <f>VLOOKUP(H378,物料編碼!A:B,2,0)</f>
        <v>1300603041</v>
      </c>
      <c r="X378">
        <v>1300603</v>
      </c>
      <c r="Y378" t="str">
        <f>VLOOKUP(X378,物料編碼!D:G,4,0)</f>
        <v>帶骨全腿</v>
      </c>
      <c r="Z378" t="str">
        <f>VLOOKUP(C378,客戶屬性1!A:C,2,0)</f>
        <v>新昌冻肉</v>
      </c>
      <c r="AA378">
        <f>IF(COUNTIF($O$1:O378,O378)=1,L378,0)</f>
        <v>0</v>
      </c>
    </row>
    <row r="379" customHeight="1" spans="1:27">
      <c r="A379" s="21" t="s">
        <v>812</v>
      </c>
      <c r="B379" s="21" t="s">
        <v>45</v>
      </c>
      <c r="C379" s="21" t="s">
        <v>141</v>
      </c>
      <c r="D379" s="21" t="s">
        <v>142</v>
      </c>
      <c r="E379" s="21" t="s">
        <v>142</v>
      </c>
      <c r="F379" s="21" t="s">
        <v>143</v>
      </c>
      <c r="G379" s="21" t="s">
        <v>100</v>
      </c>
      <c r="H379" s="21" t="s">
        <v>117</v>
      </c>
      <c r="I379" s="26">
        <v>3</v>
      </c>
      <c r="J379" s="26">
        <v>45</v>
      </c>
      <c r="K379" s="21" t="s">
        <v>52</v>
      </c>
      <c r="L379" s="27">
        <v>1977.75</v>
      </c>
      <c r="M379" s="21"/>
      <c r="N379" s="21"/>
      <c r="O379" s="21" t="s">
        <v>813</v>
      </c>
      <c r="P379" s="21" t="s">
        <v>54</v>
      </c>
      <c r="Q379" s="28">
        <v>46190</v>
      </c>
      <c r="R379" s="29">
        <v>46189.4662268519</v>
      </c>
      <c r="S379" s="21" t="s">
        <v>145</v>
      </c>
      <c r="T379" s="21"/>
      <c r="U379" s="21" t="s">
        <v>142</v>
      </c>
      <c r="V379" s="29">
        <v>46189.4661805556</v>
      </c>
      <c r="W379">
        <f>VLOOKUP(H379,物料編碼!A:B,2,0)</f>
        <v>1300607015</v>
      </c>
      <c r="X379">
        <v>1300607</v>
      </c>
      <c r="Y379" t="str">
        <f>VLOOKUP(X379,物料編碼!D:G,4,0)</f>
        <v>帶皮腿扒</v>
      </c>
      <c r="Z379" t="str">
        <f>VLOOKUP(C379,客戶屬性1!A:C,2,0)</f>
        <v>新昌冻肉</v>
      </c>
      <c r="AA379">
        <f>IF(COUNTIF($O$1:O379,O379)=1,L379,0)</f>
        <v>0</v>
      </c>
    </row>
    <row r="380" customHeight="1" spans="1:27">
      <c r="A380" s="21" t="s">
        <v>814</v>
      </c>
      <c r="B380" s="21" t="s">
        <v>45</v>
      </c>
      <c r="C380" s="21" t="s">
        <v>46</v>
      </c>
      <c r="D380" s="21" t="s">
        <v>47</v>
      </c>
      <c r="E380" s="21" t="s">
        <v>48</v>
      </c>
      <c r="F380" s="21" t="s">
        <v>49</v>
      </c>
      <c r="G380" s="21" t="s">
        <v>50</v>
      </c>
      <c r="H380" s="21" t="s">
        <v>63</v>
      </c>
      <c r="I380" s="26">
        <v>1</v>
      </c>
      <c r="J380" s="26">
        <v>25</v>
      </c>
      <c r="K380" s="21" t="s">
        <v>52</v>
      </c>
      <c r="L380" s="27">
        <v>835</v>
      </c>
      <c r="M380" s="21"/>
      <c r="N380" s="21"/>
      <c r="O380" s="21" t="s">
        <v>815</v>
      </c>
      <c r="P380" s="21" t="s">
        <v>54</v>
      </c>
      <c r="Q380" s="28">
        <v>46189</v>
      </c>
      <c r="R380" s="29">
        <v>46189.4338773148</v>
      </c>
      <c r="S380" s="21" t="s">
        <v>55</v>
      </c>
      <c r="T380" s="21"/>
      <c r="U380" s="21" t="s">
        <v>47</v>
      </c>
      <c r="V380" s="29">
        <v>46189.4338425926</v>
      </c>
      <c r="W380">
        <f>VLOOKUP(H380,物料編碼!A:B,2,0)</f>
        <v>1300109002</v>
      </c>
      <c r="X380">
        <v>1300109</v>
      </c>
      <c r="Y380" t="str">
        <f>VLOOKUP(X380,物料編碼!D:G,4,0)</f>
        <v>面精肉</v>
      </c>
      <c r="Z380" t="str">
        <f>VLOOKUP(C380,客戶屬性1!A:C,2,0)</f>
        <v>明记冻肉</v>
      </c>
      <c r="AA380">
        <f>IF(COUNTIF($O$1:O380,O380)=1,L380,0)</f>
        <v>835</v>
      </c>
    </row>
    <row r="381" customHeight="1" spans="1:27">
      <c r="A381" s="21" t="s">
        <v>816</v>
      </c>
      <c r="B381" s="21" t="s">
        <v>45</v>
      </c>
      <c r="C381" s="21" t="s">
        <v>65</v>
      </c>
      <c r="D381" s="21" t="s">
        <v>66</v>
      </c>
      <c r="E381" s="21" t="s">
        <v>67</v>
      </c>
      <c r="F381" s="21" t="s">
        <v>49</v>
      </c>
      <c r="G381" s="21" t="s">
        <v>68</v>
      </c>
      <c r="H381" s="21" t="s">
        <v>590</v>
      </c>
      <c r="I381" s="26">
        <v>5</v>
      </c>
      <c r="J381" s="26">
        <v>125</v>
      </c>
      <c r="K381" s="21" t="s">
        <v>52</v>
      </c>
      <c r="L381" s="27">
        <v>3185</v>
      </c>
      <c r="M381" s="21"/>
      <c r="N381" s="21"/>
      <c r="O381" s="21" t="s">
        <v>817</v>
      </c>
      <c r="P381" s="21" t="s">
        <v>54</v>
      </c>
      <c r="Q381" s="28">
        <v>46189</v>
      </c>
      <c r="R381" s="29">
        <v>46189.4312962963</v>
      </c>
      <c r="S381" s="21" t="s">
        <v>70</v>
      </c>
      <c r="T381" s="21"/>
      <c r="U381" s="21" t="s">
        <v>67</v>
      </c>
      <c r="V381" s="29">
        <v>46189.43125</v>
      </c>
      <c r="W381">
        <f>VLOOKUP(H381,物料編碼!A:B,2,0)</f>
        <v>1300101040</v>
      </c>
      <c r="X381">
        <v>1300101</v>
      </c>
      <c r="Y381" t="str">
        <f>VLOOKUP(X381,物料編碼!D:G,4,0)</f>
        <v>一號肉</v>
      </c>
      <c r="Z381" t="str">
        <f>VLOOKUP(C381,客戶屬性1!A:C,2,0)</f>
        <v>万骏贸易公司</v>
      </c>
      <c r="AA381">
        <f>IF(COUNTIF($O$1:O381,O381)=1,L381,0)</f>
        <v>3185</v>
      </c>
    </row>
    <row r="382" customHeight="1" spans="1:27">
      <c r="A382" s="21" t="s">
        <v>818</v>
      </c>
      <c r="B382" s="21" t="s">
        <v>45</v>
      </c>
      <c r="C382" s="21" t="s">
        <v>57</v>
      </c>
      <c r="D382" s="21" t="s">
        <v>58</v>
      </c>
      <c r="E382" s="21" t="s">
        <v>59</v>
      </c>
      <c r="F382" s="21" t="s">
        <v>49</v>
      </c>
      <c r="G382" s="21" t="s">
        <v>50</v>
      </c>
      <c r="H382" s="21" t="s">
        <v>63</v>
      </c>
      <c r="I382" s="26">
        <v>3</v>
      </c>
      <c r="J382" s="26">
        <v>75</v>
      </c>
      <c r="K382" s="21" t="s">
        <v>52</v>
      </c>
      <c r="L382" s="27">
        <v>25346.1</v>
      </c>
      <c r="M382" s="21"/>
      <c r="N382" s="21"/>
      <c r="O382" s="21" t="s">
        <v>819</v>
      </c>
      <c r="P382" s="21" t="s">
        <v>54</v>
      </c>
      <c r="Q382" s="28">
        <v>46189</v>
      </c>
      <c r="R382" s="29">
        <v>46189.4163657407</v>
      </c>
      <c r="S382" s="21" t="s">
        <v>62</v>
      </c>
      <c r="T382" s="21"/>
      <c r="U382" s="21" t="s">
        <v>59</v>
      </c>
      <c r="V382" s="29">
        <v>46189.4163194444</v>
      </c>
      <c r="W382">
        <f>VLOOKUP(H382,物料編碼!A:B,2,0)</f>
        <v>1300109002</v>
      </c>
      <c r="X382">
        <v>1300109</v>
      </c>
      <c r="Y382" t="str">
        <f>VLOOKUP(X382,物料編碼!D:G,4,0)</f>
        <v>面精肉</v>
      </c>
      <c r="Z382" t="str">
        <f>VLOOKUP(C382,客戶屬性1!A:C,2,0)</f>
        <v>翎凰冻肉有限公司</v>
      </c>
      <c r="AA382">
        <f>IF(COUNTIF($O$1:O382,O382)=1,L382,0)</f>
        <v>25346.1</v>
      </c>
    </row>
    <row r="383" customHeight="1" spans="1:27">
      <c r="A383" s="21" t="s">
        <v>818</v>
      </c>
      <c r="B383" s="21" t="s">
        <v>45</v>
      </c>
      <c r="C383" s="21" t="s">
        <v>57</v>
      </c>
      <c r="D383" s="21" t="s">
        <v>58</v>
      </c>
      <c r="E383" s="21" t="s">
        <v>59</v>
      </c>
      <c r="F383" s="21" t="s">
        <v>49</v>
      </c>
      <c r="G383" s="21" t="s">
        <v>50</v>
      </c>
      <c r="H383" s="21" t="s">
        <v>60</v>
      </c>
      <c r="I383" s="26">
        <v>25</v>
      </c>
      <c r="J383" s="26">
        <v>625</v>
      </c>
      <c r="K383" s="21" t="s">
        <v>52</v>
      </c>
      <c r="L383" s="27">
        <v>25346.1</v>
      </c>
      <c r="M383" s="21"/>
      <c r="N383" s="21"/>
      <c r="O383" s="21" t="s">
        <v>819</v>
      </c>
      <c r="P383" s="21" t="s">
        <v>54</v>
      </c>
      <c r="Q383" s="28">
        <v>46189</v>
      </c>
      <c r="R383" s="29">
        <v>46189.4163657407</v>
      </c>
      <c r="S383" s="21" t="s">
        <v>62</v>
      </c>
      <c r="T383" s="21"/>
      <c r="U383" s="21" t="s">
        <v>59</v>
      </c>
      <c r="V383" s="29">
        <v>46189.4163194444</v>
      </c>
      <c r="W383">
        <f>VLOOKUP(H383,物料編碼!A:B,2,0)</f>
        <v>1300101043</v>
      </c>
      <c r="X383">
        <v>1300101</v>
      </c>
      <c r="Y383" t="str">
        <f>VLOOKUP(X383,物料編碼!D:G,4,0)</f>
        <v>一號肉</v>
      </c>
      <c r="Z383" t="str">
        <f>VLOOKUP(C383,客戶屬性1!A:C,2,0)</f>
        <v>翎凰冻肉有限公司</v>
      </c>
      <c r="AA383">
        <f>IF(COUNTIF($O$1:O383,O383)=1,L383,0)</f>
        <v>0</v>
      </c>
    </row>
    <row r="384" customHeight="1" spans="1:27">
      <c r="A384" s="21" t="s">
        <v>820</v>
      </c>
      <c r="B384" s="21" t="s">
        <v>45</v>
      </c>
      <c r="C384" s="21" t="s">
        <v>72</v>
      </c>
      <c r="D384" s="21" t="s">
        <v>73</v>
      </c>
      <c r="E384" s="21" t="s">
        <v>74</v>
      </c>
      <c r="F384" s="21" t="s">
        <v>49</v>
      </c>
      <c r="G384" s="21" t="s">
        <v>50</v>
      </c>
      <c r="H384" s="21" t="s">
        <v>393</v>
      </c>
      <c r="I384" s="26">
        <v>2</v>
      </c>
      <c r="J384" s="26">
        <v>30</v>
      </c>
      <c r="K384" s="21" t="s">
        <v>52</v>
      </c>
      <c r="L384" s="27">
        <v>443.4</v>
      </c>
      <c r="M384" s="21"/>
      <c r="N384" s="21"/>
      <c r="O384" s="21" t="s">
        <v>821</v>
      </c>
      <c r="P384" s="21" t="s">
        <v>54</v>
      </c>
      <c r="Q384" s="28">
        <v>46189</v>
      </c>
      <c r="R384" s="29">
        <v>46189.4095717593</v>
      </c>
      <c r="S384" s="21" t="s">
        <v>288</v>
      </c>
      <c r="T384" s="21"/>
      <c r="U384" s="21" t="s">
        <v>82</v>
      </c>
      <c r="V384" s="29">
        <v>46189.409525463</v>
      </c>
      <c r="W384">
        <f>VLOOKUP(H384,物料編碼!A:B,2,0)</f>
        <v>1300607016</v>
      </c>
      <c r="X384">
        <v>1300607</v>
      </c>
      <c r="Y384" t="str">
        <f>VLOOKUP(X384,物料編碼!D:G,4,0)</f>
        <v>帶皮腿扒</v>
      </c>
      <c r="Z384" t="str">
        <f>VLOOKUP(C384,客戶屬性1!A:C,2,0)</f>
        <v>恒辉贸易公司</v>
      </c>
      <c r="AA384">
        <f>IF(COUNTIF($O$1:O384,O384)=1,L384,0)</f>
        <v>443.4</v>
      </c>
    </row>
    <row r="385" customHeight="1" spans="1:27">
      <c r="A385" s="21" t="s">
        <v>822</v>
      </c>
      <c r="B385" s="21" t="s">
        <v>45</v>
      </c>
      <c r="C385" s="21" t="s">
        <v>72</v>
      </c>
      <c r="D385" s="21" t="s">
        <v>73</v>
      </c>
      <c r="E385" s="21" t="s">
        <v>74</v>
      </c>
      <c r="F385" s="21" t="s">
        <v>49</v>
      </c>
      <c r="G385" s="21" t="s">
        <v>50</v>
      </c>
      <c r="H385" s="21" t="s">
        <v>117</v>
      </c>
      <c r="I385" s="26">
        <v>4</v>
      </c>
      <c r="J385" s="26">
        <v>60</v>
      </c>
      <c r="K385" s="21" t="s">
        <v>52</v>
      </c>
      <c r="L385" s="27">
        <v>886.8</v>
      </c>
      <c r="M385" s="21"/>
      <c r="N385" s="21"/>
      <c r="O385" s="21" t="s">
        <v>823</v>
      </c>
      <c r="P385" s="21" t="s">
        <v>54</v>
      </c>
      <c r="Q385" s="28">
        <v>46189</v>
      </c>
      <c r="R385" s="29">
        <v>46189.3944212963</v>
      </c>
      <c r="S385" s="21" t="s">
        <v>77</v>
      </c>
      <c r="T385" s="21"/>
      <c r="U385" s="21" t="s">
        <v>74</v>
      </c>
      <c r="V385" s="29">
        <v>46189.3943634259</v>
      </c>
      <c r="W385">
        <f>VLOOKUP(H385,物料編碼!A:B,2,0)</f>
        <v>1300607015</v>
      </c>
      <c r="X385">
        <v>1300607</v>
      </c>
      <c r="Y385" t="str">
        <f>VLOOKUP(X385,物料編碼!D:G,4,0)</f>
        <v>帶皮腿扒</v>
      </c>
      <c r="Z385" t="str">
        <f>VLOOKUP(C385,客戶屬性1!A:C,2,0)</f>
        <v>恒辉贸易公司</v>
      </c>
      <c r="AA385">
        <f>IF(COUNTIF($O$1:O385,O385)=1,L385,0)</f>
        <v>886.8</v>
      </c>
    </row>
    <row r="386" customHeight="1" spans="1:27">
      <c r="A386" s="21" t="s">
        <v>824</v>
      </c>
      <c r="B386" s="21" t="s">
        <v>45</v>
      </c>
      <c r="C386" s="21" t="s">
        <v>825</v>
      </c>
      <c r="D386" s="21" t="s">
        <v>826</v>
      </c>
      <c r="E386" s="21" t="s">
        <v>827</v>
      </c>
      <c r="F386" s="21" t="s">
        <v>49</v>
      </c>
      <c r="G386" s="21" t="s">
        <v>136</v>
      </c>
      <c r="H386" s="21" t="s">
        <v>63</v>
      </c>
      <c r="I386" s="26">
        <v>2</v>
      </c>
      <c r="J386" s="26">
        <v>50</v>
      </c>
      <c r="K386" s="21" t="s">
        <v>52</v>
      </c>
      <c r="L386" s="27">
        <v>2030.4</v>
      </c>
      <c r="M386" s="21"/>
      <c r="N386" s="21"/>
      <c r="O386" s="21" t="s">
        <v>828</v>
      </c>
      <c r="P386" s="21" t="s">
        <v>54</v>
      </c>
      <c r="Q386" s="28">
        <v>46189</v>
      </c>
      <c r="R386" s="29">
        <v>46188.6850231482</v>
      </c>
      <c r="S386" s="21" t="s">
        <v>829</v>
      </c>
      <c r="T386" s="21"/>
      <c r="U386" s="21" t="s">
        <v>826</v>
      </c>
      <c r="V386" s="29">
        <v>46188.6849768519</v>
      </c>
      <c r="W386">
        <f>VLOOKUP(H386,物料編碼!A:B,2,0)</f>
        <v>1300109002</v>
      </c>
      <c r="X386">
        <v>1300109</v>
      </c>
      <c r="Y386" t="str">
        <f>VLOOKUP(X386,物料編碼!D:G,4,0)</f>
        <v>面精肉</v>
      </c>
      <c r="Z386" t="str">
        <f>VLOOKUP(C386,客戶屬性1!A:C,2,0)</f>
        <v>鸿兴食品供应有限公司</v>
      </c>
      <c r="AA386">
        <f>IF(COUNTIF($O$1:O386,O386)=1,L386,0)</f>
        <v>2030.4</v>
      </c>
    </row>
    <row r="387" customHeight="1" spans="1:27">
      <c r="A387" s="21" t="s">
        <v>824</v>
      </c>
      <c r="B387" s="21" t="s">
        <v>45</v>
      </c>
      <c r="C387" s="21" t="s">
        <v>825</v>
      </c>
      <c r="D387" s="21" t="s">
        <v>826</v>
      </c>
      <c r="E387" s="21" t="s">
        <v>827</v>
      </c>
      <c r="F387" s="21" t="s">
        <v>49</v>
      </c>
      <c r="G387" s="21" t="s">
        <v>136</v>
      </c>
      <c r="H387" s="21" t="s">
        <v>830</v>
      </c>
      <c r="I387" s="26">
        <v>2</v>
      </c>
      <c r="J387" s="26">
        <v>30</v>
      </c>
      <c r="K387" s="21" t="s">
        <v>52</v>
      </c>
      <c r="L387" s="27">
        <v>2030.4</v>
      </c>
      <c r="M387" s="21"/>
      <c r="N387" s="21"/>
      <c r="O387" s="21" t="s">
        <v>828</v>
      </c>
      <c r="P387" s="21" t="s">
        <v>54</v>
      </c>
      <c r="Q387" s="28">
        <v>46189</v>
      </c>
      <c r="R387" s="29">
        <v>46188.6850231482</v>
      </c>
      <c r="S387" s="21" t="s">
        <v>829</v>
      </c>
      <c r="T387" s="21"/>
      <c r="U387" s="21" t="s">
        <v>826</v>
      </c>
      <c r="V387" s="29">
        <v>46188.6849768519</v>
      </c>
      <c r="W387">
        <f>VLOOKUP(H387,物料編碼!A:B,2,0)</f>
        <v>1300603043</v>
      </c>
      <c r="X387">
        <v>1300603</v>
      </c>
      <c r="Y387" t="str">
        <f>VLOOKUP(X387,物料編碼!D:G,4,0)</f>
        <v>帶骨全腿</v>
      </c>
      <c r="Z387" t="str">
        <f>VLOOKUP(C387,客戶屬性1!A:C,2,0)</f>
        <v>鸿兴食品供应有限公司</v>
      </c>
      <c r="AA387">
        <f>IF(COUNTIF($O$1:O387,O387)=1,L387,0)</f>
        <v>0</v>
      </c>
    </row>
    <row r="388" customHeight="1" spans="1:27">
      <c r="A388" s="21" t="s">
        <v>831</v>
      </c>
      <c r="B388" s="21" t="s">
        <v>45</v>
      </c>
      <c r="C388" s="21" t="s">
        <v>216</v>
      </c>
      <c r="D388" s="21" t="s">
        <v>217</v>
      </c>
      <c r="E388" s="21" t="s">
        <v>218</v>
      </c>
      <c r="F388" s="21" t="s">
        <v>49</v>
      </c>
      <c r="G388" s="21" t="s">
        <v>68</v>
      </c>
      <c r="H388" s="21" t="s">
        <v>219</v>
      </c>
      <c r="I388" s="26">
        <v>1</v>
      </c>
      <c r="J388" s="26">
        <v>10</v>
      </c>
      <c r="K388" s="21" t="s">
        <v>52</v>
      </c>
      <c r="L388" s="27">
        <v>1029.6</v>
      </c>
      <c r="M388" s="21"/>
      <c r="N388" s="21"/>
      <c r="O388" s="21" t="s">
        <v>832</v>
      </c>
      <c r="P388" s="21" t="s">
        <v>54</v>
      </c>
      <c r="Q388" s="28">
        <v>46189</v>
      </c>
      <c r="R388" s="29">
        <v>46188.6674305556</v>
      </c>
      <c r="S388" s="21" t="s">
        <v>221</v>
      </c>
      <c r="T388" s="21"/>
      <c r="U388" s="21" t="s">
        <v>222</v>
      </c>
      <c r="V388" s="29">
        <v>46188.6673842593</v>
      </c>
      <c r="W388">
        <f>VLOOKUP(H388,物料編碼!A:B,2,0)</f>
        <v>1300501022</v>
      </c>
      <c r="X388">
        <v>1300501</v>
      </c>
      <c r="Y388" t="str">
        <f>VLOOKUP(X388,物料編碼!D:G,4,0)</f>
        <v>羊排</v>
      </c>
      <c r="Z388" t="str">
        <f>VLOOKUP(C388,客戶屬性1!A:C,2,0)</f>
        <v>天恒食品有限公司</v>
      </c>
      <c r="AA388">
        <f>IF(COUNTIF($O$1:O388,O388)=1,L388,0)</f>
        <v>1029.6</v>
      </c>
    </row>
    <row r="389" customHeight="1" spans="1:27">
      <c r="A389" s="21" t="s">
        <v>833</v>
      </c>
      <c r="B389" s="21" t="s">
        <v>45</v>
      </c>
      <c r="C389" s="21" t="s">
        <v>72</v>
      </c>
      <c r="D389" s="21" t="s">
        <v>73</v>
      </c>
      <c r="E389" s="21" t="s">
        <v>74</v>
      </c>
      <c r="F389" s="21" t="s">
        <v>49</v>
      </c>
      <c r="G389" s="21" t="s">
        <v>50</v>
      </c>
      <c r="H389" s="21" t="s">
        <v>117</v>
      </c>
      <c r="I389" s="26">
        <v>1</v>
      </c>
      <c r="J389" s="26">
        <v>15</v>
      </c>
      <c r="K389" s="21" t="s">
        <v>52</v>
      </c>
      <c r="L389" s="27">
        <v>221.7</v>
      </c>
      <c r="M389" s="21"/>
      <c r="N389" s="21"/>
      <c r="O389" s="21" t="s">
        <v>834</v>
      </c>
      <c r="P389" s="21" t="s">
        <v>54</v>
      </c>
      <c r="Q389" s="28">
        <v>46189</v>
      </c>
      <c r="R389" s="29">
        <v>46188.6534953704</v>
      </c>
      <c r="S389" s="21" t="s">
        <v>81</v>
      </c>
      <c r="T389" s="21"/>
      <c r="U389" s="21" t="s">
        <v>82</v>
      </c>
      <c r="V389" s="29">
        <v>46188.6534490741</v>
      </c>
      <c r="W389">
        <f>VLOOKUP(H389,物料編碼!A:B,2,0)</f>
        <v>1300607015</v>
      </c>
      <c r="X389">
        <v>1300607</v>
      </c>
      <c r="Y389" t="str">
        <f>VLOOKUP(X389,物料編碼!D:G,4,0)</f>
        <v>帶皮腿扒</v>
      </c>
      <c r="Z389" t="str">
        <f>VLOOKUP(C389,客戶屬性1!A:C,2,0)</f>
        <v>恒辉贸易公司</v>
      </c>
      <c r="AA389">
        <f>IF(COUNTIF($O$1:O389,O389)=1,L389,0)</f>
        <v>221.7</v>
      </c>
    </row>
    <row r="390" customHeight="1" spans="1:27">
      <c r="A390" s="21" t="s">
        <v>835</v>
      </c>
      <c r="B390" s="21" t="s">
        <v>45</v>
      </c>
      <c r="C390" s="21" t="s">
        <v>158</v>
      </c>
      <c r="D390" s="21" t="s">
        <v>159</v>
      </c>
      <c r="E390" s="21" t="s">
        <v>160</v>
      </c>
      <c r="F390" s="21" t="s">
        <v>49</v>
      </c>
      <c r="G390" s="21" t="s">
        <v>68</v>
      </c>
      <c r="H390" s="21" t="s">
        <v>179</v>
      </c>
      <c r="I390" s="26">
        <v>20</v>
      </c>
      <c r="J390" s="26">
        <v>500</v>
      </c>
      <c r="K390" s="21" t="s">
        <v>52</v>
      </c>
      <c r="L390" s="27">
        <v>15762.5</v>
      </c>
      <c r="M390" s="21"/>
      <c r="N390" s="21"/>
      <c r="O390" s="21" t="s">
        <v>836</v>
      </c>
      <c r="P390" s="21" t="s">
        <v>54</v>
      </c>
      <c r="Q390" s="28">
        <v>46189</v>
      </c>
      <c r="R390" s="29">
        <v>46188.644537037</v>
      </c>
      <c r="S390" s="21" t="s">
        <v>163</v>
      </c>
      <c r="T390" s="21"/>
      <c r="U390" s="21" t="s">
        <v>164</v>
      </c>
      <c r="V390" s="29">
        <v>46188.6444907407</v>
      </c>
      <c r="W390">
        <f>VLOOKUP(H390,物料編碼!A:B,2,0)</f>
        <v>1300109012</v>
      </c>
      <c r="X390">
        <v>1300109</v>
      </c>
      <c r="Y390" t="str">
        <f>VLOOKUP(X390,物料編碼!D:G,4,0)</f>
        <v>面精肉</v>
      </c>
      <c r="Z390" t="str">
        <f>VLOOKUP(C390,客戶屬性1!A:C,2,0)</f>
        <v>先进食品国际有限公司</v>
      </c>
      <c r="AA390">
        <f>IF(COUNTIF($O$1:O390,O390)=1,L390,0)</f>
        <v>15762.5</v>
      </c>
    </row>
    <row r="391" customHeight="1" spans="1:27">
      <c r="A391" s="21" t="s">
        <v>837</v>
      </c>
      <c r="B391" s="21" t="s">
        <v>45</v>
      </c>
      <c r="C391" s="21" t="s">
        <v>72</v>
      </c>
      <c r="D391" s="21" t="s">
        <v>73</v>
      </c>
      <c r="E391" s="21" t="s">
        <v>74</v>
      </c>
      <c r="F391" s="21" t="s">
        <v>49</v>
      </c>
      <c r="G391" s="21" t="s">
        <v>50</v>
      </c>
      <c r="H391" s="21" t="s">
        <v>838</v>
      </c>
      <c r="I391" s="26">
        <v>1</v>
      </c>
      <c r="J391" s="26">
        <v>10</v>
      </c>
      <c r="K391" s="21" t="s">
        <v>52</v>
      </c>
      <c r="L391" s="27">
        <v>1017.48</v>
      </c>
      <c r="M391" s="21"/>
      <c r="N391" s="21"/>
      <c r="O391" s="21" t="s">
        <v>839</v>
      </c>
      <c r="P391" s="21" t="s">
        <v>54</v>
      </c>
      <c r="Q391" s="28">
        <v>46189</v>
      </c>
      <c r="R391" s="29">
        <v>46188.6437962963</v>
      </c>
      <c r="S391" s="21" t="s">
        <v>81</v>
      </c>
      <c r="T391" s="21"/>
      <c r="U391" s="21" t="s">
        <v>82</v>
      </c>
      <c r="V391" s="29">
        <v>46188.64375</v>
      </c>
      <c r="W391">
        <f>VLOOKUP(H391,物料編碼!A:B,2,0)</f>
        <v>1300902002</v>
      </c>
      <c r="X391">
        <v>1300902</v>
      </c>
      <c r="Y391" t="str">
        <f>VLOOKUP(X391,物料編碼!D:G,4,0)</f>
        <v>帶骨整腿</v>
      </c>
      <c r="Z391" t="str">
        <f>VLOOKUP(C391,客戶屬性1!A:C,2,0)</f>
        <v>恒辉贸易公司</v>
      </c>
      <c r="AA391">
        <f>IF(COUNTIF($O$1:O391,O391)=1,L391,0)</f>
        <v>1017.48</v>
      </c>
    </row>
    <row r="392" customHeight="1" spans="1:27">
      <c r="A392" s="21" t="s">
        <v>837</v>
      </c>
      <c r="B392" s="21" t="s">
        <v>45</v>
      </c>
      <c r="C392" s="21" t="s">
        <v>72</v>
      </c>
      <c r="D392" s="21" t="s">
        <v>73</v>
      </c>
      <c r="E392" s="21" t="s">
        <v>74</v>
      </c>
      <c r="F392" s="21" t="s">
        <v>49</v>
      </c>
      <c r="G392" s="21" t="s">
        <v>50</v>
      </c>
      <c r="H392" s="21" t="s">
        <v>117</v>
      </c>
      <c r="I392" s="26">
        <v>4</v>
      </c>
      <c r="J392" s="26">
        <v>60</v>
      </c>
      <c r="K392" s="21" t="s">
        <v>52</v>
      </c>
      <c r="L392" s="27">
        <v>1017.48</v>
      </c>
      <c r="M392" s="21"/>
      <c r="N392" s="21"/>
      <c r="O392" s="21" t="s">
        <v>839</v>
      </c>
      <c r="P392" s="21" t="s">
        <v>54</v>
      </c>
      <c r="Q392" s="28">
        <v>46189</v>
      </c>
      <c r="R392" s="29">
        <v>46188.6437962963</v>
      </c>
      <c r="S392" s="21" t="s">
        <v>81</v>
      </c>
      <c r="T392" s="21"/>
      <c r="U392" s="21" t="s">
        <v>82</v>
      </c>
      <c r="V392" s="29">
        <v>46188.64375</v>
      </c>
      <c r="W392">
        <f>VLOOKUP(H392,物料編碼!A:B,2,0)</f>
        <v>1300607015</v>
      </c>
      <c r="X392">
        <v>1300607</v>
      </c>
      <c r="Y392" t="str">
        <f>VLOOKUP(X392,物料編碼!D:G,4,0)</f>
        <v>帶皮腿扒</v>
      </c>
      <c r="Z392" t="str">
        <f>VLOOKUP(C392,客戶屬性1!A:C,2,0)</f>
        <v>恒辉贸易公司</v>
      </c>
      <c r="AA392">
        <f>IF(COUNTIF($O$1:O392,O392)=1,L392,0)</f>
        <v>0</v>
      </c>
    </row>
    <row r="393" customHeight="1" spans="1:27">
      <c r="A393" s="21" t="s">
        <v>840</v>
      </c>
      <c r="B393" s="21" t="s">
        <v>45</v>
      </c>
      <c r="C393" s="21" t="s">
        <v>158</v>
      </c>
      <c r="D393" s="21" t="s">
        <v>159</v>
      </c>
      <c r="E393" s="21" t="s">
        <v>160</v>
      </c>
      <c r="F393" s="21" t="s">
        <v>49</v>
      </c>
      <c r="G393" s="21" t="s">
        <v>68</v>
      </c>
      <c r="H393" s="21" t="s">
        <v>179</v>
      </c>
      <c r="I393" s="26">
        <v>2</v>
      </c>
      <c r="J393" s="26">
        <v>50</v>
      </c>
      <c r="K393" s="21" t="s">
        <v>52</v>
      </c>
      <c r="L393" s="27">
        <v>1608.75</v>
      </c>
      <c r="M393" s="21"/>
      <c r="N393" s="21"/>
      <c r="O393" s="21" t="s">
        <v>841</v>
      </c>
      <c r="P393" s="21" t="s">
        <v>54</v>
      </c>
      <c r="Q393" s="28">
        <v>46189</v>
      </c>
      <c r="R393" s="29">
        <v>46188.6428472222</v>
      </c>
      <c r="S393" s="21" t="s">
        <v>163</v>
      </c>
      <c r="T393" s="21"/>
      <c r="U393" s="21" t="s">
        <v>164</v>
      </c>
      <c r="V393" s="29">
        <v>46188.6428009259</v>
      </c>
      <c r="W393">
        <f>VLOOKUP(H393,物料編碼!A:B,2,0)</f>
        <v>1300109012</v>
      </c>
      <c r="X393">
        <v>1300109</v>
      </c>
      <c r="Y393" t="str">
        <f>VLOOKUP(X393,物料編碼!D:G,4,0)</f>
        <v>面精肉</v>
      </c>
      <c r="Z393" t="str">
        <f>VLOOKUP(C393,客戶屬性1!A:C,2,0)</f>
        <v>先进食品国际有限公司</v>
      </c>
      <c r="AA393">
        <f>IF(COUNTIF($O$1:O393,O393)=1,L393,0)</f>
        <v>1608.75</v>
      </c>
    </row>
    <row r="394" customHeight="1" spans="1:27">
      <c r="A394" s="21" t="s">
        <v>842</v>
      </c>
      <c r="B394" s="21" t="s">
        <v>45</v>
      </c>
      <c r="C394" s="21" t="s">
        <v>767</v>
      </c>
      <c r="D394" s="21" t="s">
        <v>768</v>
      </c>
      <c r="E394" s="21" t="s">
        <v>769</v>
      </c>
      <c r="F394" s="21" t="s">
        <v>49</v>
      </c>
      <c r="G394" s="21" t="s">
        <v>136</v>
      </c>
      <c r="H394" s="21" t="s">
        <v>298</v>
      </c>
      <c r="I394" s="26">
        <v>4</v>
      </c>
      <c r="J394" s="26">
        <v>40</v>
      </c>
      <c r="K394" s="21" t="s">
        <v>52</v>
      </c>
      <c r="L394" s="27">
        <v>1980</v>
      </c>
      <c r="M394" s="21"/>
      <c r="N394" s="21"/>
      <c r="O394" s="21" t="s">
        <v>843</v>
      </c>
      <c r="P394" s="21" t="s">
        <v>54</v>
      </c>
      <c r="Q394" s="28">
        <v>46189</v>
      </c>
      <c r="R394" s="29">
        <v>46188.6251157407</v>
      </c>
      <c r="S394" s="21" t="s">
        <v>771</v>
      </c>
      <c r="T394" s="21"/>
      <c r="U394" s="21" t="s">
        <v>772</v>
      </c>
      <c r="V394" s="29">
        <v>46188.6250694444</v>
      </c>
      <c r="W394">
        <f>VLOOKUP(H394,物料編碼!A:B,2,0)</f>
        <v>1300111003</v>
      </c>
      <c r="X394">
        <v>1300111</v>
      </c>
      <c r="Y394" t="str">
        <f>VLOOKUP(X394,物料編碼!D:G,4,0)</f>
        <v>寸骨</v>
      </c>
      <c r="Z394" t="str">
        <f>VLOOKUP(C394,客戶屬性1!A:C,2,0)</f>
        <v>峻星貿易有限公司</v>
      </c>
      <c r="AA394">
        <f>IF(COUNTIF($O$1:O394,O394)=1,L394,0)</f>
        <v>1980</v>
      </c>
    </row>
    <row r="395" customHeight="1" spans="1:27">
      <c r="A395" s="21" t="s">
        <v>844</v>
      </c>
      <c r="B395" s="21" t="s">
        <v>45</v>
      </c>
      <c r="C395" s="21" t="s">
        <v>197</v>
      </c>
      <c r="D395" s="21" t="s">
        <v>198</v>
      </c>
      <c r="E395" s="21" t="s">
        <v>199</v>
      </c>
      <c r="F395" s="21" t="s">
        <v>49</v>
      </c>
      <c r="G395" s="21" t="s">
        <v>136</v>
      </c>
      <c r="H395" s="21" t="s">
        <v>200</v>
      </c>
      <c r="I395" s="26">
        <v>10</v>
      </c>
      <c r="J395" s="26">
        <v>100</v>
      </c>
      <c r="K395" s="21" t="s">
        <v>52</v>
      </c>
      <c r="L395" s="27">
        <v>2079</v>
      </c>
      <c r="M395" s="21"/>
      <c r="N395" s="21"/>
      <c r="O395" s="21" t="s">
        <v>845</v>
      </c>
      <c r="P395" s="21" t="s">
        <v>54</v>
      </c>
      <c r="Q395" s="28">
        <v>46189</v>
      </c>
      <c r="R395" s="29">
        <v>46188.4961921296</v>
      </c>
      <c r="S395" s="21" t="s">
        <v>202</v>
      </c>
      <c r="T395" s="21"/>
      <c r="U395" s="21" t="s">
        <v>203</v>
      </c>
      <c r="V395" s="29">
        <v>46188.4961574074</v>
      </c>
      <c r="W395">
        <f>VLOOKUP(H395,物料編碼!A:B,2,0)</f>
        <v>1300904024</v>
      </c>
      <c r="X395">
        <v>1300904</v>
      </c>
      <c r="Y395" t="str">
        <f>VLOOKUP(X395,物料編碼!D:G,4,0)</f>
        <v>煙熏鴨胸</v>
      </c>
      <c r="Z395" t="str">
        <f>VLOOKUP(C395,客戶屬性1!A:C,2,0)</f>
        <v>信隆(亚洲)有限公司</v>
      </c>
      <c r="AA395">
        <f>IF(COUNTIF($O$1:O395,O395)=1,L395,0)</f>
        <v>2079</v>
      </c>
    </row>
    <row r="396" customHeight="1" spans="1:27">
      <c r="A396" s="21" t="s">
        <v>846</v>
      </c>
      <c r="B396" s="21" t="s">
        <v>45</v>
      </c>
      <c r="C396" s="21" t="s">
        <v>197</v>
      </c>
      <c r="D396" s="21" t="s">
        <v>198</v>
      </c>
      <c r="E396" s="21" t="s">
        <v>199</v>
      </c>
      <c r="F396" s="21" t="s">
        <v>49</v>
      </c>
      <c r="G396" s="21" t="s">
        <v>136</v>
      </c>
      <c r="H396" s="21" t="s">
        <v>117</v>
      </c>
      <c r="I396" s="26">
        <v>10</v>
      </c>
      <c r="J396" s="26">
        <v>150</v>
      </c>
      <c r="K396" s="21" t="s">
        <v>52</v>
      </c>
      <c r="L396" s="27">
        <v>2217</v>
      </c>
      <c r="M396" s="21"/>
      <c r="N396" s="21"/>
      <c r="O396" s="21" t="s">
        <v>847</v>
      </c>
      <c r="P396" s="21" t="s">
        <v>54</v>
      </c>
      <c r="Q396" s="28">
        <v>46189</v>
      </c>
      <c r="R396" s="29">
        <v>46188.4898726852</v>
      </c>
      <c r="S396" s="21" t="s">
        <v>202</v>
      </c>
      <c r="T396" s="21"/>
      <c r="U396" s="21" t="s">
        <v>203</v>
      </c>
      <c r="V396" s="29">
        <v>46188.489837963</v>
      </c>
      <c r="W396">
        <f>VLOOKUP(H396,物料編碼!A:B,2,0)</f>
        <v>1300607015</v>
      </c>
      <c r="X396">
        <v>1300607</v>
      </c>
      <c r="Y396" t="str">
        <f>VLOOKUP(X396,物料編碼!D:G,4,0)</f>
        <v>帶皮腿扒</v>
      </c>
      <c r="Z396" t="str">
        <f>VLOOKUP(C396,客戶屬性1!A:C,2,0)</f>
        <v>信隆(亚洲)有限公司</v>
      </c>
      <c r="AA396">
        <f>IF(COUNTIF($O$1:O396,O396)=1,L396,0)</f>
        <v>2217</v>
      </c>
    </row>
    <row r="397" customHeight="1" spans="1:27">
      <c r="A397" s="21" t="s">
        <v>848</v>
      </c>
      <c r="B397" s="21" t="s">
        <v>45</v>
      </c>
      <c r="C397" s="21" t="s">
        <v>197</v>
      </c>
      <c r="D397" s="21" t="s">
        <v>198</v>
      </c>
      <c r="E397" s="21" t="s">
        <v>199</v>
      </c>
      <c r="F397" s="21" t="s">
        <v>49</v>
      </c>
      <c r="G397" s="21" t="s">
        <v>136</v>
      </c>
      <c r="H397" s="21" t="s">
        <v>63</v>
      </c>
      <c r="I397" s="26">
        <v>3</v>
      </c>
      <c r="J397" s="26">
        <v>75</v>
      </c>
      <c r="K397" s="21" t="s">
        <v>52</v>
      </c>
      <c r="L397" s="27">
        <v>14341.45</v>
      </c>
      <c r="M397" s="21"/>
      <c r="N397" s="21"/>
      <c r="O397" s="21" t="s">
        <v>849</v>
      </c>
      <c r="P397" s="21" t="s">
        <v>54</v>
      </c>
      <c r="Q397" s="28">
        <v>46189</v>
      </c>
      <c r="R397" s="29">
        <v>46188.4816435185</v>
      </c>
      <c r="S397" s="21" t="s">
        <v>202</v>
      </c>
      <c r="T397" s="21"/>
      <c r="U397" s="21" t="s">
        <v>203</v>
      </c>
      <c r="V397" s="29">
        <v>46188.4815972222</v>
      </c>
      <c r="W397">
        <f>VLOOKUP(H397,物料編碼!A:B,2,0)</f>
        <v>1300109002</v>
      </c>
      <c r="X397">
        <v>1300109</v>
      </c>
      <c r="Y397" t="str">
        <f>VLOOKUP(X397,物料編碼!D:G,4,0)</f>
        <v>面精肉</v>
      </c>
      <c r="Z397" t="str">
        <f>VLOOKUP(C397,客戶屬性1!A:C,2,0)</f>
        <v>信隆(亚洲)有限公司</v>
      </c>
      <c r="AA397">
        <f>IF(COUNTIF($O$1:O397,O397)=1,L397,0)</f>
        <v>14341.45</v>
      </c>
    </row>
    <row r="398" customHeight="1" spans="1:27">
      <c r="A398" s="21" t="s">
        <v>848</v>
      </c>
      <c r="B398" s="21" t="s">
        <v>45</v>
      </c>
      <c r="C398" s="21" t="s">
        <v>197</v>
      </c>
      <c r="D398" s="21" t="s">
        <v>198</v>
      </c>
      <c r="E398" s="21" t="s">
        <v>199</v>
      </c>
      <c r="F398" s="21" t="s">
        <v>49</v>
      </c>
      <c r="G398" s="21" t="s">
        <v>136</v>
      </c>
      <c r="H398" s="21" t="s">
        <v>161</v>
      </c>
      <c r="I398" s="26">
        <v>5</v>
      </c>
      <c r="J398" s="26">
        <v>100</v>
      </c>
      <c r="K398" s="21" t="s">
        <v>52</v>
      </c>
      <c r="L398" s="27">
        <v>14341.45</v>
      </c>
      <c r="M398" s="21"/>
      <c r="N398" s="21"/>
      <c r="O398" s="21" t="s">
        <v>849</v>
      </c>
      <c r="P398" s="21" t="s">
        <v>54</v>
      </c>
      <c r="Q398" s="28">
        <v>46189</v>
      </c>
      <c r="R398" s="29">
        <v>46188.4816435185</v>
      </c>
      <c r="S398" s="21" t="s">
        <v>202</v>
      </c>
      <c r="T398" s="21"/>
      <c r="U398" s="21" t="s">
        <v>203</v>
      </c>
      <c r="V398" s="29">
        <v>46188.4815972222</v>
      </c>
      <c r="W398">
        <f>VLOOKUP(H398,物料編碼!A:B,2,0)</f>
        <v>1300501020</v>
      </c>
      <c r="X398">
        <v>1300501</v>
      </c>
      <c r="Y398" t="str">
        <f>VLOOKUP(X398,物料編碼!D:G,4,0)</f>
        <v>羊排</v>
      </c>
      <c r="Z398" t="str">
        <f>VLOOKUP(C398,客戶屬性1!A:C,2,0)</f>
        <v>信隆(亚洲)有限公司</v>
      </c>
      <c r="AA398">
        <f>IF(COUNTIF($O$1:O398,O398)=1,L398,0)</f>
        <v>0</v>
      </c>
    </row>
    <row r="399" customHeight="1" spans="1:27">
      <c r="A399" s="21" t="s">
        <v>848</v>
      </c>
      <c r="B399" s="21" t="s">
        <v>45</v>
      </c>
      <c r="C399" s="21" t="s">
        <v>197</v>
      </c>
      <c r="D399" s="21" t="s">
        <v>198</v>
      </c>
      <c r="E399" s="21" t="s">
        <v>199</v>
      </c>
      <c r="F399" s="21" t="s">
        <v>49</v>
      </c>
      <c r="G399" s="21" t="s">
        <v>136</v>
      </c>
      <c r="H399" s="21" t="s">
        <v>850</v>
      </c>
      <c r="I399" s="26">
        <v>10</v>
      </c>
      <c r="J399" s="26">
        <v>100</v>
      </c>
      <c r="K399" s="21" t="s">
        <v>52</v>
      </c>
      <c r="L399" s="27">
        <v>14341.45</v>
      </c>
      <c r="M399" s="21"/>
      <c r="N399" s="21"/>
      <c r="O399" s="21" t="s">
        <v>849</v>
      </c>
      <c r="P399" s="21" t="s">
        <v>54</v>
      </c>
      <c r="Q399" s="28">
        <v>46189</v>
      </c>
      <c r="R399" s="29">
        <v>46188.4816435185</v>
      </c>
      <c r="S399" s="21" t="s">
        <v>202</v>
      </c>
      <c r="T399" s="21"/>
      <c r="U399" s="21" t="s">
        <v>203</v>
      </c>
      <c r="V399" s="29">
        <v>46188.4815972222</v>
      </c>
      <c r="W399">
        <f>VLOOKUP(H399,物料編碼!A:B,2,0)</f>
        <v>1300904017</v>
      </c>
      <c r="X399">
        <v>1300904</v>
      </c>
      <c r="Y399" t="str">
        <f>VLOOKUP(X399,物料編碼!D:G,4,0)</f>
        <v>煙熏鴨胸</v>
      </c>
      <c r="Z399" t="str">
        <f>VLOOKUP(C399,客戶屬性1!A:C,2,0)</f>
        <v>信隆(亚洲)有限公司</v>
      </c>
      <c r="AA399">
        <f>IF(COUNTIF($O$1:O399,O399)=1,L399,0)</f>
        <v>0</v>
      </c>
    </row>
    <row r="400" customHeight="1" spans="1:27">
      <c r="A400" s="21" t="s">
        <v>851</v>
      </c>
      <c r="B400" s="21" t="s">
        <v>45</v>
      </c>
      <c r="C400" s="21" t="s">
        <v>72</v>
      </c>
      <c r="D400" s="21" t="s">
        <v>73</v>
      </c>
      <c r="E400" s="21" t="s">
        <v>74</v>
      </c>
      <c r="F400" s="21" t="s">
        <v>49</v>
      </c>
      <c r="G400" s="21" t="s">
        <v>50</v>
      </c>
      <c r="H400" s="21" t="s">
        <v>63</v>
      </c>
      <c r="I400" s="26">
        <v>2</v>
      </c>
      <c r="J400" s="26">
        <v>50</v>
      </c>
      <c r="K400" s="21" t="s">
        <v>52</v>
      </c>
      <c r="L400" s="27">
        <v>1653.3</v>
      </c>
      <c r="M400" s="21"/>
      <c r="N400" s="21"/>
      <c r="O400" s="21" t="s">
        <v>852</v>
      </c>
      <c r="P400" s="21" t="s">
        <v>54</v>
      </c>
      <c r="Q400" s="28">
        <v>46189</v>
      </c>
      <c r="R400" s="29">
        <v>46188.4705902778</v>
      </c>
      <c r="S400" s="21" t="s">
        <v>81</v>
      </c>
      <c r="T400" s="21"/>
      <c r="U400" s="21" t="s">
        <v>82</v>
      </c>
      <c r="V400" s="29">
        <v>46188.4705439815</v>
      </c>
      <c r="W400">
        <f>VLOOKUP(H400,物料編碼!A:B,2,0)</f>
        <v>1300109002</v>
      </c>
      <c r="X400">
        <v>1300109</v>
      </c>
      <c r="Y400" t="str">
        <f>VLOOKUP(X400,物料編碼!D:G,4,0)</f>
        <v>面精肉</v>
      </c>
      <c r="Z400" t="str">
        <f>VLOOKUP(C400,客戶屬性1!A:C,2,0)</f>
        <v>恒辉贸易公司</v>
      </c>
      <c r="AA400">
        <f>IF(COUNTIF($O$1:O400,O400)=1,L400,0)</f>
        <v>1653.3</v>
      </c>
    </row>
    <row r="401" customHeight="1" spans="1:27">
      <c r="A401" s="21" t="s">
        <v>853</v>
      </c>
      <c r="B401" s="21" t="s">
        <v>45</v>
      </c>
      <c r="C401" s="21" t="s">
        <v>72</v>
      </c>
      <c r="D401" s="21" t="s">
        <v>73</v>
      </c>
      <c r="E401" s="21" t="s">
        <v>74</v>
      </c>
      <c r="F401" s="21" t="s">
        <v>49</v>
      </c>
      <c r="G401" s="21" t="s">
        <v>50</v>
      </c>
      <c r="H401" s="21" t="s">
        <v>75</v>
      </c>
      <c r="I401" s="26">
        <v>1</v>
      </c>
      <c r="J401" s="26">
        <v>15</v>
      </c>
      <c r="K401" s="21" t="s">
        <v>52</v>
      </c>
      <c r="L401" s="27">
        <v>188.55</v>
      </c>
      <c r="M401" s="21"/>
      <c r="N401" s="21"/>
      <c r="O401" s="21" t="s">
        <v>854</v>
      </c>
      <c r="P401" s="21" t="s">
        <v>54</v>
      </c>
      <c r="Q401" s="28">
        <v>46189</v>
      </c>
      <c r="R401" s="29">
        <v>46188.4669444444</v>
      </c>
      <c r="S401" s="21" t="s">
        <v>77</v>
      </c>
      <c r="T401" s="21"/>
      <c r="U401" s="21" t="s">
        <v>74</v>
      </c>
      <c r="V401" s="29">
        <v>46188.4668981481</v>
      </c>
      <c r="W401">
        <f>VLOOKUP(H401,物料編碼!A:B,2,0)</f>
        <v>1300603040</v>
      </c>
      <c r="X401">
        <v>1300603</v>
      </c>
      <c r="Y401" t="str">
        <f>VLOOKUP(X401,物料編碼!D:G,4,0)</f>
        <v>帶骨全腿</v>
      </c>
      <c r="Z401" t="str">
        <f>VLOOKUP(C401,客戶屬性1!A:C,2,0)</f>
        <v>恒辉贸易公司</v>
      </c>
      <c r="AA401">
        <f>IF(COUNTIF($O$1:O401,O401)=1,L401,0)</f>
        <v>188.55</v>
      </c>
    </row>
    <row r="402" customHeight="1" spans="1:27">
      <c r="A402" s="21" t="s">
        <v>855</v>
      </c>
      <c r="B402" s="21" t="s">
        <v>45</v>
      </c>
      <c r="C402" s="21" t="s">
        <v>383</v>
      </c>
      <c r="D402" s="21" t="s">
        <v>384</v>
      </c>
      <c r="E402" s="21" t="s">
        <v>385</v>
      </c>
      <c r="F402" s="21" t="s">
        <v>49</v>
      </c>
      <c r="G402" s="21" t="s">
        <v>50</v>
      </c>
      <c r="H402" s="21" t="s">
        <v>489</v>
      </c>
      <c r="I402" s="26">
        <v>1</v>
      </c>
      <c r="J402" s="26">
        <v>10</v>
      </c>
      <c r="K402" s="21" t="s">
        <v>52</v>
      </c>
      <c r="L402" s="27">
        <v>4039.48</v>
      </c>
      <c r="M402" s="21"/>
      <c r="N402" s="21"/>
      <c r="O402" s="21" t="s">
        <v>856</v>
      </c>
      <c r="P402" s="21" t="s">
        <v>54</v>
      </c>
      <c r="Q402" s="28">
        <v>46188</v>
      </c>
      <c r="R402" s="29">
        <v>46188.4456018519</v>
      </c>
      <c r="S402" s="21" t="s">
        <v>387</v>
      </c>
      <c r="T402" s="21"/>
      <c r="U402" s="21" t="s">
        <v>384</v>
      </c>
      <c r="V402" s="29">
        <v>46188.4455439815</v>
      </c>
      <c r="W402">
        <f>VLOOKUP(H402,物料編碼!A:B,2,0)</f>
        <v>1300903010</v>
      </c>
      <c r="X402">
        <v>1300903</v>
      </c>
      <c r="Y402" t="str">
        <f>VLOOKUP(X402,物料編碼!D:G,4,0)</f>
        <v>生鴨胸</v>
      </c>
      <c r="Z402" t="str">
        <f>VLOOKUP(C402,客戶屬性1!A:C,2,0)</f>
        <v>新协兴冻肉食品公司</v>
      </c>
      <c r="AA402">
        <f>IF(COUNTIF($O$1:O402,O402)=1,L402,0)</f>
        <v>4039.48</v>
      </c>
    </row>
    <row r="403" customHeight="1" spans="1:27">
      <c r="A403" s="21" t="s">
        <v>855</v>
      </c>
      <c r="B403" s="21" t="s">
        <v>45</v>
      </c>
      <c r="C403" s="21" t="s">
        <v>383</v>
      </c>
      <c r="D403" s="21" t="s">
        <v>384</v>
      </c>
      <c r="E403" s="21" t="s">
        <v>385</v>
      </c>
      <c r="F403" s="21" t="s">
        <v>49</v>
      </c>
      <c r="G403" s="21" t="s">
        <v>50</v>
      </c>
      <c r="H403" s="21" t="s">
        <v>111</v>
      </c>
      <c r="I403" s="26">
        <v>8</v>
      </c>
      <c r="J403" s="27">
        <v>256</v>
      </c>
      <c r="K403" s="21" t="s">
        <v>112</v>
      </c>
      <c r="L403" s="27">
        <v>4039.48</v>
      </c>
      <c r="M403" s="21"/>
      <c r="N403" s="21"/>
      <c r="O403" s="21" t="s">
        <v>856</v>
      </c>
      <c r="P403" s="21" t="s">
        <v>54</v>
      </c>
      <c r="Q403" s="28">
        <v>46188</v>
      </c>
      <c r="R403" s="29">
        <v>46188.4456018519</v>
      </c>
      <c r="S403" s="21" t="s">
        <v>387</v>
      </c>
      <c r="T403" s="21"/>
      <c r="U403" s="21" t="s">
        <v>384</v>
      </c>
      <c r="V403" s="29">
        <v>46188.4455439815</v>
      </c>
      <c r="W403">
        <f>VLOOKUP(H403,物料編碼!A:B,2,0)</f>
        <v>1310501001</v>
      </c>
      <c r="X403">
        <v>1310501</v>
      </c>
      <c r="Y403" t="str">
        <f>VLOOKUP(X403,物料編碼!D:G,4,0)</f>
        <v>腸類.雞肉腸</v>
      </c>
      <c r="Z403" t="str">
        <f>VLOOKUP(C403,客戶屬性1!A:C,2,0)</f>
        <v>新协兴冻肉食品公司</v>
      </c>
      <c r="AA403">
        <f>IF(COUNTIF($O$1:O403,O403)=1,L403,0)</f>
        <v>0</v>
      </c>
    </row>
    <row r="404" customHeight="1" spans="1:27">
      <c r="A404" s="21" t="s">
        <v>855</v>
      </c>
      <c r="B404" s="21" t="s">
        <v>45</v>
      </c>
      <c r="C404" s="21" t="s">
        <v>383</v>
      </c>
      <c r="D404" s="21" t="s">
        <v>384</v>
      </c>
      <c r="E404" s="21" t="s">
        <v>385</v>
      </c>
      <c r="F404" s="21" t="s">
        <v>49</v>
      </c>
      <c r="G404" s="21" t="s">
        <v>50</v>
      </c>
      <c r="H404" s="21" t="s">
        <v>63</v>
      </c>
      <c r="I404" s="26">
        <v>1</v>
      </c>
      <c r="J404" s="26">
        <v>25</v>
      </c>
      <c r="K404" s="21" t="s">
        <v>52</v>
      </c>
      <c r="L404" s="27">
        <v>4039.48</v>
      </c>
      <c r="M404" s="21"/>
      <c r="N404" s="21"/>
      <c r="O404" s="21" t="s">
        <v>856</v>
      </c>
      <c r="P404" s="21" t="s">
        <v>54</v>
      </c>
      <c r="Q404" s="28">
        <v>46188</v>
      </c>
      <c r="R404" s="29">
        <v>46188.4456018519</v>
      </c>
      <c r="S404" s="21" t="s">
        <v>387</v>
      </c>
      <c r="T404" s="21"/>
      <c r="U404" s="21" t="s">
        <v>384</v>
      </c>
      <c r="V404" s="29">
        <v>46188.4455439815</v>
      </c>
      <c r="W404">
        <f>VLOOKUP(H404,物料編碼!A:B,2,0)</f>
        <v>1300109002</v>
      </c>
      <c r="X404">
        <v>1300109</v>
      </c>
      <c r="Y404" t="str">
        <f>VLOOKUP(X404,物料編碼!D:G,4,0)</f>
        <v>面精肉</v>
      </c>
      <c r="Z404" t="str">
        <f>VLOOKUP(C404,客戶屬性1!A:C,2,0)</f>
        <v>新协兴冻肉食品公司</v>
      </c>
      <c r="AA404">
        <f>IF(COUNTIF($O$1:O404,O404)=1,L404,0)</f>
        <v>0</v>
      </c>
    </row>
    <row r="405" customHeight="1" spans="1:27">
      <c r="A405" s="21" t="s">
        <v>855</v>
      </c>
      <c r="B405" s="21" t="s">
        <v>45</v>
      </c>
      <c r="C405" s="21" t="s">
        <v>383</v>
      </c>
      <c r="D405" s="21" t="s">
        <v>384</v>
      </c>
      <c r="E405" s="21" t="s">
        <v>385</v>
      </c>
      <c r="F405" s="21" t="s">
        <v>49</v>
      </c>
      <c r="G405" s="21" t="s">
        <v>50</v>
      </c>
      <c r="H405" s="21" t="s">
        <v>328</v>
      </c>
      <c r="I405" s="26">
        <v>5</v>
      </c>
      <c r="J405" s="26">
        <v>75</v>
      </c>
      <c r="K405" s="21" t="s">
        <v>52</v>
      </c>
      <c r="L405" s="27">
        <v>4039.48</v>
      </c>
      <c r="M405" s="21"/>
      <c r="N405" s="21"/>
      <c r="O405" s="21" t="s">
        <v>856</v>
      </c>
      <c r="P405" s="21" t="s">
        <v>54</v>
      </c>
      <c r="Q405" s="28">
        <v>46188</v>
      </c>
      <c r="R405" s="29">
        <v>46188.4456018519</v>
      </c>
      <c r="S405" s="21" t="s">
        <v>387</v>
      </c>
      <c r="T405" s="21"/>
      <c r="U405" s="21" t="s">
        <v>384</v>
      </c>
      <c r="V405" s="29">
        <v>46188.4455439815</v>
      </c>
      <c r="W405">
        <f>VLOOKUP(H405,物料編碼!A:B,2,0)</f>
        <v>1300603038</v>
      </c>
      <c r="X405">
        <v>1300603</v>
      </c>
      <c r="Y405" t="str">
        <f>VLOOKUP(X405,物料編碼!D:G,4,0)</f>
        <v>帶骨全腿</v>
      </c>
      <c r="Z405" t="str">
        <f>VLOOKUP(C405,客戶屬性1!A:C,2,0)</f>
        <v>新协兴冻肉食品公司</v>
      </c>
      <c r="AA405">
        <f>IF(COUNTIF($O$1:O405,O405)=1,L405,0)</f>
        <v>0</v>
      </c>
    </row>
    <row r="406" customHeight="1" spans="1:27">
      <c r="A406" s="21" t="s">
        <v>857</v>
      </c>
      <c r="B406" s="21" t="s">
        <v>45</v>
      </c>
      <c r="C406" s="21" t="s">
        <v>858</v>
      </c>
      <c r="D406" s="21" t="s">
        <v>859</v>
      </c>
      <c r="E406" s="21" t="s">
        <v>860</v>
      </c>
      <c r="F406" s="21" t="s">
        <v>49</v>
      </c>
      <c r="G406" s="21" t="s">
        <v>136</v>
      </c>
      <c r="H406" s="21" t="s">
        <v>861</v>
      </c>
      <c r="I406" s="26">
        <v>1</v>
      </c>
      <c r="J406" s="26">
        <v>10</v>
      </c>
      <c r="K406" s="21" t="s">
        <v>52</v>
      </c>
      <c r="L406" s="27">
        <v>2245.5</v>
      </c>
      <c r="M406" s="21"/>
      <c r="N406" s="21"/>
      <c r="O406" s="21" t="s">
        <v>862</v>
      </c>
      <c r="P406" s="21" t="s">
        <v>54</v>
      </c>
      <c r="Q406" s="28">
        <v>46188</v>
      </c>
      <c r="R406" s="29">
        <v>46188.4443287037</v>
      </c>
      <c r="S406" s="21" t="s">
        <v>863</v>
      </c>
      <c r="T406" s="21"/>
      <c r="U406" s="21" t="s">
        <v>859</v>
      </c>
      <c r="V406" s="29">
        <v>46188.4442939815</v>
      </c>
      <c r="W406">
        <f>VLOOKUP(H406,物料編碼!A:B,2,0)</f>
        <v>1800108098</v>
      </c>
      <c r="X406">
        <v>1800108</v>
      </c>
      <c r="Y406" t="str">
        <f>VLOOKUP(X406,物料編碼!D:G,4,0)</f>
        <v>魚.其他</v>
      </c>
      <c r="Z406" t="str">
        <f>VLOOKUP(C406,客戶屬性1!A:C,2,0)</f>
        <v>福伟集团有限公司</v>
      </c>
      <c r="AA406">
        <f>IF(COUNTIF($O$1:O406,O406)=1,L406,0)</f>
        <v>2245.5</v>
      </c>
    </row>
    <row r="407" customHeight="1" spans="1:27">
      <c r="A407" s="21" t="s">
        <v>857</v>
      </c>
      <c r="B407" s="21" t="s">
        <v>45</v>
      </c>
      <c r="C407" s="21" t="s">
        <v>858</v>
      </c>
      <c r="D407" s="21" t="s">
        <v>859</v>
      </c>
      <c r="E407" s="21" t="s">
        <v>860</v>
      </c>
      <c r="F407" s="21" t="s">
        <v>49</v>
      </c>
      <c r="G407" s="21" t="s">
        <v>136</v>
      </c>
      <c r="H407" s="21" t="s">
        <v>75</v>
      </c>
      <c r="I407" s="26">
        <v>4</v>
      </c>
      <c r="J407" s="26">
        <v>60</v>
      </c>
      <c r="K407" s="21" t="s">
        <v>52</v>
      </c>
      <c r="L407" s="27">
        <v>2245.5</v>
      </c>
      <c r="M407" s="21"/>
      <c r="N407" s="21"/>
      <c r="O407" s="21" t="s">
        <v>862</v>
      </c>
      <c r="P407" s="21" t="s">
        <v>54</v>
      </c>
      <c r="Q407" s="28">
        <v>46188</v>
      </c>
      <c r="R407" s="29">
        <v>46188.4443287037</v>
      </c>
      <c r="S407" s="21" t="s">
        <v>863</v>
      </c>
      <c r="T407" s="21"/>
      <c r="U407" s="21" t="s">
        <v>859</v>
      </c>
      <c r="V407" s="29">
        <v>46188.4442939815</v>
      </c>
      <c r="W407">
        <f>VLOOKUP(H407,物料編碼!A:B,2,0)</f>
        <v>1300603040</v>
      </c>
      <c r="X407">
        <v>1300603</v>
      </c>
      <c r="Y407" t="str">
        <f>VLOOKUP(X407,物料編碼!D:G,4,0)</f>
        <v>帶骨全腿</v>
      </c>
      <c r="Z407" t="str">
        <f>VLOOKUP(C407,客戶屬性1!A:C,2,0)</f>
        <v>福伟集团有限公司</v>
      </c>
      <c r="AA407">
        <f>IF(COUNTIF($O$1:O407,O407)=1,L407,0)</f>
        <v>0</v>
      </c>
    </row>
    <row r="408" customHeight="1" spans="1:27">
      <c r="A408" s="21" t="s">
        <v>857</v>
      </c>
      <c r="B408" s="21" t="s">
        <v>45</v>
      </c>
      <c r="C408" s="21" t="s">
        <v>858</v>
      </c>
      <c r="D408" s="21" t="s">
        <v>859</v>
      </c>
      <c r="E408" s="21" t="s">
        <v>860</v>
      </c>
      <c r="F408" s="21" t="s">
        <v>49</v>
      </c>
      <c r="G408" s="21" t="s">
        <v>136</v>
      </c>
      <c r="H408" s="21" t="s">
        <v>830</v>
      </c>
      <c r="I408" s="26">
        <v>6</v>
      </c>
      <c r="J408" s="26">
        <v>90</v>
      </c>
      <c r="K408" s="21" t="s">
        <v>52</v>
      </c>
      <c r="L408" s="27">
        <v>2245.5</v>
      </c>
      <c r="M408" s="21"/>
      <c r="N408" s="21"/>
      <c r="O408" s="21" t="s">
        <v>862</v>
      </c>
      <c r="P408" s="21" t="s">
        <v>54</v>
      </c>
      <c r="Q408" s="28">
        <v>46188</v>
      </c>
      <c r="R408" s="29">
        <v>46188.4443287037</v>
      </c>
      <c r="S408" s="21" t="s">
        <v>863</v>
      </c>
      <c r="T408" s="21"/>
      <c r="U408" s="21" t="s">
        <v>859</v>
      </c>
      <c r="V408" s="29">
        <v>46188.4442939815</v>
      </c>
      <c r="W408">
        <f>VLOOKUP(H408,物料編碼!A:B,2,0)</f>
        <v>1300603043</v>
      </c>
      <c r="X408">
        <v>1300603</v>
      </c>
      <c r="Y408" t="str">
        <f>VLOOKUP(X408,物料編碼!D:G,4,0)</f>
        <v>帶骨全腿</v>
      </c>
      <c r="Z408" t="str">
        <f>VLOOKUP(C408,客戶屬性1!A:C,2,0)</f>
        <v>福伟集团有限公司</v>
      </c>
      <c r="AA408">
        <f>IF(COUNTIF($O$1:O408,O408)=1,L408,0)</f>
        <v>0</v>
      </c>
    </row>
    <row r="409" customHeight="1" spans="1:27">
      <c r="A409" s="21" t="s">
        <v>864</v>
      </c>
      <c r="B409" s="21" t="s">
        <v>45</v>
      </c>
      <c r="C409" s="21" t="s">
        <v>65</v>
      </c>
      <c r="D409" s="21" t="s">
        <v>66</v>
      </c>
      <c r="E409" s="21" t="s">
        <v>67</v>
      </c>
      <c r="F409" s="21" t="s">
        <v>49</v>
      </c>
      <c r="G409" s="21" t="s">
        <v>68</v>
      </c>
      <c r="H409" s="21" t="s">
        <v>60</v>
      </c>
      <c r="I409" s="26">
        <v>5</v>
      </c>
      <c r="J409" s="26">
        <v>125</v>
      </c>
      <c r="K409" s="21" t="s">
        <v>52</v>
      </c>
      <c r="L409" s="27">
        <v>4583.25</v>
      </c>
      <c r="M409" s="21"/>
      <c r="N409" s="21"/>
      <c r="O409" s="21" t="s">
        <v>865</v>
      </c>
      <c r="P409" s="21" t="s">
        <v>54</v>
      </c>
      <c r="Q409" s="28">
        <v>46188</v>
      </c>
      <c r="R409" s="29">
        <v>46188.4299884259</v>
      </c>
      <c r="S409" s="21" t="s">
        <v>70</v>
      </c>
      <c r="T409" s="21"/>
      <c r="U409" s="21" t="s">
        <v>67</v>
      </c>
      <c r="V409" s="29">
        <v>46188.4299421296</v>
      </c>
      <c r="W409">
        <f>VLOOKUP(H409,物料編碼!A:B,2,0)</f>
        <v>1300101043</v>
      </c>
      <c r="X409">
        <v>1300101</v>
      </c>
      <c r="Y409" t="str">
        <f>VLOOKUP(X409,物料編碼!D:G,4,0)</f>
        <v>一號肉</v>
      </c>
      <c r="Z409" t="str">
        <f>VLOOKUP(C409,客戶屬性1!A:C,2,0)</f>
        <v>万骏贸易公司</v>
      </c>
      <c r="AA409">
        <f>IF(COUNTIF($O$1:O409,O409)=1,L409,0)</f>
        <v>4583.25</v>
      </c>
    </row>
    <row r="410" customHeight="1" spans="1:27">
      <c r="A410" s="21" t="s">
        <v>866</v>
      </c>
      <c r="B410" s="21" t="s">
        <v>45</v>
      </c>
      <c r="C410" s="21" t="s">
        <v>46</v>
      </c>
      <c r="D410" s="21" t="s">
        <v>47</v>
      </c>
      <c r="E410" s="21" t="s">
        <v>48</v>
      </c>
      <c r="F410" s="21" t="s">
        <v>49</v>
      </c>
      <c r="G410" s="21" t="s">
        <v>50</v>
      </c>
      <c r="H410" s="21" t="s">
        <v>219</v>
      </c>
      <c r="I410" s="26">
        <v>1</v>
      </c>
      <c r="J410" s="26">
        <v>10</v>
      </c>
      <c r="K410" s="21" t="s">
        <v>52</v>
      </c>
      <c r="L410" s="27">
        <v>1126.6</v>
      </c>
      <c r="M410" s="21"/>
      <c r="N410" s="21"/>
      <c r="O410" s="21" t="s">
        <v>867</v>
      </c>
      <c r="P410" s="21" t="s">
        <v>54</v>
      </c>
      <c r="Q410" s="28">
        <v>46188</v>
      </c>
      <c r="R410" s="29">
        <v>46188.4271643519</v>
      </c>
      <c r="S410" s="21" t="s">
        <v>55</v>
      </c>
      <c r="T410" s="21"/>
      <c r="U410" s="21" t="s">
        <v>47</v>
      </c>
      <c r="V410" s="29">
        <v>46188.4271180556</v>
      </c>
      <c r="W410">
        <f>VLOOKUP(H410,物料編碼!A:B,2,0)</f>
        <v>1300501022</v>
      </c>
      <c r="X410">
        <v>1300501</v>
      </c>
      <c r="Y410" t="str">
        <f>VLOOKUP(X410,物料編碼!D:G,4,0)</f>
        <v>羊排</v>
      </c>
      <c r="Z410" t="str">
        <f>VLOOKUP(C410,客戶屬性1!A:C,2,0)</f>
        <v>明记冻肉</v>
      </c>
      <c r="AA410">
        <f>IF(COUNTIF($O$1:O410,O410)=1,L410,0)</f>
        <v>1126.6</v>
      </c>
    </row>
    <row r="411" customHeight="1" spans="1:27">
      <c r="A411" s="21" t="s">
        <v>866</v>
      </c>
      <c r="B411" s="21" t="s">
        <v>45</v>
      </c>
      <c r="C411" s="21" t="s">
        <v>46</v>
      </c>
      <c r="D411" s="21" t="s">
        <v>47</v>
      </c>
      <c r="E411" s="21" t="s">
        <v>48</v>
      </c>
      <c r="F411" s="21" t="s">
        <v>49</v>
      </c>
      <c r="G411" s="21" t="s">
        <v>50</v>
      </c>
      <c r="H411" s="21" t="s">
        <v>168</v>
      </c>
      <c r="I411" s="26">
        <v>1</v>
      </c>
      <c r="J411" s="26">
        <v>10</v>
      </c>
      <c r="K411" s="21" t="s">
        <v>52</v>
      </c>
      <c r="L411" s="27">
        <v>1126.6</v>
      </c>
      <c r="M411" s="21"/>
      <c r="N411" s="21"/>
      <c r="O411" s="21" t="s">
        <v>867</v>
      </c>
      <c r="P411" s="21" t="s">
        <v>54</v>
      </c>
      <c r="Q411" s="28">
        <v>46188</v>
      </c>
      <c r="R411" s="29">
        <v>46188.4271643519</v>
      </c>
      <c r="S411" s="21" t="s">
        <v>55</v>
      </c>
      <c r="T411" s="21"/>
      <c r="U411" s="21" t="s">
        <v>47</v>
      </c>
      <c r="V411" s="29">
        <v>46188.4271180556</v>
      </c>
      <c r="W411">
        <f>VLOOKUP(H411,物料編碼!A:B,2,0)</f>
        <v>1300627002</v>
      </c>
      <c r="X411">
        <v>1300627</v>
      </c>
      <c r="Y411" t="str">
        <f>VLOOKUP(X411,物料編碼!D:G,4,0)</f>
        <v>翅尖</v>
      </c>
      <c r="Z411" t="str">
        <f>VLOOKUP(C411,客戶屬性1!A:C,2,0)</f>
        <v>明记冻肉</v>
      </c>
      <c r="AA411">
        <f>IF(COUNTIF($O$1:O411,O411)=1,L411,0)</f>
        <v>0</v>
      </c>
    </row>
    <row r="412" customHeight="1" spans="1:27">
      <c r="A412" s="21" t="s">
        <v>868</v>
      </c>
      <c r="B412" s="21" t="s">
        <v>45</v>
      </c>
      <c r="C412" s="21" t="s">
        <v>72</v>
      </c>
      <c r="D412" s="21" t="s">
        <v>73</v>
      </c>
      <c r="E412" s="21" t="s">
        <v>74</v>
      </c>
      <c r="F412" s="21" t="s">
        <v>49</v>
      </c>
      <c r="G412" s="21" t="s">
        <v>50</v>
      </c>
      <c r="H412" s="21" t="s">
        <v>190</v>
      </c>
      <c r="I412" s="26">
        <v>8</v>
      </c>
      <c r="J412" s="26">
        <v>96</v>
      </c>
      <c r="K412" s="21" t="s">
        <v>52</v>
      </c>
      <c r="L412" s="27">
        <v>1516.8</v>
      </c>
      <c r="M412" s="21"/>
      <c r="N412" s="21"/>
      <c r="O412" s="21" t="s">
        <v>869</v>
      </c>
      <c r="P412" s="21" t="s">
        <v>54</v>
      </c>
      <c r="Q412" s="28">
        <v>46188</v>
      </c>
      <c r="R412" s="29">
        <v>46188.4212962963</v>
      </c>
      <c r="S412" s="21" t="s">
        <v>77</v>
      </c>
      <c r="T412" s="21"/>
      <c r="U412" s="21" t="s">
        <v>74</v>
      </c>
      <c r="V412" s="29">
        <v>46188.42125</v>
      </c>
      <c r="W412">
        <f>VLOOKUP(H412,物料編碼!A:B,2,0)</f>
        <v>1300609001</v>
      </c>
      <c r="X412">
        <v>1300609</v>
      </c>
      <c r="Y412" t="str">
        <f>VLOOKUP(X412,物料編碼!D:G,4,0)</f>
        <v>去皮上腿肉</v>
      </c>
      <c r="Z412" t="str">
        <f>VLOOKUP(C412,客戶屬性1!A:C,2,0)</f>
        <v>恒辉贸易公司</v>
      </c>
      <c r="AA412">
        <f>IF(COUNTIF($O$1:O412,O412)=1,L412,0)</f>
        <v>1516.8</v>
      </c>
    </row>
    <row r="413" customHeight="1" spans="1:27">
      <c r="A413" s="21" t="s">
        <v>870</v>
      </c>
      <c r="B413" s="21" t="s">
        <v>45</v>
      </c>
      <c r="C413" s="21" t="s">
        <v>65</v>
      </c>
      <c r="D413" s="21" t="s">
        <v>66</v>
      </c>
      <c r="E413" s="21" t="s">
        <v>67</v>
      </c>
      <c r="F413" s="21" t="s">
        <v>49</v>
      </c>
      <c r="G413" s="21" t="s">
        <v>68</v>
      </c>
      <c r="H413" s="21" t="s">
        <v>871</v>
      </c>
      <c r="I413" s="26">
        <v>125</v>
      </c>
      <c r="J413" s="26">
        <v>125</v>
      </c>
      <c r="K413" s="21" t="s">
        <v>52</v>
      </c>
      <c r="L413" s="27">
        <v>4001.25</v>
      </c>
      <c r="M413" s="21"/>
      <c r="N413" s="21"/>
      <c r="O413" s="21" t="s">
        <v>872</v>
      </c>
      <c r="P413" s="21" t="s">
        <v>183</v>
      </c>
      <c r="Q413" s="28">
        <v>46188</v>
      </c>
      <c r="R413" s="29">
        <v>46188.4189236111</v>
      </c>
      <c r="S413" s="21" t="s">
        <v>70</v>
      </c>
      <c r="T413" s="21"/>
      <c r="U413" s="21" t="s">
        <v>67</v>
      </c>
      <c r="V413" s="29">
        <v>46188.4188773148</v>
      </c>
      <c r="W413">
        <f>VLOOKUP(H413,物料編碼!A:B,2,0)</f>
        <v>1300101051</v>
      </c>
      <c r="X413">
        <v>1300101</v>
      </c>
      <c r="Y413" t="str">
        <f>VLOOKUP(X413,物料編碼!D:G,4,0)</f>
        <v>一號肉</v>
      </c>
      <c r="Z413" t="str">
        <f>VLOOKUP(C413,客戶屬性1!A:C,2,0)</f>
        <v>万骏贸易公司</v>
      </c>
      <c r="AA413">
        <f>IF(COUNTIF($O$1:O413,O413)=1,L413,0)</f>
        <v>4001.25</v>
      </c>
    </row>
    <row r="414" customHeight="1" spans="1:27">
      <c r="A414" s="21" t="s">
        <v>873</v>
      </c>
      <c r="B414" s="21" t="s">
        <v>45</v>
      </c>
      <c r="C414" s="21" t="s">
        <v>668</v>
      </c>
      <c r="D414" s="21" t="s">
        <v>669</v>
      </c>
      <c r="E414" s="21" t="s">
        <v>670</v>
      </c>
      <c r="F414" s="21" t="s">
        <v>49</v>
      </c>
      <c r="G414" s="21" t="s">
        <v>50</v>
      </c>
      <c r="H414" s="21" t="s">
        <v>190</v>
      </c>
      <c r="I414" s="26">
        <v>3</v>
      </c>
      <c r="J414" s="26">
        <v>36</v>
      </c>
      <c r="K414" s="21" t="s">
        <v>52</v>
      </c>
      <c r="L414" s="27">
        <v>568.8</v>
      </c>
      <c r="M414" s="21"/>
      <c r="N414" s="21"/>
      <c r="O414" s="21" t="s">
        <v>874</v>
      </c>
      <c r="P414" s="21" t="s">
        <v>54</v>
      </c>
      <c r="Q414" s="28">
        <v>46188</v>
      </c>
      <c r="R414" s="29">
        <v>46188.4109259259</v>
      </c>
      <c r="S414" s="21" t="s">
        <v>673</v>
      </c>
      <c r="T414" s="21"/>
      <c r="U414" s="21" t="s">
        <v>669</v>
      </c>
      <c r="V414" s="29">
        <v>46188.4108796296</v>
      </c>
      <c r="W414">
        <f>VLOOKUP(H414,物料編碼!A:B,2,0)</f>
        <v>1300609001</v>
      </c>
      <c r="X414">
        <v>1300609</v>
      </c>
      <c r="Y414" t="str">
        <f>VLOOKUP(X414,物料編碼!D:G,4,0)</f>
        <v>去皮上腿肉</v>
      </c>
      <c r="Z414" t="str">
        <f>VLOOKUP(C414,客戶屬性1!A:C,2,0)</f>
        <v>皇品有限公司</v>
      </c>
      <c r="AA414">
        <f>IF(COUNTIF($O$1:O414,O414)=1,L414,0)</f>
        <v>568.8</v>
      </c>
    </row>
    <row r="415" customHeight="1" spans="1:27">
      <c r="A415" s="21" t="s">
        <v>875</v>
      </c>
      <c r="B415" s="21" t="s">
        <v>45</v>
      </c>
      <c r="C415" s="21" t="s">
        <v>290</v>
      </c>
      <c r="D415" s="21" t="s">
        <v>291</v>
      </c>
      <c r="E415" s="21" t="s">
        <v>292</v>
      </c>
      <c r="F415" s="21" t="s">
        <v>49</v>
      </c>
      <c r="G415" s="21" t="s">
        <v>50</v>
      </c>
      <c r="H415" s="21" t="s">
        <v>121</v>
      </c>
      <c r="I415" s="26">
        <v>2</v>
      </c>
      <c r="J415" s="26">
        <v>40</v>
      </c>
      <c r="K415" s="21" t="s">
        <v>52</v>
      </c>
      <c r="L415" s="27">
        <v>980</v>
      </c>
      <c r="M415" s="21"/>
      <c r="N415" s="21"/>
      <c r="O415" s="21" t="s">
        <v>876</v>
      </c>
      <c r="P415" s="21" t="s">
        <v>54</v>
      </c>
      <c r="Q415" s="28">
        <v>46188</v>
      </c>
      <c r="R415" s="29">
        <v>46186.4776273148</v>
      </c>
      <c r="S415" s="21" t="s">
        <v>294</v>
      </c>
      <c r="T415" s="21"/>
      <c r="U415" s="21" t="s">
        <v>292</v>
      </c>
      <c r="V415" s="29">
        <v>46186.4775810185</v>
      </c>
      <c r="W415">
        <f>VLOOKUP(H415,物料編碼!A:B,2,0)</f>
        <v>1300114011</v>
      </c>
      <c r="X415">
        <v>1300114</v>
      </c>
      <c r="Y415" t="str">
        <f>VLOOKUP(X415,物料編碼!D:G,4,0)</f>
        <v>熟食</v>
      </c>
      <c r="Z415" t="str">
        <f>VLOOKUP(C415,客戶屬性1!A:C,2,0)</f>
        <v>溢利食品(香港)有限公司</v>
      </c>
      <c r="AA415">
        <f>IF(COUNTIF($O$1:O415,O415)=1,L415,0)</f>
        <v>980</v>
      </c>
    </row>
    <row r="416" customHeight="1" spans="1:27">
      <c r="A416" s="21" t="s">
        <v>877</v>
      </c>
      <c r="B416" s="21" t="s">
        <v>45</v>
      </c>
      <c r="C416" s="21" t="s">
        <v>72</v>
      </c>
      <c r="D416" s="21" t="s">
        <v>73</v>
      </c>
      <c r="E416" s="21" t="s">
        <v>74</v>
      </c>
      <c r="F416" s="21" t="s">
        <v>49</v>
      </c>
      <c r="G416" s="21" t="s">
        <v>50</v>
      </c>
      <c r="H416" s="21" t="s">
        <v>190</v>
      </c>
      <c r="I416" s="26">
        <v>2</v>
      </c>
      <c r="J416" s="26">
        <v>24</v>
      </c>
      <c r="K416" s="21" t="s">
        <v>52</v>
      </c>
      <c r="L416" s="27">
        <v>379.2</v>
      </c>
      <c r="M416" s="21"/>
      <c r="N416" s="21"/>
      <c r="O416" s="21" t="s">
        <v>878</v>
      </c>
      <c r="P416" s="21" t="s">
        <v>54</v>
      </c>
      <c r="Q416" s="28">
        <v>46188</v>
      </c>
      <c r="R416" s="29">
        <v>46186.4761921296</v>
      </c>
      <c r="S416" s="21" t="s">
        <v>288</v>
      </c>
      <c r="T416" s="21"/>
      <c r="U416" s="21" t="s">
        <v>82</v>
      </c>
      <c r="V416" s="29">
        <v>46186.4761342593</v>
      </c>
      <c r="W416">
        <f>VLOOKUP(H416,物料編碼!A:B,2,0)</f>
        <v>1300609001</v>
      </c>
      <c r="X416">
        <v>1300609</v>
      </c>
      <c r="Y416" t="str">
        <f>VLOOKUP(X416,物料編碼!D:G,4,0)</f>
        <v>去皮上腿肉</v>
      </c>
      <c r="Z416" t="str">
        <f>VLOOKUP(C416,客戶屬性1!A:C,2,0)</f>
        <v>恒辉贸易公司</v>
      </c>
      <c r="AA416">
        <f>IF(COUNTIF($O$1:O416,O416)=1,L416,0)</f>
        <v>379.2</v>
      </c>
    </row>
    <row r="417" customHeight="1" spans="1:27">
      <c r="A417" s="21" t="s">
        <v>879</v>
      </c>
      <c r="B417" s="21" t="s">
        <v>45</v>
      </c>
      <c r="C417" s="21" t="s">
        <v>72</v>
      </c>
      <c r="D417" s="21" t="s">
        <v>73</v>
      </c>
      <c r="E417" s="21" t="s">
        <v>74</v>
      </c>
      <c r="F417" s="21" t="s">
        <v>49</v>
      </c>
      <c r="G417" s="21" t="s">
        <v>50</v>
      </c>
      <c r="H417" s="21" t="s">
        <v>190</v>
      </c>
      <c r="I417" s="26">
        <v>3</v>
      </c>
      <c r="J417" s="26">
        <v>36</v>
      </c>
      <c r="K417" s="21" t="s">
        <v>52</v>
      </c>
      <c r="L417" s="27">
        <v>568.8</v>
      </c>
      <c r="M417" s="21"/>
      <c r="N417" s="21"/>
      <c r="O417" s="21" t="s">
        <v>880</v>
      </c>
      <c r="P417" s="21" t="s">
        <v>54</v>
      </c>
      <c r="Q417" s="28">
        <v>46188</v>
      </c>
      <c r="R417" s="29">
        <v>46186.4676851852</v>
      </c>
      <c r="S417" s="21" t="s">
        <v>77</v>
      </c>
      <c r="T417" s="21"/>
      <c r="U417" s="21" t="s">
        <v>74</v>
      </c>
      <c r="V417" s="29">
        <v>46186.4676157407</v>
      </c>
      <c r="W417">
        <f>VLOOKUP(H417,物料編碼!A:B,2,0)</f>
        <v>1300609001</v>
      </c>
      <c r="X417">
        <v>1300609</v>
      </c>
      <c r="Y417" t="str">
        <f>VLOOKUP(X417,物料編碼!D:G,4,0)</f>
        <v>去皮上腿肉</v>
      </c>
      <c r="Z417" t="str">
        <f>VLOOKUP(C417,客戶屬性1!A:C,2,0)</f>
        <v>恒辉贸易公司</v>
      </c>
      <c r="AA417">
        <f>IF(COUNTIF($O$1:O417,O417)=1,L417,0)</f>
        <v>568.8</v>
      </c>
    </row>
    <row r="418" customHeight="1" spans="1:27">
      <c r="A418" s="21" t="s">
        <v>881</v>
      </c>
      <c r="B418" s="21" t="s">
        <v>45</v>
      </c>
      <c r="C418" s="21" t="s">
        <v>141</v>
      </c>
      <c r="D418" s="21" t="s">
        <v>142</v>
      </c>
      <c r="E418" s="21" t="s">
        <v>142</v>
      </c>
      <c r="F418" s="21" t="s">
        <v>143</v>
      </c>
      <c r="G418" s="21" t="s">
        <v>100</v>
      </c>
      <c r="H418" s="21" t="s">
        <v>298</v>
      </c>
      <c r="I418" s="26">
        <v>1</v>
      </c>
      <c r="J418" s="26">
        <v>10</v>
      </c>
      <c r="K418" s="21" t="s">
        <v>52</v>
      </c>
      <c r="L418" s="27">
        <v>1539.67</v>
      </c>
      <c r="M418" s="21"/>
      <c r="N418" s="21"/>
      <c r="O418" s="21" t="s">
        <v>882</v>
      </c>
      <c r="P418" s="21" t="s">
        <v>54</v>
      </c>
      <c r="Q418" s="28">
        <v>46186</v>
      </c>
      <c r="R418" s="29">
        <v>46185.4821759259</v>
      </c>
      <c r="S418" s="21" t="s">
        <v>145</v>
      </c>
      <c r="T418" s="21"/>
      <c r="U418" s="21" t="s">
        <v>142</v>
      </c>
      <c r="V418" s="29">
        <v>46185.4821412037</v>
      </c>
      <c r="W418">
        <f>VLOOKUP(H418,物料編碼!A:B,2,0)</f>
        <v>1300111003</v>
      </c>
      <c r="X418">
        <v>1300111</v>
      </c>
      <c r="Y418" t="str">
        <f>VLOOKUP(X418,物料編碼!D:G,4,0)</f>
        <v>寸骨</v>
      </c>
      <c r="Z418" t="str">
        <f>VLOOKUP(C418,客戶屬性1!A:C,2,0)</f>
        <v>新昌冻肉</v>
      </c>
      <c r="AA418">
        <f>IF(COUNTIF($O$1:O418,O418)=1,L418,0)</f>
        <v>1539.67</v>
      </c>
    </row>
    <row r="419" customHeight="1" spans="1:27">
      <c r="A419" s="21" t="s">
        <v>881</v>
      </c>
      <c r="B419" s="21" t="s">
        <v>45</v>
      </c>
      <c r="C419" s="21" t="s">
        <v>141</v>
      </c>
      <c r="D419" s="21" t="s">
        <v>142</v>
      </c>
      <c r="E419" s="21" t="s">
        <v>142</v>
      </c>
      <c r="F419" s="21" t="s">
        <v>143</v>
      </c>
      <c r="G419" s="21" t="s">
        <v>100</v>
      </c>
      <c r="H419" s="21" t="s">
        <v>146</v>
      </c>
      <c r="I419" s="26">
        <v>2</v>
      </c>
      <c r="J419" s="26">
        <v>30</v>
      </c>
      <c r="K419" s="21" t="s">
        <v>52</v>
      </c>
      <c r="L419" s="27">
        <v>1539.67</v>
      </c>
      <c r="M419" s="21"/>
      <c r="N419" s="21"/>
      <c r="O419" s="21" t="s">
        <v>882</v>
      </c>
      <c r="P419" s="21" t="s">
        <v>54</v>
      </c>
      <c r="Q419" s="28">
        <v>46186</v>
      </c>
      <c r="R419" s="29">
        <v>46185.4821759259</v>
      </c>
      <c r="S419" s="21" t="s">
        <v>145</v>
      </c>
      <c r="T419" s="21"/>
      <c r="U419" s="21" t="s">
        <v>142</v>
      </c>
      <c r="V419" s="29">
        <v>46185.4821412037</v>
      </c>
      <c r="W419">
        <f>VLOOKUP(H419,物料編碼!A:B,2,0)</f>
        <v>1300603041</v>
      </c>
      <c r="X419">
        <v>1300603</v>
      </c>
      <c r="Y419" t="str">
        <f>VLOOKUP(X419,物料編碼!D:G,4,0)</f>
        <v>帶骨全腿</v>
      </c>
      <c r="Z419" t="str">
        <f>VLOOKUP(C419,客戶屬性1!A:C,2,0)</f>
        <v>新昌冻肉</v>
      </c>
      <c r="AA419">
        <f>IF(COUNTIF($O$1:O419,O419)=1,L419,0)</f>
        <v>0</v>
      </c>
    </row>
    <row r="420" customHeight="1" spans="1:27">
      <c r="A420" s="21" t="s">
        <v>881</v>
      </c>
      <c r="B420" s="21" t="s">
        <v>45</v>
      </c>
      <c r="C420" s="21" t="s">
        <v>141</v>
      </c>
      <c r="D420" s="21" t="s">
        <v>142</v>
      </c>
      <c r="E420" s="21" t="s">
        <v>142</v>
      </c>
      <c r="F420" s="21" t="s">
        <v>143</v>
      </c>
      <c r="G420" s="21" t="s">
        <v>100</v>
      </c>
      <c r="H420" s="21" t="s">
        <v>117</v>
      </c>
      <c r="I420" s="26">
        <v>3</v>
      </c>
      <c r="J420" s="26">
        <v>45</v>
      </c>
      <c r="K420" s="21" t="s">
        <v>52</v>
      </c>
      <c r="L420" s="27">
        <v>1539.67</v>
      </c>
      <c r="M420" s="21"/>
      <c r="N420" s="21"/>
      <c r="O420" s="21" t="s">
        <v>882</v>
      </c>
      <c r="P420" s="21" t="s">
        <v>54</v>
      </c>
      <c r="Q420" s="28">
        <v>46186</v>
      </c>
      <c r="R420" s="29">
        <v>46185.4821759259</v>
      </c>
      <c r="S420" s="21" t="s">
        <v>145</v>
      </c>
      <c r="T420" s="21"/>
      <c r="U420" s="21" t="s">
        <v>142</v>
      </c>
      <c r="V420" s="29">
        <v>46185.4821412037</v>
      </c>
      <c r="W420">
        <f>VLOOKUP(H420,物料編碼!A:B,2,0)</f>
        <v>1300607015</v>
      </c>
      <c r="X420">
        <v>1300607</v>
      </c>
      <c r="Y420" t="str">
        <f>VLOOKUP(X420,物料編碼!D:G,4,0)</f>
        <v>帶皮腿扒</v>
      </c>
      <c r="Z420" t="str">
        <f>VLOOKUP(C420,客戶屬性1!A:C,2,0)</f>
        <v>新昌冻肉</v>
      </c>
      <c r="AA420">
        <f>IF(COUNTIF($O$1:O420,O420)=1,L420,0)</f>
        <v>0</v>
      </c>
    </row>
    <row r="421" customHeight="1" spans="1:27">
      <c r="A421" s="21" t="s">
        <v>883</v>
      </c>
      <c r="B421" s="21" t="s">
        <v>45</v>
      </c>
      <c r="C421" s="21" t="s">
        <v>72</v>
      </c>
      <c r="D421" s="21" t="s">
        <v>73</v>
      </c>
      <c r="E421" s="21" t="s">
        <v>74</v>
      </c>
      <c r="F421" s="21" t="s">
        <v>49</v>
      </c>
      <c r="G421" s="21" t="s">
        <v>50</v>
      </c>
      <c r="H421" s="21" t="s">
        <v>75</v>
      </c>
      <c r="I421" s="26">
        <v>1</v>
      </c>
      <c r="J421" s="26">
        <v>15</v>
      </c>
      <c r="K421" s="21" t="s">
        <v>52</v>
      </c>
      <c r="L421" s="27">
        <v>191.7</v>
      </c>
      <c r="M421" s="21"/>
      <c r="N421" s="21"/>
      <c r="O421" s="21" t="s">
        <v>884</v>
      </c>
      <c r="P421" s="21" t="s">
        <v>54</v>
      </c>
      <c r="Q421" s="28">
        <v>46186</v>
      </c>
      <c r="R421" s="29">
        <v>46185.4789467593</v>
      </c>
      <c r="S421" s="21" t="s">
        <v>77</v>
      </c>
      <c r="T421" s="21"/>
      <c r="U421" s="21" t="s">
        <v>74</v>
      </c>
      <c r="V421" s="29">
        <v>46185.478912037</v>
      </c>
      <c r="W421">
        <f>VLOOKUP(H421,物料編碼!A:B,2,0)</f>
        <v>1300603040</v>
      </c>
      <c r="X421">
        <v>1300603</v>
      </c>
      <c r="Y421" t="str">
        <f>VLOOKUP(X421,物料編碼!D:G,4,0)</f>
        <v>帶骨全腿</v>
      </c>
      <c r="Z421" t="str">
        <f>VLOOKUP(C421,客戶屬性1!A:C,2,0)</f>
        <v>恒辉贸易公司</v>
      </c>
      <c r="AA421">
        <f>IF(COUNTIF($O$1:O421,O421)=1,L421,0)</f>
        <v>191.7</v>
      </c>
    </row>
    <row r="422" customHeight="1" spans="1:27">
      <c r="A422" s="21" t="s">
        <v>885</v>
      </c>
      <c r="B422" s="21" t="s">
        <v>45</v>
      </c>
      <c r="C422" s="21" t="s">
        <v>72</v>
      </c>
      <c r="D422" s="21" t="s">
        <v>73</v>
      </c>
      <c r="E422" s="21" t="s">
        <v>74</v>
      </c>
      <c r="F422" s="21" t="s">
        <v>49</v>
      </c>
      <c r="G422" s="21" t="s">
        <v>50</v>
      </c>
      <c r="H422" s="21" t="s">
        <v>393</v>
      </c>
      <c r="I422" s="26">
        <v>1</v>
      </c>
      <c r="J422" s="26">
        <v>15</v>
      </c>
      <c r="K422" s="21" t="s">
        <v>52</v>
      </c>
      <c r="L422" s="27">
        <v>221.7</v>
      </c>
      <c r="M422" s="21"/>
      <c r="N422" s="21"/>
      <c r="O422" s="21" t="s">
        <v>886</v>
      </c>
      <c r="P422" s="21" t="s">
        <v>54</v>
      </c>
      <c r="Q422" s="28">
        <v>46185</v>
      </c>
      <c r="R422" s="29">
        <v>46185.4309490741</v>
      </c>
      <c r="S422" s="21" t="s">
        <v>288</v>
      </c>
      <c r="T422" s="21"/>
      <c r="U422" s="21" t="s">
        <v>82</v>
      </c>
      <c r="V422" s="29">
        <v>46185.4309143519</v>
      </c>
      <c r="W422">
        <f>VLOOKUP(H422,物料編碼!A:B,2,0)</f>
        <v>1300607016</v>
      </c>
      <c r="X422">
        <v>1300607</v>
      </c>
      <c r="Y422" t="str">
        <f>VLOOKUP(X422,物料編碼!D:G,4,0)</f>
        <v>帶皮腿扒</v>
      </c>
      <c r="Z422" t="str">
        <f>VLOOKUP(C422,客戶屬性1!A:C,2,0)</f>
        <v>恒辉贸易公司</v>
      </c>
      <c r="AA422">
        <f>IF(COUNTIF($O$1:O422,O422)=1,L422,0)</f>
        <v>221.7</v>
      </c>
    </row>
    <row r="423" customHeight="1" spans="1:27">
      <c r="A423" s="21" t="s">
        <v>887</v>
      </c>
      <c r="B423" s="21" t="s">
        <v>45</v>
      </c>
      <c r="C423" s="21" t="s">
        <v>72</v>
      </c>
      <c r="D423" s="21" t="s">
        <v>73</v>
      </c>
      <c r="E423" s="21" t="s">
        <v>74</v>
      </c>
      <c r="F423" s="21" t="s">
        <v>49</v>
      </c>
      <c r="G423" s="21" t="s">
        <v>50</v>
      </c>
      <c r="H423" s="21" t="s">
        <v>75</v>
      </c>
      <c r="I423" s="26">
        <v>1</v>
      </c>
      <c r="J423" s="26">
        <v>15</v>
      </c>
      <c r="K423" s="21" t="s">
        <v>52</v>
      </c>
      <c r="L423" s="27">
        <v>635.1</v>
      </c>
      <c r="M423" s="21"/>
      <c r="N423" s="21"/>
      <c r="O423" s="21" t="s">
        <v>888</v>
      </c>
      <c r="P423" s="21" t="s">
        <v>54</v>
      </c>
      <c r="Q423" s="28">
        <v>46185</v>
      </c>
      <c r="R423" s="29">
        <v>46185.401400463</v>
      </c>
      <c r="S423" s="21" t="s">
        <v>77</v>
      </c>
      <c r="T423" s="21"/>
      <c r="U423" s="21" t="s">
        <v>74</v>
      </c>
      <c r="V423" s="29">
        <v>46185.4013425926</v>
      </c>
      <c r="W423">
        <f>VLOOKUP(H423,物料編碼!A:B,2,0)</f>
        <v>1300603040</v>
      </c>
      <c r="X423">
        <v>1300603</v>
      </c>
      <c r="Y423" t="str">
        <f>VLOOKUP(X423,物料編碼!D:G,4,0)</f>
        <v>帶骨全腿</v>
      </c>
      <c r="Z423" t="str">
        <f>VLOOKUP(C423,客戶屬性1!A:C,2,0)</f>
        <v>恒辉贸易公司</v>
      </c>
      <c r="AA423">
        <f>IF(COUNTIF($O$1:O423,O423)=1,L423,0)</f>
        <v>635.1</v>
      </c>
    </row>
    <row r="424" customHeight="1" spans="1:27">
      <c r="A424" s="21" t="s">
        <v>887</v>
      </c>
      <c r="B424" s="21" t="s">
        <v>45</v>
      </c>
      <c r="C424" s="21" t="s">
        <v>72</v>
      </c>
      <c r="D424" s="21" t="s">
        <v>73</v>
      </c>
      <c r="E424" s="21" t="s">
        <v>74</v>
      </c>
      <c r="F424" s="21" t="s">
        <v>49</v>
      </c>
      <c r="G424" s="21" t="s">
        <v>50</v>
      </c>
      <c r="H424" s="21" t="s">
        <v>78</v>
      </c>
      <c r="I424" s="26">
        <v>2</v>
      </c>
      <c r="J424" s="26">
        <v>30</v>
      </c>
      <c r="K424" s="21" t="s">
        <v>52</v>
      </c>
      <c r="L424" s="27">
        <v>635.1</v>
      </c>
      <c r="M424" s="21"/>
      <c r="N424" s="21"/>
      <c r="O424" s="21" t="s">
        <v>888</v>
      </c>
      <c r="P424" s="21" t="s">
        <v>54</v>
      </c>
      <c r="Q424" s="28">
        <v>46185</v>
      </c>
      <c r="R424" s="29">
        <v>46185.401400463</v>
      </c>
      <c r="S424" s="21" t="s">
        <v>77</v>
      </c>
      <c r="T424" s="21"/>
      <c r="U424" s="21" t="s">
        <v>74</v>
      </c>
      <c r="V424" s="29">
        <v>46185.4013425926</v>
      </c>
      <c r="W424">
        <f>VLOOKUP(H424,物料編碼!A:B,2,0)</f>
        <v>1300607014</v>
      </c>
      <c r="X424">
        <v>1300607</v>
      </c>
      <c r="Y424" t="str">
        <f>VLOOKUP(X424,物料編碼!D:G,4,0)</f>
        <v>帶皮腿扒</v>
      </c>
      <c r="Z424" t="str">
        <f>VLOOKUP(C424,客戶屬性1!A:C,2,0)</f>
        <v>恒辉贸易公司</v>
      </c>
      <c r="AA424">
        <f>IF(COUNTIF($O$1:O424,O424)=1,L424,0)</f>
        <v>0</v>
      </c>
    </row>
    <row r="425" customHeight="1" spans="1:27">
      <c r="A425" s="21" t="s">
        <v>889</v>
      </c>
      <c r="B425" s="21" t="s">
        <v>45</v>
      </c>
      <c r="C425" s="21" t="s">
        <v>72</v>
      </c>
      <c r="D425" s="21" t="s">
        <v>73</v>
      </c>
      <c r="E425" s="21" t="s">
        <v>74</v>
      </c>
      <c r="F425" s="21" t="s">
        <v>49</v>
      </c>
      <c r="G425" s="21" t="s">
        <v>50</v>
      </c>
      <c r="H425" s="21" t="s">
        <v>890</v>
      </c>
      <c r="I425" s="26">
        <v>3</v>
      </c>
      <c r="J425" s="26">
        <v>45</v>
      </c>
      <c r="K425" s="21" t="s">
        <v>52</v>
      </c>
      <c r="L425" s="27">
        <v>644.85</v>
      </c>
      <c r="M425" s="21"/>
      <c r="N425" s="21"/>
      <c r="O425" s="21" t="s">
        <v>891</v>
      </c>
      <c r="P425" s="21" t="s">
        <v>54</v>
      </c>
      <c r="Q425" s="28">
        <v>46185</v>
      </c>
      <c r="R425" s="29">
        <v>46185.3643171296</v>
      </c>
      <c r="S425" s="21" t="s">
        <v>288</v>
      </c>
      <c r="T425" s="21"/>
      <c r="U425" s="21" t="s">
        <v>82</v>
      </c>
      <c r="V425" s="29">
        <v>46185.3642708333</v>
      </c>
      <c r="W425">
        <f>VLOOKUP(H425,物料編碼!A:B,2,0)</f>
        <v>1300603106</v>
      </c>
      <c r="X425">
        <v>1300603</v>
      </c>
      <c r="Y425" t="str">
        <f>VLOOKUP(X425,物料編碼!D:G,4,0)</f>
        <v>帶骨全腿</v>
      </c>
      <c r="Z425" t="str">
        <f>VLOOKUP(C425,客戶屬性1!A:C,2,0)</f>
        <v>恒辉贸易公司</v>
      </c>
      <c r="AA425">
        <f>IF(COUNTIF($O$1:O425,O425)=1,L425,0)</f>
        <v>644.85</v>
      </c>
    </row>
    <row r="426" customHeight="1" spans="1:27">
      <c r="A426" s="21" t="s">
        <v>892</v>
      </c>
      <c r="B426" s="21" t="s">
        <v>45</v>
      </c>
      <c r="C426" s="21" t="s">
        <v>893</v>
      </c>
      <c r="D426" s="21" t="s">
        <v>894</v>
      </c>
      <c r="E426" s="21" t="s">
        <v>895</v>
      </c>
      <c r="F426" s="21" t="s">
        <v>49</v>
      </c>
      <c r="G426" s="21" t="s">
        <v>89</v>
      </c>
      <c r="H426" s="21" t="s">
        <v>137</v>
      </c>
      <c r="I426" s="26">
        <v>5</v>
      </c>
      <c r="J426" s="26">
        <v>90</v>
      </c>
      <c r="K426" s="21" t="s">
        <v>52</v>
      </c>
      <c r="L426" s="27">
        <v>7306.2</v>
      </c>
      <c r="M426" s="21"/>
      <c r="N426" s="21"/>
      <c r="O426" s="21" t="s">
        <v>896</v>
      </c>
      <c r="P426" s="21" t="s">
        <v>54</v>
      </c>
      <c r="Q426" s="28">
        <v>46185</v>
      </c>
      <c r="R426" s="29">
        <v>46184.6270833333</v>
      </c>
      <c r="S426" s="21" t="s">
        <v>897</v>
      </c>
      <c r="T426" s="21"/>
      <c r="U426" s="21" t="s">
        <v>894</v>
      </c>
      <c r="V426" s="29">
        <v>46184.627037037</v>
      </c>
      <c r="W426">
        <f>VLOOKUP(H426,物料編碼!A:B,2,0)</f>
        <v>1300503009</v>
      </c>
      <c r="X426">
        <v>1300503</v>
      </c>
      <c r="Y426" t="str">
        <f>VLOOKUP(X426,物料編碼!D:G,4,0)</f>
        <v>羊肩卷肉</v>
      </c>
      <c r="Z426" t="str">
        <f>VLOOKUP(C426,客戶屬性1!A:C,2,0)</f>
        <v>明記海鮮食品有限公司</v>
      </c>
      <c r="AA426">
        <f>IF(COUNTIF($O$1:O426,O426)=1,L426,0)</f>
        <v>7306.2</v>
      </c>
    </row>
    <row r="427" customHeight="1" spans="1:27">
      <c r="A427" s="21" t="s">
        <v>898</v>
      </c>
      <c r="B427" s="21" t="s">
        <v>45</v>
      </c>
      <c r="C427" s="21" t="s">
        <v>114</v>
      </c>
      <c r="D427" s="21" t="s">
        <v>115</v>
      </c>
      <c r="E427" s="21" t="s">
        <v>116</v>
      </c>
      <c r="F427" s="21" t="s">
        <v>49</v>
      </c>
      <c r="G427" s="21" t="s">
        <v>100</v>
      </c>
      <c r="H427" s="21" t="s">
        <v>168</v>
      </c>
      <c r="I427" s="26">
        <v>1</v>
      </c>
      <c r="J427" s="26">
        <v>10</v>
      </c>
      <c r="K427" s="21" t="s">
        <v>52</v>
      </c>
      <c r="L427" s="27">
        <v>97</v>
      </c>
      <c r="M427" s="21"/>
      <c r="N427" s="21"/>
      <c r="O427" s="21" t="s">
        <v>899</v>
      </c>
      <c r="P427" s="21" t="s">
        <v>54</v>
      </c>
      <c r="Q427" s="28">
        <v>46185</v>
      </c>
      <c r="R427" s="29">
        <v>46184.5827893519</v>
      </c>
      <c r="S427" s="21" t="s">
        <v>119</v>
      </c>
      <c r="T427" s="21"/>
      <c r="U427" s="21" t="s">
        <v>115</v>
      </c>
      <c r="V427" s="29">
        <v>46184.5827546296</v>
      </c>
      <c r="W427">
        <f>VLOOKUP(H427,物料編碼!A:B,2,0)</f>
        <v>1300627002</v>
      </c>
      <c r="X427">
        <v>1300627</v>
      </c>
      <c r="Y427" t="str">
        <f>VLOOKUP(X427,物料編碼!D:G,4,0)</f>
        <v>翅尖</v>
      </c>
      <c r="Z427" t="str">
        <f>VLOOKUP(C427,客戶屬性1!A:C,2,0)</f>
        <v>骏利贸易公司</v>
      </c>
      <c r="AA427">
        <f>IF(COUNTIF($O$1:O427,O427)=1,L427,0)</f>
        <v>97</v>
      </c>
    </row>
    <row r="428" customHeight="1" spans="1:27">
      <c r="A428" s="21" t="s">
        <v>900</v>
      </c>
      <c r="B428" s="21" t="s">
        <v>45</v>
      </c>
      <c r="C428" s="21" t="s">
        <v>114</v>
      </c>
      <c r="D428" s="21" t="s">
        <v>115</v>
      </c>
      <c r="E428" s="21" t="s">
        <v>116</v>
      </c>
      <c r="F428" s="21" t="s">
        <v>49</v>
      </c>
      <c r="G428" s="21" t="s">
        <v>100</v>
      </c>
      <c r="H428" s="21" t="s">
        <v>808</v>
      </c>
      <c r="I428" s="26">
        <v>2</v>
      </c>
      <c r="J428" s="26">
        <v>20</v>
      </c>
      <c r="K428" s="21" t="s">
        <v>52</v>
      </c>
      <c r="L428" s="27">
        <v>242</v>
      </c>
      <c r="M428" s="21"/>
      <c r="N428" s="21"/>
      <c r="O428" s="21" t="s">
        <v>901</v>
      </c>
      <c r="P428" s="21" t="s">
        <v>54</v>
      </c>
      <c r="Q428" s="28">
        <v>46185</v>
      </c>
      <c r="R428" s="29">
        <v>46184.581875</v>
      </c>
      <c r="S428" s="21" t="s">
        <v>119</v>
      </c>
      <c r="T428" s="21"/>
      <c r="U428" s="21" t="s">
        <v>115</v>
      </c>
      <c r="V428" s="29">
        <v>46184.5818287037</v>
      </c>
      <c r="W428">
        <f>VLOOKUP(H428,物料編碼!A:B,2,0)</f>
        <v>1300613017</v>
      </c>
      <c r="X428">
        <v>1300613</v>
      </c>
      <c r="Y428" t="str">
        <f>VLOOKUP(X428,物料編碼!D:G,4,0)</f>
        <v>小胸肉</v>
      </c>
      <c r="Z428" t="str">
        <f>VLOOKUP(C428,客戶屬性1!A:C,2,0)</f>
        <v>骏利贸易公司</v>
      </c>
      <c r="AA428">
        <f>IF(COUNTIF($O$1:O428,O428)=1,L428,0)</f>
        <v>242</v>
      </c>
    </row>
    <row r="429" customHeight="1" spans="1:27">
      <c r="A429" s="21" t="s">
        <v>902</v>
      </c>
      <c r="B429" s="21" t="s">
        <v>45</v>
      </c>
      <c r="C429" s="21" t="s">
        <v>141</v>
      </c>
      <c r="D429" s="21" t="s">
        <v>142</v>
      </c>
      <c r="E429" s="21" t="s">
        <v>142</v>
      </c>
      <c r="F429" s="21" t="s">
        <v>143</v>
      </c>
      <c r="G429" s="21" t="s">
        <v>100</v>
      </c>
      <c r="H429" s="21" t="s">
        <v>146</v>
      </c>
      <c r="I429" s="26">
        <v>2</v>
      </c>
      <c r="J429" s="26">
        <v>30</v>
      </c>
      <c r="K429" s="21" t="s">
        <v>52</v>
      </c>
      <c r="L429" s="27">
        <v>2468.98</v>
      </c>
      <c r="M429" s="21"/>
      <c r="N429" s="21"/>
      <c r="O429" s="21" t="s">
        <v>903</v>
      </c>
      <c r="P429" s="21" t="s">
        <v>54</v>
      </c>
      <c r="Q429" s="28">
        <v>46185</v>
      </c>
      <c r="R429" s="29">
        <v>46184.4768865741</v>
      </c>
      <c r="S429" s="21" t="s">
        <v>145</v>
      </c>
      <c r="T429" s="21"/>
      <c r="U429" s="21" t="s">
        <v>142</v>
      </c>
      <c r="V429" s="29">
        <v>46184.4768402778</v>
      </c>
      <c r="W429">
        <f>VLOOKUP(H429,物料編碼!A:B,2,0)</f>
        <v>1300603041</v>
      </c>
      <c r="X429">
        <v>1300603</v>
      </c>
      <c r="Y429" t="str">
        <f>VLOOKUP(X429,物料編碼!D:G,4,0)</f>
        <v>帶骨全腿</v>
      </c>
      <c r="Z429" t="str">
        <f>VLOOKUP(C429,客戶屬性1!A:C,2,0)</f>
        <v>新昌冻肉</v>
      </c>
      <c r="AA429">
        <f>IF(COUNTIF($O$1:O429,O429)=1,L429,0)</f>
        <v>2468.98</v>
      </c>
    </row>
    <row r="430" customHeight="1" spans="1:27">
      <c r="A430" s="21" t="s">
        <v>902</v>
      </c>
      <c r="B430" s="21" t="s">
        <v>45</v>
      </c>
      <c r="C430" s="21" t="s">
        <v>141</v>
      </c>
      <c r="D430" s="21" t="s">
        <v>142</v>
      </c>
      <c r="E430" s="21" t="s">
        <v>142</v>
      </c>
      <c r="F430" s="21" t="s">
        <v>143</v>
      </c>
      <c r="G430" s="21" t="s">
        <v>100</v>
      </c>
      <c r="H430" s="21" t="s">
        <v>298</v>
      </c>
      <c r="I430" s="26">
        <v>1</v>
      </c>
      <c r="J430" s="26">
        <v>10</v>
      </c>
      <c r="K430" s="21" t="s">
        <v>52</v>
      </c>
      <c r="L430" s="27">
        <v>2468.98</v>
      </c>
      <c r="M430" s="21"/>
      <c r="N430" s="21"/>
      <c r="O430" s="21" t="s">
        <v>903</v>
      </c>
      <c r="P430" s="21" t="s">
        <v>54</v>
      </c>
      <c r="Q430" s="28">
        <v>46185</v>
      </c>
      <c r="R430" s="29">
        <v>46184.4768865741</v>
      </c>
      <c r="S430" s="21" t="s">
        <v>145</v>
      </c>
      <c r="T430" s="21"/>
      <c r="U430" s="21" t="s">
        <v>142</v>
      </c>
      <c r="V430" s="29">
        <v>46184.4768402778</v>
      </c>
      <c r="W430">
        <f>VLOOKUP(H430,物料編碼!A:B,2,0)</f>
        <v>1300111003</v>
      </c>
      <c r="X430">
        <v>1300111</v>
      </c>
      <c r="Y430" t="str">
        <f>VLOOKUP(X430,物料編碼!D:G,4,0)</f>
        <v>寸骨</v>
      </c>
      <c r="Z430" t="str">
        <f>VLOOKUP(C430,客戶屬性1!A:C,2,0)</f>
        <v>新昌冻肉</v>
      </c>
      <c r="AA430">
        <f>IF(COUNTIF($O$1:O430,O430)=1,L430,0)</f>
        <v>0</v>
      </c>
    </row>
    <row r="431" customHeight="1" spans="1:27">
      <c r="A431" s="21" t="s">
        <v>902</v>
      </c>
      <c r="B431" s="21" t="s">
        <v>45</v>
      </c>
      <c r="C431" s="21" t="s">
        <v>141</v>
      </c>
      <c r="D431" s="21" t="s">
        <v>142</v>
      </c>
      <c r="E431" s="21" t="s">
        <v>142</v>
      </c>
      <c r="F431" s="21" t="s">
        <v>143</v>
      </c>
      <c r="G431" s="21" t="s">
        <v>100</v>
      </c>
      <c r="H431" s="21" t="s">
        <v>60</v>
      </c>
      <c r="I431" s="26">
        <v>1</v>
      </c>
      <c r="J431" s="26">
        <v>25</v>
      </c>
      <c r="K431" s="21" t="s">
        <v>52</v>
      </c>
      <c r="L431" s="27">
        <v>2468.98</v>
      </c>
      <c r="M431" s="21"/>
      <c r="N431" s="21"/>
      <c r="O431" s="21" t="s">
        <v>903</v>
      </c>
      <c r="P431" s="21" t="s">
        <v>54</v>
      </c>
      <c r="Q431" s="28">
        <v>46185</v>
      </c>
      <c r="R431" s="29">
        <v>46184.4768865741</v>
      </c>
      <c r="S431" s="21" t="s">
        <v>145</v>
      </c>
      <c r="T431" s="21"/>
      <c r="U431" s="21" t="s">
        <v>142</v>
      </c>
      <c r="V431" s="29">
        <v>46184.4768402778</v>
      </c>
      <c r="W431">
        <f>VLOOKUP(H431,物料編碼!A:B,2,0)</f>
        <v>1300101043</v>
      </c>
      <c r="X431">
        <v>1300101</v>
      </c>
      <c r="Y431" t="str">
        <f>VLOOKUP(X431,物料編碼!D:G,4,0)</f>
        <v>一號肉</v>
      </c>
      <c r="Z431" t="str">
        <f>VLOOKUP(C431,客戶屬性1!A:C,2,0)</f>
        <v>新昌冻肉</v>
      </c>
      <c r="AA431">
        <f>IF(COUNTIF($O$1:O431,O431)=1,L431,0)</f>
        <v>0</v>
      </c>
    </row>
    <row r="432" customHeight="1" spans="1:27">
      <c r="A432" s="21" t="s">
        <v>902</v>
      </c>
      <c r="B432" s="21" t="s">
        <v>45</v>
      </c>
      <c r="C432" s="21" t="s">
        <v>141</v>
      </c>
      <c r="D432" s="21" t="s">
        <v>142</v>
      </c>
      <c r="E432" s="21" t="s">
        <v>142</v>
      </c>
      <c r="F432" s="21" t="s">
        <v>143</v>
      </c>
      <c r="G432" s="21" t="s">
        <v>100</v>
      </c>
      <c r="H432" s="21" t="s">
        <v>117</v>
      </c>
      <c r="I432" s="26">
        <v>3</v>
      </c>
      <c r="J432" s="26">
        <v>45</v>
      </c>
      <c r="K432" s="21" t="s">
        <v>52</v>
      </c>
      <c r="L432" s="27">
        <v>2468.98</v>
      </c>
      <c r="M432" s="21"/>
      <c r="N432" s="21"/>
      <c r="O432" s="21" t="s">
        <v>903</v>
      </c>
      <c r="P432" s="21" t="s">
        <v>54</v>
      </c>
      <c r="Q432" s="28">
        <v>46185</v>
      </c>
      <c r="R432" s="29">
        <v>46184.4768865741</v>
      </c>
      <c r="S432" s="21" t="s">
        <v>145</v>
      </c>
      <c r="T432" s="21"/>
      <c r="U432" s="21" t="s">
        <v>142</v>
      </c>
      <c r="V432" s="29">
        <v>46184.4768402778</v>
      </c>
      <c r="W432">
        <f>VLOOKUP(H432,物料編碼!A:B,2,0)</f>
        <v>1300607015</v>
      </c>
      <c r="X432">
        <v>1300607</v>
      </c>
      <c r="Y432" t="str">
        <f>VLOOKUP(X432,物料編碼!D:G,4,0)</f>
        <v>帶皮腿扒</v>
      </c>
      <c r="Z432" t="str">
        <f>VLOOKUP(C432,客戶屬性1!A:C,2,0)</f>
        <v>新昌冻肉</v>
      </c>
      <c r="AA432">
        <f>IF(COUNTIF($O$1:O432,O432)=1,L432,0)</f>
        <v>0</v>
      </c>
    </row>
    <row r="433" customHeight="1" spans="1:27">
      <c r="A433" s="21" t="s">
        <v>904</v>
      </c>
      <c r="B433" s="21" t="s">
        <v>45</v>
      </c>
      <c r="C433" s="21" t="s">
        <v>158</v>
      </c>
      <c r="D433" s="21" t="s">
        <v>159</v>
      </c>
      <c r="E433" s="21" t="s">
        <v>160</v>
      </c>
      <c r="F433" s="21" t="s">
        <v>49</v>
      </c>
      <c r="G433" s="21" t="s">
        <v>68</v>
      </c>
      <c r="H433" s="21" t="s">
        <v>75</v>
      </c>
      <c r="I433" s="26">
        <v>5</v>
      </c>
      <c r="J433" s="26">
        <v>75</v>
      </c>
      <c r="K433" s="21" t="s">
        <v>52</v>
      </c>
      <c r="L433" s="27">
        <v>942.75</v>
      </c>
      <c r="M433" s="21"/>
      <c r="N433" s="21"/>
      <c r="O433" s="21" t="s">
        <v>905</v>
      </c>
      <c r="P433" s="21" t="s">
        <v>54</v>
      </c>
      <c r="Q433" s="28">
        <v>46185</v>
      </c>
      <c r="R433" s="29">
        <v>46184.4116550926</v>
      </c>
      <c r="S433" s="21" t="s">
        <v>163</v>
      </c>
      <c r="T433" s="21"/>
      <c r="U433" s="21" t="s">
        <v>164</v>
      </c>
      <c r="V433" s="29">
        <v>46184.4116087963</v>
      </c>
      <c r="W433">
        <f>VLOOKUP(H433,物料編碼!A:B,2,0)</f>
        <v>1300603040</v>
      </c>
      <c r="X433">
        <v>1300603</v>
      </c>
      <c r="Y433" t="str">
        <f>VLOOKUP(X433,物料編碼!D:G,4,0)</f>
        <v>帶骨全腿</v>
      </c>
      <c r="Z433" t="str">
        <f>VLOOKUP(C433,客戶屬性1!A:C,2,0)</f>
        <v>先进食品国际有限公司</v>
      </c>
      <c r="AA433">
        <f>IF(COUNTIF($O$1:O433,O433)=1,L433,0)</f>
        <v>942.75</v>
      </c>
    </row>
    <row r="434" customHeight="1" spans="1:27">
      <c r="A434" s="21" t="s">
        <v>906</v>
      </c>
      <c r="B434" s="21" t="s">
        <v>45</v>
      </c>
      <c r="C434" s="21" t="s">
        <v>72</v>
      </c>
      <c r="D434" s="21" t="s">
        <v>73</v>
      </c>
      <c r="E434" s="21" t="s">
        <v>74</v>
      </c>
      <c r="F434" s="21" t="s">
        <v>49</v>
      </c>
      <c r="G434" s="21" t="s">
        <v>50</v>
      </c>
      <c r="H434" s="21" t="s">
        <v>117</v>
      </c>
      <c r="I434" s="26">
        <v>4</v>
      </c>
      <c r="J434" s="26">
        <v>60</v>
      </c>
      <c r="K434" s="21" t="s">
        <v>52</v>
      </c>
      <c r="L434" s="27">
        <v>886.8</v>
      </c>
      <c r="M434" s="21"/>
      <c r="N434" s="21"/>
      <c r="O434" s="21" t="s">
        <v>907</v>
      </c>
      <c r="P434" s="21" t="s">
        <v>54</v>
      </c>
      <c r="Q434" s="28">
        <v>46184</v>
      </c>
      <c r="R434" s="29">
        <v>46184.3844328704</v>
      </c>
      <c r="S434" s="21" t="s">
        <v>77</v>
      </c>
      <c r="T434" s="21"/>
      <c r="U434" s="21" t="s">
        <v>74</v>
      </c>
      <c r="V434" s="29">
        <v>46184.3843865741</v>
      </c>
      <c r="W434">
        <f>VLOOKUP(H434,物料編碼!A:B,2,0)</f>
        <v>1300607015</v>
      </c>
      <c r="X434">
        <v>1300607</v>
      </c>
      <c r="Y434" t="str">
        <f>VLOOKUP(X434,物料編碼!D:G,4,0)</f>
        <v>帶皮腿扒</v>
      </c>
      <c r="Z434" t="str">
        <f>VLOOKUP(C434,客戶屬性1!A:C,2,0)</f>
        <v>恒辉贸易公司</v>
      </c>
      <c r="AA434">
        <f>IF(COUNTIF($O$1:O434,O434)=1,L434,0)</f>
        <v>886.8</v>
      </c>
    </row>
    <row r="435" customHeight="1" spans="1:27">
      <c r="A435" s="21" t="s">
        <v>908</v>
      </c>
      <c r="B435" s="21" t="s">
        <v>45</v>
      </c>
      <c r="C435" s="21" t="s">
        <v>158</v>
      </c>
      <c r="D435" s="21" t="s">
        <v>159</v>
      </c>
      <c r="E435" s="21" t="s">
        <v>160</v>
      </c>
      <c r="F435" s="21" t="s">
        <v>49</v>
      </c>
      <c r="G435" s="21" t="s">
        <v>68</v>
      </c>
      <c r="H435" s="21" t="s">
        <v>75</v>
      </c>
      <c r="I435" s="26">
        <v>4</v>
      </c>
      <c r="J435" s="26">
        <v>60</v>
      </c>
      <c r="K435" s="21" t="s">
        <v>52</v>
      </c>
      <c r="L435" s="27">
        <v>754.2</v>
      </c>
      <c r="M435" s="21"/>
      <c r="N435" s="21"/>
      <c r="O435" s="21" t="s">
        <v>909</v>
      </c>
      <c r="P435" s="21" t="s">
        <v>54</v>
      </c>
      <c r="Q435" s="28">
        <v>46184</v>
      </c>
      <c r="R435" s="29">
        <v>46183.6930787037</v>
      </c>
      <c r="S435" s="21" t="s">
        <v>163</v>
      </c>
      <c r="T435" s="21"/>
      <c r="U435" s="21" t="s">
        <v>164</v>
      </c>
      <c r="V435" s="29">
        <v>46183.6930324074</v>
      </c>
      <c r="W435">
        <f>VLOOKUP(H435,物料編碼!A:B,2,0)</f>
        <v>1300603040</v>
      </c>
      <c r="X435">
        <v>1300603</v>
      </c>
      <c r="Y435" t="str">
        <f>VLOOKUP(X435,物料編碼!D:G,4,0)</f>
        <v>帶骨全腿</v>
      </c>
      <c r="Z435" t="str">
        <f>VLOOKUP(C435,客戶屬性1!A:C,2,0)</f>
        <v>先进食品国际有限公司</v>
      </c>
      <c r="AA435">
        <f>IF(COUNTIF($O$1:O435,O435)=1,L435,0)</f>
        <v>754.2</v>
      </c>
    </row>
    <row r="436" customHeight="1" spans="1:27">
      <c r="A436" s="21" t="s">
        <v>910</v>
      </c>
      <c r="B436" s="21" t="s">
        <v>45</v>
      </c>
      <c r="C436" s="21" t="s">
        <v>290</v>
      </c>
      <c r="D436" s="21" t="s">
        <v>291</v>
      </c>
      <c r="E436" s="21" t="s">
        <v>292</v>
      </c>
      <c r="F436" s="21" t="s">
        <v>49</v>
      </c>
      <c r="G436" s="21" t="s">
        <v>50</v>
      </c>
      <c r="H436" s="21" t="s">
        <v>121</v>
      </c>
      <c r="I436" s="26">
        <v>1</v>
      </c>
      <c r="J436" s="26">
        <v>20</v>
      </c>
      <c r="K436" s="21" t="s">
        <v>52</v>
      </c>
      <c r="L436" s="27">
        <v>490</v>
      </c>
      <c r="M436" s="21"/>
      <c r="N436" s="21"/>
      <c r="O436" s="21" t="s">
        <v>911</v>
      </c>
      <c r="P436" s="21" t="s">
        <v>54</v>
      </c>
      <c r="Q436" s="28">
        <v>46184</v>
      </c>
      <c r="R436" s="29">
        <v>46183.6090972222</v>
      </c>
      <c r="S436" s="21" t="s">
        <v>294</v>
      </c>
      <c r="T436" s="21"/>
      <c r="U436" s="21" t="s">
        <v>292</v>
      </c>
      <c r="V436" s="29">
        <v>46183.6090509259</v>
      </c>
      <c r="W436">
        <f>VLOOKUP(H436,物料編碼!A:B,2,0)</f>
        <v>1300114011</v>
      </c>
      <c r="X436">
        <v>1300114</v>
      </c>
      <c r="Y436" t="str">
        <f>VLOOKUP(X436,物料編碼!D:G,4,0)</f>
        <v>熟食</v>
      </c>
      <c r="Z436" t="str">
        <f>VLOOKUP(C436,客戶屬性1!A:C,2,0)</f>
        <v>溢利食品(香港)有限公司</v>
      </c>
      <c r="AA436">
        <f>IF(COUNTIF($O$1:O436,O436)=1,L436,0)</f>
        <v>490</v>
      </c>
    </row>
    <row r="437" customHeight="1" spans="1:27">
      <c r="A437" s="21" t="s">
        <v>912</v>
      </c>
      <c r="B437" s="21" t="s">
        <v>45</v>
      </c>
      <c r="C437" s="21" t="s">
        <v>114</v>
      </c>
      <c r="D437" s="21" t="s">
        <v>115</v>
      </c>
      <c r="E437" s="21" t="s">
        <v>116</v>
      </c>
      <c r="F437" s="21" t="s">
        <v>49</v>
      </c>
      <c r="G437" s="21" t="s">
        <v>100</v>
      </c>
      <c r="H437" s="21" t="s">
        <v>168</v>
      </c>
      <c r="I437" s="26">
        <v>1</v>
      </c>
      <c r="J437" s="26">
        <v>10</v>
      </c>
      <c r="K437" s="21" t="s">
        <v>52</v>
      </c>
      <c r="L437" s="27">
        <v>97</v>
      </c>
      <c r="M437" s="21"/>
      <c r="N437" s="21"/>
      <c r="O437" s="21" t="s">
        <v>913</v>
      </c>
      <c r="P437" s="21" t="s">
        <v>54</v>
      </c>
      <c r="Q437" s="28">
        <v>46184</v>
      </c>
      <c r="R437" s="29">
        <v>46183.5291666667</v>
      </c>
      <c r="S437" s="21" t="s">
        <v>119</v>
      </c>
      <c r="T437" s="21"/>
      <c r="U437" s="21" t="s">
        <v>115</v>
      </c>
      <c r="V437" s="29">
        <v>46183.5291203704</v>
      </c>
      <c r="W437">
        <f>VLOOKUP(H437,物料編碼!A:B,2,0)</f>
        <v>1300627002</v>
      </c>
      <c r="X437">
        <v>1300627</v>
      </c>
      <c r="Y437" t="str">
        <f>VLOOKUP(X437,物料編碼!D:G,4,0)</f>
        <v>翅尖</v>
      </c>
      <c r="Z437" t="str">
        <f>VLOOKUP(C437,客戶屬性1!A:C,2,0)</f>
        <v>骏利贸易公司</v>
      </c>
      <c r="AA437">
        <f>IF(COUNTIF($O$1:O437,O437)=1,L437,0)</f>
        <v>97</v>
      </c>
    </row>
    <row r="438" customHeight="1" spans="1:27">
      <c r="A438" s="21" t="s">
        <v>914</v>
      </c>
      <c r="B438" s="21" t="s">
        <v>45</v>
      </c>
      <c r="C438" s="21" t="s">
        <v>72</v>
      </c>
      <c r="D438" s="21" t="s">
        <v>73</v>
      </c>
      <c r="E438" s="21" t="s">
        <v>74</v>
      </c>
      <c r="F438" s="21" t="s">
        <v>49</v>
      </c>
      <c r="G438" s="21" t="s">
        <v>50</v>
      </c>
      <c r="H438" s="21" t="s">
        <v>190</v>
      </c>
      <c r="I438" s="26">
        <v>8</v>
      </c>
      <c r="J438" s="26">
        <v>96</v>
      </c>
      <c r="K438" s="21" t="s">
        <v>52</v>
      </c>
      <c r="L438" s="27">
        <v>1516.8</v>
      </c>
      <c r="M438" s="21"/>
      <c r="N438" s="21"/>
      <c r="O438" s="21" t="s">
        <v>915</v>
      </c>
      <c r="P438" s="21" t="s">
        <v>54</v>
      </c>
      <c r="Q438" s="28">
        <v>46184</v>
      </c>
      <c r="R438" s="29">
        <v>46183.4886689815</v>
      </c>
      <c r="S438" s="21" t="s">
        <v>77</v>
      </c>
      <c r="T438" s="21"/>
      <c r="U438" s="21" t="s">
        <v>74</v>
      </c>
      <c r="V438" s="29">
        <v>46183.4886226852</v>
      </c>
      <c r="W438">
        <f>VLOOKUP(H438,物料編碼!A:B,2,0)</f>
        <v>1300609001</v>
      </c>
      <c r="X438">
        <v>1300609</v>
      </c>
      <c r="Y438" t="str">
        <f>VLOOKUP(X438,物料編碼!D:G,4,0)</f>
        <v>去皮上腿肉</v>
      </c>
      <c r="Z438" t="str">
        <f>VLOOKUP(C438,客戶屬性1!A:C,2,0)</f>
        <v>恒辉贸易公司</v>
      </c>
      <c r="AA438">
        <f>IF(COUNTIF($O$1:O438,O438)=1,L438,0)</f>
        <v>1516.8</v>
      </c>
    </row>
    <row r="439" customHeight="1" spans="1:27">
      <c r="A439" s="21" t="s">
        <v>916</v>
      </c>
      <c r="B439" s="21" t="s">
        <v>45</v>
      </c>
      <c r="C439" s="21" t="s">
        <v>141</v>
      </c>
      <c r="D439" s="21" t="s">
        <v>142</v>
      </c>
      <c r="E439" s="21" t="s">
        <v>142</v>
      </c>
      <c r="F439" s="21" t="s">
        <v>143</v>
      </c>
      <c r="G439" s="21" t="s">
        <v>100</v>
      </c>
      <c r="H439" s="21" t="s">
        <v>146</v>
      </c>
      <c r="I439" s="26">
        <v>2</v>
      </c>
      <c r="J439" s="26">
        <v>30</v>
      </c>
      <c r="K439" s="21" t="s">
        <v>52</v>
      </c>
      <c r="L439" s="27">
        <v>1159.43</v>
      </c>
      <c r="M439" s="21"/>
      <c r="N439" s="21"/>
      <c r="O439" s="21" t="s">
        <v>917</v>
      </c>
      <c r="P439" s="21" t="s">
        <v>54</v>
      </c>
      <c r="Q439" s="28">
        <v>46184</v>
      </c>
      <c r="R439" s="29">
        <v>46183.4761921296</v>
      </c>
      <c r="S439" s="21" t="s">
        <v>145</v>
      </c>
      <c r="T439" s="21"/>
      <c r="U439" s="21" t="s">
        <v>142</v>
      </c>
      <c r="V439" s="29">
        <v>46183.4761458333</v>
      </c>
      <c r="W439">
        <f>VLOOKUP(H439,物料編碼!A:B,2,0)</f>
        <v>1300603041</v>
      </c>
      <c r="X439">
        <v>1300603</v>
      </c>
      <c r="Y439" t="str">
        <f>VLOOKUP(X439,物料編碼!D:G,4,0)</f>
        <v>帶骨全腿</v>
      </c>
      <c r="Z439" t="str">
        <f>VLOOKUP(C439,客戶屬性1!A:C,2,0)</f>
        <v>新昌冻肉</v>
      </c>
      <c r="AA439">
        <f>IF(COUNTIF($O$1:O439,O439)=1,L439,0)</f>
        <v>1159.43</v>
      </c>
    </row>
    <row r="440" customHeight="1" spans="1:27">
      <c r="A440" s="21" t="s">
        <v>916</v>
      </c>
      <c r="B440" s="21" t="s">
        <v>45</v>
      </c>
      <c r="C440" s="21" t="s">
        <v>141</v>
      </c>
      <c r="D440" s="21" t="s">
        <v>142</v>
      </c>
      <c r="E440" s="21" t="s">
        <v>142</v>
      </c>
      <c r="F440" s="21" t="s">
        <v>143</v>
      </c>
      <c r="G440" s="21" t="s">
        <v>100</v>
      </c>
      <c r="H440" s="21" t="s">
        <v>808</v>
      </c>
      <c r="I440" s="26">
        <v>1</v>
      </c>
      <c r="J440" s="26">
        <v>10</v>
      </c>
      <c r="K440" s="21" t="s">
        <v>52</v>
      </c>
      <c r="L440" s="27">
        <v>1159.43</v>
      </c>
      <c r="M440" s="21"/>
      <c r="N440" s="21"/>
      <c r="O440" s="21" t="s">
        <v>917</v>
      </c>
      <c r="P440" s="21" t="s">
        <v>54</v>
      </c>
      <c r="Q440" s="28">
        <v>46184</v>
      </c>
      <c r="R440" s="29">
        <v>46183.4761921296</v>
      </c>
      <c r="S440" s="21" t="s">
        <v>145</v>
      </c>
      <c r="T440" s="21"/>
      <c r="U440" s="21" t="s">
        <v>142</v>
      </c>
      <c r="V440" s="29">
        <v>46183.4761458333</v>
      </c>
      <c r="W440">
        <f>VLOOKUP(H440,物料編碼!A:B,2,0)</f>
        <v>1300613017</v>
      </c>
      <c r="X440">
        <v>1300613</v>
      </c>
      <c r="Y440" t="str">
        <f>VLOOKUP(X440,物料編碼!D:G,4,0)</f>
        <v>小胸肉</v>
      </c>
      <c r="Z440" t="str">
        <f>VLOOKUP(C440,客戶屬性1!A:C,2,0)</f>
        <v>新昌冻肉</v>
      </c>
      <c r="AA440">
        <f>IF(COUNTIF($O$1:O440,O440)=1,L440,0)</f>
        <v>0</v>
      </c>
    </row>
    <row r="441" customHeight="1" spans="1:27">
      <c r="A441" s="21" t="s">
        <v>916</v>
      </c>
      <c r="B441" s="21" t="s">
        <v>45</v>
      </c>
      <c r="C441" s="21" t="s">
        <v>141</v>
      </c>
      <c r="D441" s="21" t="s">
        <v>142</v>
      </c>
      <c r="E441" s="21" t="s">
        <v>142</v>
      </c>
      <c r="F441" s="21" t="s">
        <v>143</v>
      </c>
      <c r="G441" s="21" t="s">
        <v>100</v>
      </c>
      <c r="H441" s="21" t="s">
        <v>117</v>
      </c>
      <c r="I441" s="26">
        <v>3</v>
      </c>
      <c r="J441" s="26">
        <v>45</v>
      </c>
      <c r="K441" s="21" t="s">
        <v>52</v>
      </c>
      <c r="L441" s="27">
        <v>1159.43</v>
      </c>
      <c r="M441" s="21"/>
      <c r="N441" s="21"/>
      <c r="O441" s="21" t="s">
        <v>917</v>
      </c>
      <c r="P441" s="21" t="s">
        <v>54</v>
      </c>
      <c r="Q441" s="28">
        <v>46184</v>
      </c>
      <c r="R441" s="29">
        <v>46183.4761921296</v>
      </c>
      <c r="S441" s="21" t="s">
        <v>145</v>
      </c>
      <c r="T441" s="21"/>
      <c r="U441" s="21" t="s">
        <v>142</v>
      </c>
      <c r="V441" s="29">
        <v>46183.4761458333</v>
      </c>
      <c r="W441">
        <f>VLOOKUP(H441,物料編碼!A:B,2,0)</f>
        <v>1300607015</v>
      </c>
      <c r="X441">
        <v>1300607</v>
      </c>
      <c r="Y441" t="str">
        <f>VLOOKUP(X441,物料編碼!D:G,4,0)</f>
        <v>帶皮腿扒</v>
      </c>
      <c r="Z441" t="str">
        <f>VLOOKUP(C441,客戶屬性1!A:C,2,0)</f>
        <v>新昌冻肉</v>
      </c>
      <c r="AA441">
        <f>IF(COUNTIF($O$1:O441,O441)=1,L441,0)</f>
        <v>0</v>
      </c>
    </row>
    <row r="442" customHeight="1" spans="1:27">
      <c r="A442" s="21" t="s">
        <v>918</v>
      </c>
      <c r="B442" s="21" t="s">
        <v>45</v>
      </c>
      <c r="C442" s="21" t="s">
        <v>197</v>
      </c>
      <c r="D442" s="21" t="s">
        <v>198</v>
      </c>
      <c r="E442" s="21" t="s">
        <v>199</v>
      </c>
      <c r="F442" s="21" t="s">
        <v>49</v>
      </c>
      <c r="G442" s="21" t="s">
        <v>136</v>
      </c>
      <c r="H442" s="21" t="s">
        <v>63</v>
      </c>
      <c r="I442" s="26">
        <v>4</v>
      </c>
      <c r="J442" s="26">
        <v>100</v>
      </c>
      <c r="K442" s="21" t="s">
        <v>52</v>
      </c>
      <c r="L442" s="27">
        <v>3306.6</v>
      </c>
      <c r="M442" s="21"/>
      <c r="N442" s="21"/>
      <c r="O442" s="21" t="s">
        <v>919</v>
      </c>
      <c r="P442" s="21" t="s">
        <v>54</v>
      </c>
      <c r="Q442" s="28">
        <v>46184</v>
      </c>
      <c r="R442" s="29">
        <v>46183.4736342593</v>
      </c>
      <c r="S442" s="21" t="s">
        <v>202</v>
      </c>
      <c r="T442" s="21"/>
      <c r="U442" s="21" t="s">
        <v>203</v>
      </c>
      <c r="V442" s="29">
        <v>46183.4735763889</v>
      </c>
      <c r="W442">
        <f>VLOOKUP(H442,物料編碼!A:B,2,0)</f>
        <v>1300109002</v>
      </c>
      <c r="X442">
        <v>1300109</v>
      </c>
      <c r="Y442" t="str">
        <f>VLOOKUP(X442,物料編碼!D:G,4,0)</f>
        <v>面精肉</v>
      </c>
      <c r="Z442" t="str">
        <f>VLOOKUP(C442,客戶屬性1!A:C,2,0)</f>
        <v>信隆(亚洲)有限公司</v>
      </c>
      <c r="AA442">
        <f>IF(COUNTIF($O$1:O442,O442)=1,L442,0)</f>
        <v>3306.6</v>
      </c>
    </row>
    <row r="443" customHeight="1" spans="1:27">
      <c r="A443" s="21" t="s">
        <v>920</v>
      </c>
      <c r="B443" s="21" t="s">
        <v>45</v>
      </c>
      <c r="C443" s="21" t="s">
        <v>538</v>
      </c>
      <c r="D443" s="21" t="s">
        <v>539</v>
      </c>
      <c r="E443" s="21" t="s">
        <v>540</v>
      </c>
      <c r="F443" s="21" t="s">
        <v>49</v>
      </c>
      <c r="G443" s="21" t="s">
        <v>541</v>
      </c>
      <c r="H443" s="21" t="s">
        <v>75</v>
      </c>
      <c r="I443" s="26">
        <v>3</v>
      </c>
      <c r="J443" s="26">
        <v>45</v>
      </c>
      <c r="K443" s="21" t="s">
        <v>52</v>
      </c>
      <c r="L443" s="27">
        <v>565.65</v>
      </c>
      <c r="M443" s="21"/>
      <c r="N443" s="21"/>
      <c r="O443" s="21" t="s">
        <v>921</v>
      </c>
      <c r="P443" s="21" t="s">
        <v>54</v>
      </c>
      <c r="Q443" s="28">
        <v>46183</v>
      </c>
      <c r="R443" s="29">
        <v>46183.4649305556</v>
      </c>
      <c r="S443" s="21" t="s">
        <v>543</v>
      </c>
      <c r="T443" s="21"/>
      <c r="U443" s="21" t="s">
        <v>539</v>
      </c>
      <c r="V443" s="29">
        <v>46183.4648842593</v>
      </c>
      <c r="W443">
        <f>VLOOKUP(H443,物料編碼!A:B,2,0)</f>
        <v>1300603040</v>
      </c>
      <c r="X443">
        <v>1300603</v>
      </c>
      <c r="Y443" t="str">
        <f>VLOOKUP(X443,物料編碼!D:G,4,0)</f>
        <v>帶骨全腿</v>
      </c>
      <c r="Z443" t="str">
        <f>VLOOKUP(C443,客戶屬性1!A:C,2,0)</f>
        <v>诚信冻肉有限公司</v>
      </c>
      <c r="AA443">
        <f>IF(COUNTIF($O$1:O443,O443)=1,L443,0)</f>
        <v>565.65</v>
      </c>
    </row>
    <row r="444" customHeight="1" spans="1:27">
      <c r="A444" s="21" t="s">
        <v>922</v>
      </c>
      <c r="B444" s="21" t="s">
        <v>45</v>
      </c>
      <c r="C444" s="21" t="s">
        <v>158</v>
      </c>
      <c r="D444" s="21" t="s">
        <v>159</v>
      </c>
      <c r="E444" s="21" t="s">
        <v>160</v>
      </c>
      <c r="F444" s="21" t="s">
        <v>49</v>
      </c>
      <c r="G444" s="21" t="s">
        <v>68</v>
      </c>
      <c r="H444" s="21" t="s">
        <v>283</v>
      </c>
      <c r="I444" s="26">
        <v>2</v>
      </c>
      <c r="J444" s="26">
        <v>50</v>
      </c>
      <c r="K444" s="21" t="s">
        <v>52</v>
      </c>
      <c r="L444" s="27">
        <v>990</v>
      </c>
      <c r="M444" s="21"/>
      <c r="N444" s="21"/>
      <c r="O444" s="21" t="s">
        <v>923</v>
      </c>
      <c r="P444" s="21" t="s">
        <v>54</v>
      </c>
      <c r="Q444" s="28">
        <v>46184</v>
      </c>
      <c r="R444" s="29">
        <v>46183.4248263889</v>
      </c>
      <c r="S444" s="21" t="s">
        <v>163</v>
      </c>
      <c r="T444" s="21"/>
      <c r="U444" s="21" t="s">
        <v>164</v>
      </c>
      <c r="V444" s="29">
        <v>46183.4247685185</v>
      </c>
      <c r="W444">
        <f>VLOOKUP(H444,物料編碼!A:B,2,0)</f>
        <v>1300104005</v>
      </c>
      <c r="X444">
        <v>1300104</v>
      </c>
      <c r="Y444" t="str">
        <f>VLOOKUP(X444,物料編碼!D:G,4,0)</f>
        <v>四號肉</v>
      </c>
      <c r="Z444" t="str">
        <f>VLOOKUP(C444,客戶屬性1!A:C,2,0)</f>
        <v>先进食品国际有限公司</v>
      </c>
      <c r="AA444">
        <f>IF(COUNTIF($O$1:O444,O444)=1,L444,0)</f>
        <v>990</v>
      </c>
    </row>
    <row r="445" customHeight="1" spans="1:27">
      <c r="A445" s="21" t="s">
        <v>924</v>
      </c>
      <c r="B445" s="21" t="s">
        <v>45</v>
      </c>
      <c r="C445" s="21" t="s">
        <v>72</v>
      </c>
      <c r="D445" s="21" t="s">
        <v>73</v>
      </c>
      <c r="E445" s="21" t="s">
        <v>74</v>
      </c>
      <c r="F445" s="21" t="s">
        <v>49</v>
      </c>
      <c r="G445" s="21" t="s">
        <v>50</v>
      </c>
      <c r="H445" s="21" t="s">
        <v>190</v>
      </c>
      <c r="I445" s="26">
        <v>10</v>
      </c>
      <c r="J445" s="26">
        <v>120</v>
      </c>
      <c r="K445" s="21" t="s">
        <v>52</v>
      </c>
      <c r="L445" s="27">
        <v>1896</v>
      </c>
      <c r="M445" s="21"/>
      <c r="N445" s="21"/>
      <c r="O445" s="21" t="s">
        <v>925</v>
      </c>
      <c r="P445" s="21" t="s">
        <v>54</v>
      </c>
      <c r="Q445" s="28">
        <v>46183</v>
      </c>
      <c r="R445" s="29">
        <v>46182.4795717593</v>
      </c>
      <c r="S445" s="21" t="s">
        <v>77</v>
      </c>
      <c r="T445" s="21"/>
      <c r="U445" s="21" t="s">
        <v>74</v>
      </c>
      <c r="V445" s="29">
        <v>46182.479525463</v>
      </c>
      <c r="W445">
        <f>VLOOKUP(H445,物料編碼!A:B,2,0)</f>
        <v>1300609001</v>
      </c>
      <c r="X445">
        <v>1300609</v>
      </c>
      <c r="Y445" t="str">
        <f>VLOOKUP(X445,物料編碼!D:G,4,0)</f>
        <v>去皮上腿肉</v>
      </c>
      <c r="Z445" t="str">
        <f>VLOOKUP(C445,客戶屬性1!A:C,2,0)</f>
        <v>恒辉贸易公司</v>
      </c>
      <c r="AA445">
        <f>IF(COUNTIF($O$1:O445,O445)=1,L445,0)</f>
        <v>1896</v>
      </c>
    </row>
    <row r="446" customHeight="1" spans="1:27">
      <c r="A446" s="21" t="s">
        <v>926</v>
      </c>
      <c r="B446" s="21" t="s">
        <v>45</v>
      </c>
      <c r="C446" s="21" t="s">
        <v>141</v>
      </c>
      <c r="D446" s="21" t="s">
        <v>142</v>
      </c>
      <c r="E446" s="21" t="s">
        <v>142</v>
      </c>
      <c r="F446" s="21" t="s">
        <v>143</v>
      </c>
      <c r="G446" s="21" t="s">
        <v>100</v>
      </c>
      <c r="H446" s="21" t="s">
        <v>60</v>
      </c>
      <c r="I446" s="26">
        <v>1</v>
      </c>
      <c r="J446" s="26">
        <v>25</v>
      </c>
      <c r="K446" s="21" t="s">
        <v>52</v>
      </c>
      <c r="L446" s="27">
        <v>1973.98</v>
      </c>
      <c r="M446" s="21"/>
      <c r="N446" s="21"/>
      <c r="O446" s="21" t="s">
        <v>927</v>
      </c>
      <c r="P446" s="21" t="s">
        <v>54</v>
      </c>
      <c r="Q446" s="28">
        <v>46183</v>
      </c>
      <c r="R446" s="29">
        <v>46182.4684143519</v>
      </c>
      <c r="S446" s="21" t="s">
        <v>145</v>
      </c>
      <c r="T446" s="21"/>
      <c r="U446" s="21" t="s">
        <v>142</v>
      </c>
      <c r="V446" s="29">
        <v>46182.4683680556</v>
      </c>
      <c r="W446">
        <f>VLOOKUP(H446,物料編碼!A:B,2,0)</f>
        <v>1300101043</v>
      </c>
      <c r="X446">
        <v>1300101</v>
      </c>
      <c r="Y446" t="str">
        <f>VLOOKUP(X446,物料編碼!D:G,4,0)</f>
        <v>一號肉</v>
      </c>
      <c r="Z446" t="str">
        <f>VLOOKUP(C446,客戶屬性1!A:C,2,0)</f>
        <v>新昌冻肉</v>
      </c>
      <c r="AA446">
        <f>IF(COUNTIF($O$1:O446,O446)=1,L446,0)</f>
        <v>1973.98</v>
      </c>
    </row>
    <row r="447" customHeight="1" spans="1:27">
      <c r="A447" s="21" t="s">
        <v>926</v>
      </c>
      <c r="B447" s="21" t="s">
        <v>45</v>
      </c>
      <c r="C447" s="21" t="s">
        <v>141</v>
      </c>
      <c r="D447" s="21" t="s">
        <v>142</v>
      </c>
      <c r="E447" s="21" t="s">
        <v>142</v>
      </c>
      <c r="F447" s="21" t="s">
        <v>143</v>
      </c>
      <c r="G447" s="21" t="s">
        <v>100</v>
      </c>
      <c r="H447" s="21" t="s">
        <v>146</v>
      </c>
      <c r="I447" s="26">
        <v>2</v>
      </c>
      <c r="J447" s="26">
        <v>30</v>
      </c>
      <c r="K447" s="21" t="s">
        <v>52</v>
      </c>
      <c r="L447" s="27">
        <v>1973.98</v>
      </c>
      <c r="M447" s="21"/>
      <c r="N447" s="21"/>
      <c r="O447" s="21" t="s">
        <v>927</v>
      </c>
      <c r="P447" s="21" t="s">
        <v>54</v>
      </c>
      <c r="Q447" s="28">
        <v>46183</v>
      </c>
      <c r="R447" s="29">
        <v>46182.4684143519</v>
      </c>
      <c r="S447" s="21" t="s">
        <v>145</v>
      </c>
      <c r="T447" s="21"/>
      <c r="U447" s="21" t="s">
        <v>142</v>
      </c>
      <c r="V447" s="29">
        <v>46182.4683680556</v>
      </c>
      <c r="W447">
        <f>VLOOKUP(H447,物料編碼!A:B,2,0)</f>
        <v>1300603041</v>
      </c>
      <c r="X447">
        <v>1300603</v>
      </c>
      <c r="Y447" t="str">
        <f>VLOOKUP(X447,物料編碼!D:G,4,0)</f>
        <v>帶骨全腿</v>
      </c>
      <c r="Z447" t="str">
        <f>VLOOKUP(C447,客戶屬性1!A:C,2,0)</f>
        <v>新昌冻肉</v>
      </c>
      <c r="AA447">
        <f>IF(COUNTIF($O$1:O447,O447)=1,L447,0)</f>
        <v>0</v>
      </c>
    </row>
    <row r="448" customHeight="1" spans="1:27">
      <c r="A448" s="21" t="s">
        <v>926</v>
      </c>
      <c r="B448" s="21" t="s">
        <v>45</v>
      </c>
      <c r="C448" s="21" t="s">
        <v>141</v>
      </c>
      <c r="D448" s="21" t="s">
        <v>142</v>
      </c>
      <c r="E448" s="21" t="s">
        <v>142</v>
      </c>
      <c r="F448" s="21" t="s">
        <v>143</v>
      </c>
      <c r="G448" s="21" t="s">
        <v>100</v>
      </c>
      <c r="H448" s="21" t="s">
        <v>117</v>
      </c>
      <c r="I448" s="26">
        <v>3</v>
      </c>
      <c r="J448" s="26">
        <v>45</v>
      </c>
      <c r="K448" s="21" t="s">
        <v>52</v>
      </c>
      <c r="L448" s="27">
        <v>1973.98</v>
      </c>
      <c r="M448" s="21"/>
      <c r="N448" s="21"/>
      <c r="O448" s="21" t="s">
        <v>927</v>
      </c>
      <c r="P448" s="21" t="s">
        <v>54</v>
      </c>
      <c r="Q448" s="28">
        <v>46183</v>
      </c>
      <c r="R448" s="29">
        <v>46182.4684143519</v>
      </c>
      <c r="S448" s="21" t="s">
        <v>145</v>
      </c>
      <c r="T448" s="21"/>
      <c r="U448" s="21" t="s">
        <v>142</v>
      </c>
      <c r="V448" s="29">
        <v>46182.4683680556</v>
      </c>
      <c r="W448">
        <f>VLOOKUP(H448,物料編碼!A:B,2,0)</f>
        <v>1300607015</v>
      </c>
      <c r="X448">
        <v>1300607</v>
      </c>
      <c r="Y448" t="str">
        <f>VLOOKUP(X448,物料編碼!D:G,4,0)</f>
        <v>帶皮腿扒</v>
      </c>
      <c r="Z448" t="str">
        <f>VLOOKUP(C448,客戶屬性1!A:C,2,0)</f>
        <v>新昌冻肉</v>
      </c>
      <c r="AA448">
        <f>IF(COUNTIF($O$1:O448,O448)=1,L448,0)</f>
        <v>0</v>
      </c>
    </row>
    <row r="449" customHeight="1" spans="1:27">
      <c r="A449" s="21" t="s">
        <v>928</v>
      </c>
      <c r="B449" s="21" t="s">
        <v>45</v>
      </c>
      <c r="C449" s="21" t="s">
        <v>235</v>
      </c>
      <c r="D449" s="21" t="s">
        <v>236</v>
      </c>
      <c r="E449" s="21" t="s">
        <v>237</v>
      </c>
      <c r="F449" s="21" t="s">
        <v>49</v>
      </c>
      <c r="G449" s="21" t="s">
        <v>238</v>
      </c>
      <c r="H449" s="21" t="s">
        <v>677</v>
      </c>
      <c r="I449" s="26">
        <v>5</v>
      </c>
      <c r="J449" s="26">
        <v>75</v>
      </c>
      <c r="K449" s="21" t="s">
        <v>52</v>
      </c>
      <c r="L449" s="27">
        <v>1178.35</v>
      </c>
      <c r="M449" s="21"/>
      <c r="N449" s="21"/>
      <c r="O449" s="21" t="s">
        <v>929</v>
      </c>
      <c r="P449" s="21" t="s">
        <v>54</v>
      </c>
      <c r="Q449" s="28">
        <v>46182</v>
      </c>
      <c r="R449" s="29">
        <v>46182.4514930556</v>
      </c>
      <c r="S449" s="21" t="s">
        <v>241</v>
      </c>
      <c r="T449" s="21"/>
      <c r="U449" s="21" t="s">
        <v>237</v>
      </c>
      <c r="V449" s="29">
        <v>46182.4514467593</v>
      </c>
      <c r="W449">
        <f>VLOOKUP(H449,物料編碼!A:B,2,0)</f>
        <v>1300603095</v>
      </c>
      <c r="X449">
        <v>1300603</v>
      </c>
      <c r="Y449" t="str">
        <f>VLOOKUP(X449,物料編碼!D:G,4,0)</f>
        <v>帶骨全腿</v>
      </c>
      <c r="Z449" t="str">
        <f>VLOOKUP(C449,客戶屬性1!A:C,2,0)</f>
        <v>联合林记食品有限公司</v>
      </c>
      <c r="AA449">
        <f>IF(COUNTIF($O$1:O449,O449)=1,L449,0)</f>
        <v>1178.35</v>
      </c>
    </row>
    <row r="450" customHeight="1" spans="1:27">
      <c r="A450" s="21" t="s">
        <v>930</v>
      </c>
      <c r="B450" s="21" t="s">
        <v>45</v>
      </c>
      <c r="C450" s="21" t="s">
        <v>383</v>
      </c>
      <c r="D450" s="21" t="s">
        <v>384</v>
      </c>
      <c r="E450" s="21" t="s">
        <v>385</v>
      </c>
      <c r="F450" s="21" t="s">
        <v>49</v>
      </c>
      <c r="G450" s="21" t="s">
        <v>50</v>
      </c>
      <c r="H450" s="21" t="s">
        <v>63</v>
      </c>
      <c r="I450" s="26">
        <v>2</v>
      </c>
      <c r="J450" s="26">
        <v>50</v>
      </c>
      <c r="K450" s="21" t="s">
        <v>52</v>
      </c>
      <c r="L450" s="27">
        <v>1653.3</v>
      </c>
      <c r="M450" s="21"/>
      <c r="N450" s="21"/>
      <c r="O450" s="21" t="s">
        <v>931</v>
      </c>
      <c r="P450" s="21" t="s">
        <v>54</v>
      </c>
      <c r="Q450" s="28">
        <v>46182</v>
      </c>
      <c r="R450" s="29">
        <v>46182.4480555556</v>
      </c>
      <c r="S450" s="21" t="s">
        <v>387</v>
      </c>
      <c r="T450" s="21"/>
      <c r="U450" s="21" t="s">
        <v>384</v>
      </c>
      <c r="V450" s="29">
        <v>46182.4479976852</v>
      </c>
      <c r="W450">
        <f>VLOOKUP(H450,物料編碼!A:B,2,0)</f>
        <v>1300109002</v>
      </c>
      <c r="X450">
        <v>1300109</v>
      </c>
      <c r="Y450" t="str">
        <f>VLOOKUP(X450,物料編碼!D:G,4,0)</f>
        <v>面精肉</v>
      </c>
      <c r="Z450" t="str">
        <f>VLOOKUP(C450,客戶屬性1!A:C,2,0)</f>
        <v>新协兴冻肉食品公司</v>
      </c>
      <c r="AA450">
        <f>IF(COUNTIF($O$1:O450,O450)=1,L450,0)</f>
        <v>1653.3</v>
      </c>
    </row>
    <row r="451" customHeight="1" spans="1:27">
      <c r="A451" s="21" t="s">
        <v>932</v>
      </c>
      <c r="B451" s="21" t="s">
        <v>45</v>
      </c>
      <c r="C451" s="21" t="s">
        <v>46</v>
      </c>
      <c r="D451" s="21" t="s">
        <v>47</v>
      </c>
      <c r="E451" s="21" t="s">
        <v>48</v>
      </c>
      <c r="F451" s="21" t="s">
        <v>49</v>
      </c>
      <c r="G451" s="21" t="s">
        <v>50</v>
      </c>
      <c r="H451" s="21" t="s">
        <v>168</v>
      </c>
      <c r="I451" s="26">
        <v>1</v>
      </c>
      <c r="J451" s="26">
        <v>10</v>
      </c>
      <c r="K451" s="21" t="s">
        <v>52</v>
      </c>
      <c r="L451" s="27">
        <v>97</v>
      </c>
      <c r="M451" s="21"/>
      <c r="N451" s="21"/>
      <c r="O451" s="21" t="s">
        <v>933</v>
      </c>
      <c r="P451" s="21" t="s">
        <v>54</v>
      </c>
      <c r="Q451" s="28">
        <v>46182</v>
      </c>
      <c r="R451" s="29">
        <v>46182.4190740741</v>
      </c>
      <c r="S451" s="21" t="s">
        <v>55</v>
      </c>
      <c r="T451" s="21"/>
      <c r="U451" s="21" t="s">
        <v>47</v>
      </c>
      <c r="V451" s="29">
        <v>46182.4190046296</v>
      </c>
      <c r="W451">
        <f>VLOOKUP(H451,物料編碼!A:B,2,0)</f>
        <v>1300627002</v>
      </c>
      <c r="X451">
        <v>1300627</v>
      </c>
      <c r="Y451" t="str">
        <f>VLOOKUP(X451,物料編碼!D:G,4,0)</f>
        <v>翅尖</v>
      </c>
      <c r="Z451" t="str">
        <f>VLOOKUP(C451,客戶屬性1!A:C,2,0)</f>
        <v>明记冻肉</v>
      </c>
      <c r="AA451">
        <f>IF(COUNTIF($O$1:O451,O451)=1,L451,0)</f>
        <v>97</v>
      </c>
    </row>
    <row r="452" customHeight="1" spans="1:27">
      <c r="A452" s="21" t="s">
        <v>934</v>
      </c>
      <c r="B452" s="21" t="s">
        <v>45</v>
      </c>
      <c r="C452" s="21" t="s">
        <v>72</v>
      </c>
      <c r="D452" s="21" t="s">
        <v>73</v>
      </c>
      <c r="E452" s="21" t="s">
        <v>74</v>
      </c>
      <c r="F452" s="21" t="s">
        <v>49</v>
      </c>
      <c r="G452" s="21" t="s">
        <v>50</v>
      </c>
      <c r="H452" s="21" t="s">
        <v>393</v>
      </c>
      <c r="I452" s="26">
        <v>1</v>
      </c>
      <c r="J452" s="26">
        <v>15</v>
      </c>
      <c r="K452" s="21" t="s">
        <v>52</v>
      </c>
      <c r="L452" s="27">
        <v>221.7</v>
      </c>
      <c r="M452" s="21"/>
      <c r="N452" s="21"/>
      <c r="O452" s="21" t="s">
        <v>935</v>
      </c>
      <c r="P452" s="21" t="s">
        <v>54</v>
      </c>
      <c r="Q452" s="28">
        <v>46182</v>
      </c>
      <c r="R452" s="29">
        <v>46182.4177893518</v>
      </c>
      <c r="S452" s="21" t="s">
        <v>288</v>
      </c>
      <c r="T452" s="21"/>
      <c r="U452" s="21" t="s">
        <v>82</v>
      </c>
      <c r="V452" s="29">
        <v>46182.4177430556</v>
      </c>
      <c r="W452">
        <f>VLOOKUP(H452,物料編碼!A:B,2,0)</f>
        <v>1300607016</v>
      </c>
      <c r="X452">
        <v>1300607</v>
      </c>
      <c r="Y452" t="str">
        <f>VLOOKUP(X452,物料編碼!D:G,4,0)</f>
        <v>帶皮腿扒</v>
      </c>
      <c r="Z452" t="str">
        <f>VLOOKUP(C452,客戶屬性1!A:C,2,0)</f>
        <v>恒辉贸易公司</v>
      </c>
      <c r="AA452">
        <f>IF(COUNTIF($O$1:O452,O452)=1,L452,0)</f>
        <v>221.7</v>
      </c>
    </row>
    <row r="453" customHeight="1" spans="1:27">
      <c r="A453" s="21" t="s">
        <v>936</v>
      </c>
      <c r="B453" s="21" t="s">
        <v>45</v>
      </c>
      <c r="C453" s="21" t="s">
        <v>72</v>
      </c>
      <c r="D453" s="21" t="s">
        <v>73</v>
      </c>
      <c r="E453" s="21" t="s">
        <v>74</v>
      </c>
      <c r="F453" s="21" t="s">
        <v>49</v>
      </c>
      <c r="G453" s="21" t="s">
        <v>50</v>
      </c>
      <c r="H453" s="21" t="s">
        <v>117</v>
      </c>
      <c r="I453" s="26">
        <v>2</v>
      </c>
      <c r="J453" s="26">
        <v>30</v>
      </c>
      <c r="K453" s="21" t="s">
        <v>52</v>
      </c>
      <c r="L453" s="27">
        <v>443.4</v>
      </c>
      <c r="M453" s="21"/>
      <c r="N453" s="21"/>
      <c r="O453" s="21" t="s">
        <v>937</v>
      </c>
      <c r="P453" s="21" t="s">
        <v>54</v>
      </c>
      <c r="Q453" s="28">
        <v>46182</v>
      </c>
      <c r="R453" s="29">
        <v>46182.3899074074</v>
      </c>
      <c r="S453" s="21" t="s">
        <v>77</v>
      </c>
      <c r="T453" s="21"/>
      <c r="U453" s="21" t="s">
        <v>74</v>
      </c>
      <c r="V453" s="29">
        <v>46182.3898611111</v>
      </c>
      <c r="W453">
        <f>VLOOKUP(H453,物料編碼!A:B,2,0)</f>
        <v>1300607015</v>
      </c>
      <c r="X453">
        <v>1300607</v>
      </c>
      <c r="Y453" t="str">
        <f>VLOOKUP(X453,物料編碼!D:G,4,0)</f>
        <v>帶皮腿扒</v>
      </c>
      <c r="Z453" t="str">
        <f>VLOOKUP(C453,客戶屬性1!A:C,2,0)</f>
        <v>恒辉贸易公司</v>
      </c>
      <c r="AA453">
        <f>IF(COUNTIF($O$1:O453,O453)=1,L453,0)</f>
        <v>443.4</v>
      </c>
    </row>
    <row r="454" customHeight="1" spans="1:27">
      <c r="A454" s="21" t="s">
        <v>938</v>
      </c>
      <c r="B454" s="21" t="s">
        <v>45</v>
      </c>
      <c r="C454" s="21" t="s">
        <v>390</v>
      </c>
      <c r="D454" s="21" t="s">
        <v>391</v>
      </c>
      <c r="E454" s="21" t="s">
        <v>392</v>
      </c>
      <c r="F454" s="21" t="s">
        <v>49</v>
      </c>
      <c r="G454" s="21" t="s">
        <v>89</v>
      </c>
      <c r="H454" s="21" t="s">
        <v>393</v>
      </c>
      <c r="I454" s="26">
        <v>30</v>
      </c>
      <c r="J454" s="26">
        <v>450</v>
      </c>
      <c r="K454" s="21" t="s">
        <v>52</v>
      </c>
      <c r="L454" s="27">
        <v>6651</v>
      </c>
      <c r="M454" s="21"/>
      <c r="N454" s="21"/>
      <c r="O454" s="21" t="s">
        <v>939</v>
      </c>
      <c r="P454" s="21" t="s">
        <v>54</v>
      </c>
      <c r="Q454" s="28">
        <v>46184</v>
      </c>
      <c r="R454" s="29">
        <v>46182.3852662037</v>
      </c>
      <c r="S454" s="21" t="s">
        <v>395</v>
      </c>
      <c r="T454" s="21"/>
      <c r="U454" s="21" t="s">
        <v>392</v>
      </c>
      <c r="V454" s="29">
        <v>46182.3852199074</v>
      </c>
      <c r="W454">
        <f>VLOOKUP(H454,物料編碼!A:B,2,0)</f>
        <v>1300607016</v>
      </c>
      <c r="X454">
        <v>1300607</v>
      </c>
      <c r="Y454" t="str">
        <f>VLOOKUP(X454,物料編碼!D:G,4,0)</f>
        <v>帶皮腿扒</v>
      </c>
      <c r="Z454" t="str">
        <f>VLOOKUP(C454,客戶屬性1!A:C,2,0)</f>
        <v>美亚食品贸易有限公司</v>
      </c>
      <c r="AA454">
        <f>IF(COUNTIF($O$1:O454,O454)=1,L454,0)</f>
        <v>6651</v>
      </c>
    </row>
    <row r="455" customHeight="1" spans="1:27">
      <c r="A455" s="21" t="s">
        <v>940</v>
      </c>
      <c r="B455" s="21" t="s">
        <v>45</v>
      </c>
      <c r="C455" s="21" t="s">
        <v>72</v>
      </c>
      <c r="D455" s="21" t="s">
        <v>73</v>
      </c>
      <c r="E455" s="21" t="s">
        <v>74</v>
      </c>
      <c r="F455" s="21" t="s">
        <v>49</v>
      </c>
      <c r="G455" s="21" t="s">
        <v>50</v>
      </c>
      <c r="H455" s="21" t="s">
        <v>117</v>
      </c>
      <c r="I455" s="26">
        <v>1</v>
      </c>
      <c r="J455" s="26">
        <v>15</v>
      </c>
      <c r="K455" s="21" t="s">
        <v>52</v>
      </c>
      <c r="L455" s="27">
        <v>221.7</v>
      </c>
      <c r="M455" s="21"/>
      <c r="N455" s="21"/>
      <c r="O455" s="21" t="s">
        <v>941</v>
      </c>
      <c r="P455" s="21" t="s">
        <v>54</v>
      </c>
      <c r="Q455" s="28">
        <v>46182</v>
      </c>
      <c r="R455" s="29">
        <v>46181.6596759259</v>
      </c>
      <c r="S455" s="21" t="s">
        <v>81</v>
      </c>
      <c r="T455" s="21"/>
      <c r="U455" s="21" t="s">
        <v>82</v>
      </c>
      <c r="V455" s="29">
        <v>46181.6596412037</v>
      </c>
      <c r="W455">
        <f>VLOOKUP(H455,物料編碼!A:B,2,0)</f>
        <v>1300607015</v>
      </c>
      <c r="X455">
        <v>1300607</v>
      </c>
      <c r="Y455" t="str">
        <f>VLOOKUP(X455,物料編碼!D:G,4,0)</f>
        <v>帶皮腿扒</v>
      </c>
      <c r="Z455" t="str">
        <f>VLOOKUP(C455,客戶屬性1!A:C,2,0)</f>
        <v>恒辉贸易公司</v>
      </c>
      <c r="AA455">
        <f>IF(COUNTIF($O$1:O455,O455)=1,L455,0)</f>
        <v>221.7</v>
      </c>
    </row>
    <row r="456" customHeight="1" spans="1:27">
      <c r="A456" s="21" t="s">
        <v>942</v>
      </c>
      <c r="B456" s="21" t="s">
        <v>45</v>
      </c>
      <c r="C456" s="21" t="s">
        <v>72</v>
      </c>
      <c r="D456" s="21" t="s">
        <v>73</v>
      </c>
      <c r="E456" s="21" t="s">
        <v>74</v>
      </c>
      <c r="F456" s="21" t="s">
        <v>49</v>
      </c>
      <c r="G456" s="21" t="s">
        <v>50</v>
      </c>
      <c r="H456" s="21" t="s">
        <v>890</v>
      </c>
      <c r="I456" s="26">
        <v>2</v>
      </c>
      <c r="J456" s="26">
        <v>30</v>
      </c>
      <c r="K456" s="21" t="s">
        <v>52</v>
      </c>
      <c r="L456" s="27">
        <v>423.3</v>
      </c>
      <c r="M456" s="21"/>
      <c r="N456" s="21"/>
      <c r="O456" s="21" t="s">
        <v>943</v>
      </c>
      <c r="P456" s="21" t="s">
        <v>54</v>
      </c>
      <c r="Q456" s="28">
        <v>46182</v>
      </c>
      <c r="R456" s="29">
        <v>46181.6347106481</v>
      </c>
      <c r="S456" s="21" t="s">
        <v>81</v>
      </c>
      <c r="T456" s="21"/>
      <c r="U456" s="21" t="s">
        <v>82</v>
      </c>
      <c r="V456" s="29">
        <v>46181.6346643519</v>
      </c>
      <c r="W456">
        <f>VLOOKUP(H456,物料編碼!A:B,2,0)</f>
        <v>1300603106</v>
      </c>
      <c r="X456">
        <v>1300603</v>
      </c>
      <c r="Y456" t="str">
        <f>VLOOKUP(X456,物料編碼!D:G,4,0)</f>
        <v>帶骨全腿</v>
      </c>
      <c r="Z456" t="str">
        <f>VLOOKUP(C456,客戶屬性1!A:C,2,0)</f>
        <v>恒辉贸易公司</v>
      </c>
      <c r="AA456">
        <f>IF(COUNTIF($O$1:O456,O456)=1,L456,0)</f>
        <v>423.3</v>
      </c>
    </row>
    <row r="457" customHeight="1" spans="1:27">
      <c r="A457" s="21" t="s">
        <v>944</v>
      </c>
      <c r="B457" s="21" t="s">
        <v>45</v>
      </c>
      <c r="C457" s="21" t="s">
        <v>72</v>
      </c>
      <c r="D457" s="21" t="s">
        <v>73</v>
      </c>
      <c r="E457" s="21" t="s">
        <v>74</v>
      </c>
      <c r="F457" s="21" t="s">
        <v>49</v>
      </c>
      <c r="G457" s="21" t="s">
        <v>50</v>
      </c>
      <c r="H457" s="21" t="s">
        <v>298</v>
      </c>
      <c r="I457" s="26">
        <v>1</v>
      </c>
      <c r="J457" s="26">
        <v>10</v>
      </c>
      <c r="K457" s="21" t="s">
        <v>52</v>
      </c>
      <c r="L457" s="27">
        <v>520</v>
      </c>
      <c r="M457" s="21"/>
      <c r="N457" s="21"/>
      <c r="O457" s="21" t="s">
        <v>945</v>
      </c>
      <c r="P457" s="21" t="s">
        <v>54</v>
      </c>
      <c r="Q457" s="28">
        <v>46182</v>
      </c>
      <c r="R457" s="29">
        <v>46181.6271412037</v>
      </c>
      <c r="S457" s="21" t="s">
        <v>77</v>
      </c>
      <c r="T457" s="21"/>
      <c r="U457" s="21" t="s">
        <v>74</v>
      </c>
      <c r="V457" s="29">
        <v>46181.6271064815</v>
      </c>
      <c r="W457">
        <f>VLOOKUP(H457,物料編碼!A:B,2,0)</f>
        <v>1300111003</v>
      </c>
      <c r="X457">
        <v>1300111</v>
      </c>
      <c r="Y457" t="str">
        <f>VLOOKUP(X457,物料編碼!D:G,4,0)</f>
        <v>寸骨</v>
      </c>
      <c r="Z457" t="str">
        <f>VLOOKUP(C457,客戶屬性1!A:C,2,0)</f>
        <v>恒辉贸易公司</v>
      </c>
      <c r="AA457">
        <f>IF(COUNTIF($O$1:O457,O457)=1,L457,0)</f>
        <v>520</v>
      </c>
    </row>
    <row r="458" customHeight="1" spans="1:27">
      <c r="A458" s="21" t="s">
        <v>946</v>
      </c>
      <c r="B458" s="21" t="s">
        <v>45</v>
      </c>
      <c r="C458" s="21" t="s">
        <v>141</v>
      </c>
      <c r="D458" s="21" t="s">
        <v>142</v>
      </c>
      <c r="E458" s="21" t="s">
        <v>142</v>
      </c>
      <c r="F458" s="21" t="s">
        <v>143</v>
      </c>
      <c r="G458" s="21" t="s">
        <v>100</v>
      </c>
      <c r="H458" s="21" t="s">
        <v>146</v>
      </c>
      <c r="I458" s="26">
        <v>2</v>
      </c>
      <c r="J458" s="26">
        <v>30</v>
      </c>
      <c r="K458" s="21" t="s">
        <v>52</v>
      </c>
      <c r="L458" s="27">
        <v>2379.88</v>
      </c>
      <c r="M458" s="21"/>
      <c r="N458" s="21"/>
      <c r="O458" s="21" t="s">
        <v>947</v>
      </c>
      <c r="P458" s="21" t="s">
        <v>54</v>
      </c>
      <c r="Q458" s="28">
        <v>46182</v>
      </c>
      <c r="R458" s="29">
        <v>46181.5797800926</v>
      </c>
      <c r="S458" s="21" t="s">
        <v>145</v>
      </c>
      <c r="T458" s="21"/>
      <c r="U458" s="21" t="s">
        <v>142</v>
      </c>
      <c r="V458" s="29">
        <v>46181.5797337963</v>
      </c>
      <c r="W458">
        <f>VLOOKUP(H458,物料編碼!A:B,2,0)</f>
        <v>1300603041</v>
      </c>
      <c r="X458">
        <v>1300603</v>
      </c>
      <c r="Y458" t="str">
        <f>VLOOKUP(X458,物料編碼!D:G,4,0)</f>
        <v>帶骨全腿</v>
      </c>
      <c r="Z458" t="str">
        <f>VLOOKUP(C458,客戶屬性1!A:C,2,0)</f>
        <v>新昌冻肉</v>
      </c>
      <c r="AA458">
        <f>IF(COUNTIF($O$1:O458,O458)=1,L458,0)</f>
        <v>2379.88</v>
      </c>
    </row>
    <row r="459" customHeight="1" spans="1:27">
      <c r="A459" s="21" t="s">
        <v>946</v>
      </c>
      <c r="B459" s="21" t="s">
        <v>45</v>
      </c>
      <c r="C459" s="21" t="s">
        <v>141</v>
      </c>
      <c r="D459" s="21" t="s">
        <v>142</v>
      </c>
      <c r="E459" s="21" t="s">
        <v>142</v>
      </c>
      <c r="F459" s="21" t="s">
        <v>143</v>
      </c>
      <c r="G459" s="21" t="s">
        <v>100</v>
      </c>
      <c r="H459" s="21" t="s">
        <v>298</v>
      </c>
      <c r="I459" s="26">
        <v>1</v>
      </c>
      <c r="J459" s="26">
        <v>10</v>
      </c>
      <c r="K459" s="21" t="s">
        <v>52</v>
      </c>
      <c r="L459" s="27">
        <v>2379.88</v>
      </c>
      <c r="M459" s="21"/>
      <c r="N459" s="21"/>
      <c r="O459" s="21" t="s">
        <v>947</v>
      </c>
      <c r="P459" s="21" t="s">
        <v>54</v>
      </c>
      <c r="Q459" s="28">
        <v>46182</v>
      </c>
      <c r="R459" s="29">
        <v>46181.5797800926</v>
      </c>
      <c r="S459" s="21" t="s">
        <v>145</v>
      </c>
      <c r="T459" s="21"/>
      <c r="U459" s="21" t="s">
        <v>142</v>
      </c>
      <c r="V459" s="29">
        <v>46181.5797337963</v>
      </c>
      <c r="W459">
        <f>VLOOKUP(H459,物料編碼!A:B,2,0)</f>
        <v>1300111003</v>
      </c>
      <c r="X459">
        <v>1300111</v>
      </c>
      <c r="Y459" t="str">
        <f>VLOOKUP(X459,物料編碼!D:G,4,0)</f>
        <v>寸骨</v>
      </c>
      <c r="Z459" t="str">
        <f>VLOOKUP(C459,客戶屬性1!A:C,2,0)</f>
        <v>新昌冻肉</v>
      </c>
      <c r="AA459">
        <f>IF(COUNTIF($O$1:O459,O459)=1,L459,0)</f>
        <v>0</v>
      </c>
    </row>
    <row r="460" customHeight="1" spans="1:27">
      <c r="A460" s="21" t="s">
        <v>946</v>
      </c>
      <c r="B460" s="21" t="s">
        <v>45</v>
      </c>
      <c r="C460" s="21" t="s">
        <v>141</v>
      </c>
      <c r="D460" s="21" t="s">
        <v>142</v>
      </c>
      <c r="E460" s="21" t="s">
        <v>142</v>
      </c>
      <c r="F460" s="21" t="s">
        <v>143</v>
      </c>
      <c r="G460" s="21" t="s">
        <v>100</v>
      </c>
      <c r="H460" s="21" t="s">
        <v>63</v>
      </c>
      <c r="I460" s="26">
        <v>1</v>
      </c>
      <c r="J460" s="26">
        <v>25</v>
      </c>
      <c r="K460" s="21" t="s">
        <v>52</v>
      </c>
      <c r="L460" s="27">
        <v>2379.88</v>
      </c>
      <c r="M460" s="21"/>
      <c r="N460" s="21"/>
      <c r="O460" s="21" t="s">
        <v>947</v>
      </c>
      <c r="P460" s="21" t="s">
        <v>54</v>
      </c>
      <c r="Q460" s="28">
        <v>46182</v>
      </c>
      <c r="R460" s="29">
        <v>46181.5797800926</v>
      </c>
      <c r="S460" s="21" t="s">
        <v>145</v>
      </c>
      <c r="T460" s="21"/>
      <c r="U460" s="21" t="s">
        <v>142</v>
      </c>
      <c r="V460" s="29">
        <v>46181.5797337963</v>
      </c>
      <c r="W460">
        <f>VLOOKUP(H460,物料編碼!A:B,2,0)</f>
        <v>1300109002</v>
      </c>
      <c r="X460">
        <v>1300109</v>
      </c>
      <c r="Y460" t="str">
        <f>VLOOKUP(X460,物料編碼!D:G,4,0)</f>
        <v>面精肉</v>
      </c>
      <c r="Z460" t="str">
        <f>VLOOKUP(C460,客戶屬性1!A:C,2,0)</f>
        <v>新昌冻肉</v>
      </c>
      <c r="AA460">
        <f>IF(COUNTIF($O$1:O460,O460)=1,L460,0)</f>
        <v>0</v>
      </c>
    </row>
    <row r="461" customHeight="1" spans="1:27">
      <c r="A461" s="21" t="s">
        <v>946</v>
      </c>
      <c r="B461" s="21" t="s">
        <v>45</v>
      </c>
      <c r="C461" s="21" t="s">
        <v>141</v>
      </c>
      <c r="D461" s="21" t="s">
        <v>142</v>
      </c>
      <c r="E461" s="21" t="s">
        <v>142</v>
      </c>
      <c r="F461" s="21" t="s">
        <v>143</v>
      </c>
      <c r="G461" s="21" t="s">
        <v>100</v>
      </c>
      <c r="H461" s="21" t="s">
        <v>117</v>
      </c>
      <c r="I461" s="26">
        <v>3</v>
      </c>
      <c r="J461" s="26">
        <v>45</v>
      </c>
      <c r="K461" s="21" t="s">
        <v>52</v>
      </c>
      <c r="L461" s="27">
        <v>2379.88</v>
      </c>
      <c r="M461" s="21"/>
      <c r="N461" s="21"/>
      <c r="O461" s="21" t="s">
        <v>947</v>
      </c>
      <c r="P461" s="21" t="s">
        <v>54</v>
      </c>
      <c r="Q461" s="28">
        <v>46182</v>
      </c>
      <c r="R461" s="29">
        <v>46181.5797800926</v>
      </c>
      <c r="S461" s="21" t="s">
        <v>145</v>
      </c>
      <c r="T461" s="21"/>
      <c r="U461" s="21" t="s">
        <v>142</v>
      </c>
      <c r="V461" s="29">
        <v>46181.5797337963</v>
      </c>
      <c r="W461">
        <f>VLOOKUP(H461,物料編碼!A:B,2,0)</f>
        <v>1300607015</v>
      </c>
      <c r="X461">
        <v>1300607</v>
      </c>
      <c r="Y461" t="str">
        <f>VLOOKUP(X461,物料編碼!D:G,4,0)</f>
        <v>帶皮腿扒</v>
      </c>
      <c r="Z461" t="str">
        <f>VLOOKUP(C461,客戶屬性1!A:C,2,0)</f>
        <v>新昌冻肉</v>
      </c>
      <c r="AA461">
        <f>IF(COUNTIF($O$1:O461,O461)=1,L461,0)</f>
        <v>0</v>
      </c>
    </row>
    <row r="462" customHeight="1" spans="1:27">
      <c r="A462" s="21" t="s">
        <v>948</v>
      </c>
      <c r="B462" s="21" t="s">
        <v>45</v>
      </c>
      <c r="C462" s="21" t="s">
        <v>290</v>
      </c>
      <c r="D462" s="21" t="s">
        <v>291</v>
      </c>
      <c r="E462" s="21" t="s">
        <v>292</v>
      </c>
      <c r="F462" s="21" t="s">
        <v>49</v>
      </c>
      <c r="G462" s="21" t="s">
        <v>50</v>
      </c>
      <c r="H462" s="21" t="s">
        <v>121</v>
      </c>
      <c r="I462" s="26">
        <v>2</v>
      </c>
      <c r="J462" s="26">
        <v>40</v>
      </c>
      <c r="K462" s="21" t="s">
        <v>52</v>
      </c>
      <c r="L462" s="27">
        <v>980</v>
      </c>
      <c r="M462" s="21"/>
      <c r="N462" s="21"/>
      <c r="O462" s="21" t="s">
        <v>949</v>
      </c>
      <c r="P462" s="21" t="s">
        <v>54</v>
      </c>
      <c r="Q462" s="28">
        <v>46182</v>
      </c>
      <c r="R462" s="29">
        <v>46181.4788541667</v>
      </c>
      <c r="S462" s="21" t="s">
        <v>294</v>
      </c>
      <c r="T462" s="21"/>
      <c r="U462" s="21" t="s">
        <v>292</v>
      </c>
      <c r="V462" s="29">
        <v>46181.4788078704</v>
      </c>
      <c r="W462">
        <f>VLOOKUP(H462,物料編碼!A:B,2,0)</f>
        <v>1300114011</v>
      </c>
      <c r="X462">
        <v>1300114</v>
      </c>
      <c r="Y462" t="str">
        <f>VLOOKUP(X462,物料編碼!D:G,4,0)</f>
        <v>熟食</v>
      </c>
      <c r="Z462" t="str">
        <f>VLOOKUP(C462,客戶屬性1!A:C,2,0)</f>
        <v>溢利食品(香港)有限公司</v>
      </c>
      <c r="AA462">
        <f>IF(COUNTIF($O$1:O462,O462)=1,L462,0)</f>
        <v>980</v>
      </c>
    </row>
    <row r="463" customHeight="1" spans="1:27">
      <c r="A463" s="21" t="s">
        <v>950</v>
      </c>
      <c r="B463" s="21" t="s">
        <v>45</v>
      </c>
      <c r="C463" s="21" t="s">
        <v>390</v>
      </c>
      <c r="D463" s="21" t="s">
        <v>391</v>
      </c>
      <c r="E463" s="21" t="s">
        <v>392</v>
      </c>
      <c r="F463" s="21" t="s">
        <v>49</v>
      </c>
      <c r="G463" s="21" t="s">
        <v>89</v>
      </c>
      <c r="H463" s="21" t="s">
        <v>161</v>
      </c>
      <c r="I463" s="26">
        <v>5</v>
      </c>
      <c r="J463" s="26">
        <v>100</v>
      </c>
      <c r="K463" s="21" t="s">
        <v>52</v>
      </c>
      <c r="L463" s="27">
        <v>9504</v>
      </c>
      <c r="M463" s="21"/>
      <c r="N463" s="21"/>
      <c r="O463" s="21" t="s">
        <v>951</v>
      </c>
      <c r="P463" s="21" t="s">
        <v>54</v>
      </c>
      <c r="Q463" s="28">
        <v>46182</v>
      </c>
      <c r="R463" s="29">
        <v>46181.434224537</v>
      </c>
      <c r="S463" s="21" t="s">
        <v>395</v>
      </c>
      <c r="T463" s="21"/>
      <c r="U463" s="21" t="s">
        <v>392</v>
      </c>
      <c r="V463" s="29">
        <v>46181.4341782407</v>
      </c>
      <c r="W463">
        <f>VLOOKUP(H463,物料編碼!A:B,2,0)</f>
        <v>1300501020</v>
      </c>
      <c r="X463">
        <v>1300501</v>
      </c>
      <c r="Y463" t="str">
        <f>VLOOKUP(X463,物料編碼!D:G,4,0)</f>
        <v>羊排</v>
      </c>
      <c r="Z463" t="str">
        <f>VLOOKUP(C463,客戶屬性1!A:C,2,0)</f>
        <v>美亚食品贸易有限公司</v>
      </c>
      <c r="AA463">
        <f>IF(COUNTIF($O$1:O463,O463)=1,L463,0)</f>
        <v>9504</v>
      </c>
    </row>
    <row r="464" customHeight="1" spans="1:27">
      <c r="A464" s="21" t="s">
        <v>952</v>
      </c>
      <c r="B464" s="21" t="s">
        <v>45</v>
      </c>
      <c r="C464" s="21" t="s">
        <v>158</v>
      </c>
      <c r="D464" s="21" t="s">
        <v>159</v>
      </c>
      <c r="E464" s="21" t="s">
        <v>160</v>
      </c>
      <c r="F464" s="21" t="s">
        <v>49</v>
      </c>
      <c r="G464" s="21" t="s">
        <v>68</v>
      </c>
      <c r="H464" s="21" t="s">
        <v>283</v>
      </c>
      <c r="I464" s="26">
        <v>2</v>
      </c>
      <c r="J464" s="26">
        <v>50</v>
      </c>
      <c r="K464" s="21" t="s">
        <v>52</v>
      </c>
      <c r="L464" s="27">
        <v>990</v>
      </c>
      <c r="M464" s="21"/>
      <c r="N464" s="21"/>
      <c r="O464" s="21" t="s">
        <v>953</v>
      </c>
      <c r="P464" s="21" t="s">
        <v>54</v>
      </c>
      <c r="Q464" s="28">
        <v>46182</v>
      </c>
      <c r="R464" s="29">
        <v>46181.4294560185</v>
      </c>
      <c r="S464" s="21" t="s">
        <v>163</v>
      </c>
      <c r="T464" s="21"/>
      <c r="U464" s="21" t="s">
        <v>164</v>
      </c>
      <c r="V464" s="29">
        <v>46181.4294097222</v>
      </c>
      <c r="W464">
        <f>VLOOKUP(H464,物料編碼!A:B,2,0)</f>
        <v>1300104005</v>
      </c>
      <c r="X464">
        <v>1300104</v>
      </c>
      <c r="Y464" t="str">
        <f>VLOOKUP(X464,物料編碼!D:G,4,0)</f>
        <v>四號肉</v>
      </c>
      <c r="Z464" t="str">
        <f>VLOOKUP(C464,客戶屬性1!A:C,2,0)</f>
        <v>先进食品国际有限公司</v>
      </c>
      <c r="AA464">
        <f>IF(COUNTIF($O$1:O464,O464)=1,L464,0)</f>
        <v>990</v>
      </c>
    </row>
    <row r="465" customHeight="1" spans="1:27">
      <c r="A465" s="21" t="s">
        <v>954</v>
      </c>
      <c r="B465" s="21" t="s">
        <v>45</v>
      </c>
      <c r="C465" s="21" t="s">
        <v>72</v>
      </c>
      <c r="D465" s="21" t="s">
        <v>73</v>
      </c>
      <c r="E465" s="21" t="s">
        <v>74</v>
      </c>
      <c r="F465" s="21" t="s">
        <v>49</v>
      </c>
      <c r="G465" s="21" t="s">
        <v>50</v>
      </c>
      <c r="H465" s="21" t="s">
        <v>78</v>
      </c>
      <c r="I465" s="26">
        <v>2</v>
      </c>
      <c r="J465" s="26">
        <v>30</v>
      </c>
      <c r="K465" s="21" t="s">
        <v>52</v>
      </c>
      <c r="L465" s="27">
        <v>443.4</v>
      </c>
      <c r="M465" s="21"/>
      <c r="N465" s="21"/>
      <c r="O465" s="21" t="s">
        <v>955</v>
      </c>
      <c r="P465" s="21" t="s">
        <v>54</v>
      </c>
      <c r="Q465" s="28">
        <v>46181</v>
      </c>
      <c r="R465" s="29">
        <v>46181.401412037</v>
      </c>
      <c r="S465" s="21" t="s">
        <v>77</v>
      </c>
      <c r="T465" s="21"/>
      <c r="U465" s="21" t="s">
        <v>74</v>
      </c>
      <c r="V465" s="29">
        <v>46181.4013541667</v>
      </c>
      <c r="W465">
        <f>VLOOKUP(H465,物料編碼!A:B,2,0)</f>
        <v>1300607014</v>
      </c>
      <c r="X465">
        <v>1300607</v>
      </c>
      <c r="Y465" t="str">
        <f>VLOOKUP(X465,物料編碼!D:G,4,0)</f>
        <v>帶皮腿扒</v>
      </c>
      <c r="Z465" t="str">
        <f>VLOOKUP(C465,客戶屬性1!A:C,2,0)</f>
        <v>恒辉贸易公司</v>
      </c>
      <c r="AA465">
        <f>IF(COUNTIF($O$1:O465,O465)=1,L465,0)</f>
        <v>443.4</v>
      </c>
    </row>
    <row r="466" customHeight="1" spans="1:27">
      <c r="A466" s="21" t="s">
        <v>956</v>
      </c>
      <c r="B466" s="21" t="s">
        <v>45</v>
      </c>
      <c r="C466" s="21" t="s">
        <v>114</v>
      </c>
      <c r="D466" s="21" t="s">
        <v>115</v>
      </c>
      <c r="E466" s="21" t="s">
        <v>116</v>
      </c>
      <c r="F466" s="21" t="s">
        <v>49</v>
      </c>
      <c r="G466" s="21" t="s">
        <v>100</v>
      </c>
      <c r="H466" s="21" t="s">
        <v>808</v>
      </c>
      <c r="I466" s="26">
        <v>2</v>
      </c>
      <c r="J466" s="26">
        <v>20</v>
      </c>
      <c r="K466" s="21" t="s">
        <v>52</v>
      </c>
      <c r="L466" s="27">
        <v>242</v>
      </c>
      <c r="M466" s="21"/>
      <c r="N466" s="21"/>
      <c r="O466" s="21" t="s">
        <v>957</v>
      </c>
      <c r="P466" s="21" t="s">
        <v>54</v>
      </c>
      <c r="Q466" s="28">
        <v>46181</v>
      </c>
      <c r="R466" s="29">
        <v>46179.4950578704</v>
      </c>
      <c r="S466" s="21" t="s">
        <v>119</v>
      </c>
      <c r="T466" s="21"/>
      <c r="U466" s="21" t="s">
        <v>115</v>
      </c>
      <c r="V466" s="29">
        <v>46179.4950115741</v>
      </c>
      <c r="W466">
        <f>VLOOKUP(H466,物料編碼!A:B,2,0)</f>
        <v>1300613017</v>
      </c>
      <c r="X466">
        <v>1300613</v>
      </c>
      <c r="Y466" t="str">
        <f>VLOOKUP(X466,物料編碼!D:G,4,0)</f>
        <v>小胸肉</v>
      </c>
      <c r="Z466" t="str">
        <f>VLOOKUP(C466,客戶屬性1!A:C,2,0)</f>
        <v>骏利贸易公司</v>
      </c>
      <c r="AA466">
        <f>IF(COUNTIF($O$1:O466,O466)=1,L466,0)</f>
        <v>242</v>
      </c>
    </row>
    <row r="467" customHeight="1" spans="1:27">
      <c r="A467" s="21" t="s">
        <v>958</v>
      </c>
      <c r="B467" s="21" t="s">
        <v>45</v>
      </c>
      <c r="C467" s="21" t="s">
        <v>114</v>
      </c>
      <c r="D467" s="21" t="s">
        <v>115</v>
      </c>
      <c r="E467" s="21" t="s">
        <v>116</v>
      </c>
      <c r="F467" s="21" t="s">
        <v>49</v>
      </c>
      <c r="G467" s="21" t="s">
        <v>100</v>
      </c>
      <c r="H467" s="21" t="s">
        <v>168</v>
      </c>
      <c r="I467" s="26">
        <v>1</v>
      </c>
      <c r="J467" s="26">
        <v>10</v>
      </c>
      <c r="K467" s="21" t="s">
        <v>52</v>
      </c>
      <c r="L467" s="27">
        <v>97</v>
      </c>
      <c r="M467" s="21"/>
      <c r="N467" s="21"/>
      <c r="O467" s="21" t="s">
        <v>959</v>
      </c>
      <c r="P467" s="21" t="s">
        <v>54</v>
      </c>
      <c r="Q467" s="28">
        <v>46181</v>
      </c>
      <c r="R467" s="29">
        <v>46179.4941203704</v>
      </c>
      <c r="S467" s="21" t="s">
        <v>119</v>
      </c>
      <c r="T467" s="21"/>
      <c r="U467" s="21" t="s">
        <v>115</v>
      </c>
      <c r="V467" s="29">
        <v>46179.4940740741</v>
      </c>
      <c r="W467">
        <f>VLOOKUP(H467,物料編碼!A:B,2,0)</f>
        <v>1300627002</v>
      </c>
      <c r="X467">
        <v>1300627</v>
      </c>
      <c r="Y467" t="str">
        <f>VLOOKUP(X467,物料編碼!D:G,4,0)</f>
        <v>翅尖</v>
      </c>
      <c r="Z467" t="str">
        <f>VLOOKUP(C467,客戶屬性1!A:C,2,0)</f>
        <v>骏利贸易公司</v>
      </c>
      <c r="AA467">
        <f>IF(COUNTIF($O$1:O467,O467)=1,L467,0)</f>
        <v>97</v>
      </c>
    </row>
    <row r="468" customHeight="1" spans="1:27">
      <c r="A468" s="21" t="s">
        <v>960</v>
      </c>
      <c r="B468" s="21" t="s">
        <v>45</v>
      </c>
      <c r="C468" s="21" t="s">
        <v>72</v>
      </c>
      <c r="D468" s="21" t="s">
        <v>73</v>
      </c>
      <c r="E468" s="21" t="s">
        <v>74</v>
      </c>
      <c r="F468" s="21" t="s">
        <v>49</v>
      </c>
      <c r="G468" s="21" t="s">
        <v>50</v>
      </c>
      <c r="H468" s="21" t="s">
        <v>747</v>
      </c>
      <c r="I468" s="26">
        <v>1</v>
      </c>
      <c r="J468" s="26">
        <v>10</v>
      </c>
      <c r="K468" s="21" t="s">
        <v>52</v>
      </c>
      <c r="L468" s="27">
        <v>553.3</v>
      </c>
      <c r="M468" s="21"/>
      <c r="N468" s="21"/>
      <c r="O468" s="21" t="s">
        <v>961</v>
      </c>
      <c r="P468" s="21" t="s">
        <v>54</v>
      </c>
      <c r="Q468" s="28">
        <v>46181</v>
      </c>
      <c r="R468" s="29">
        <v>46179.4855902778</v>
      </c>
      <c r="S468" s="21" t="s">
        <v>288</v>
      </c>
      <c r="T468" s="21"/>
      <c r="U468" s="21" t="s">
        <v>82</v>
      </c>
      <c r="V468" s="29">
        <v>46179.4855324074</v>
      </c>
      <c r="W468">
        <f>VLOOKUP(H468,物料編碼!A:B,2,0)</f>
        <v>1300902006</v>
      </c>
      <c r="X468">
        <v>1300902</v>
      </c>
      <c r="Y468" t="str">
        <f>VLOOKUP(X468,物料編碼!D:G,4,0)</f>
        <v>帶骨整腿</v>
      </c>
      <c r="Z468" t="str">
        <f>VLOOKUP(C468,客戶屬性1!A:C,2,0)</f>
        <v>恒辉贸易公司</v>
      </c>
      <c r="AA468">
        <f>IF(COUNTIF($O$1:O468,O468)=1,L468,0)</f>
        <v>553.3</v>
      </c>
    </row>
    <row r="469" customHeight="1" spans="1:27">
      <c r="A469" s="21" t="s">
        <v>960</v>
      </c>
      <c r="B469" s="21" t="s">
        <v>45</v>
      </c>
      <c r="C469" s="21" t="s">
        <v>72</v>
      </c>
      <c r="D469" s="21" t="s">
        <v>73</v>
      </c>
      <c r="E469" s="21" t="s">
        <v>74</v>
      </c>
      <c r="F469" s="21" t="s">
        <v>49</v>
      </c>
      <c r="G469" s="21" t="s">
        <v>50</v>
      </c>
      <c r="H469" s="21" t="s">
        <v>890</v>
      </c>
      <c r="I469" s="26">
        <v>2</v>
      </c>
      <c r="J469" s="26">
        <v>30</v>
      </c>
      <c r="K469" s="21" t="s">
        <v>52</v>
      </c>
      <c r="L469" s="27">
        <v>553.3</v>
      </c>
      <c r="M469" s="21"/>
      <c r="N469" s="21"/>
      <c r="O469" s="21" t="s">
        <v>961</v>
      </c>
      <c r="P469" s="21" t="s">
        <v>54</v>
      </c>
      <c r="Q469" s="28">
        <v>46181</v>
      </c>
      <c r="R469" s="29">
        <v>46179.4855902778</v>
      </c>
      <c r="S469" s="21" t="s">
        <v>288</v>
      </c>
      <c r="T469" s="21"/>
      <c r="U469" s="21" t="s">
        <v>82</v>
      </c>
      <c r="V469" s="29">
        <v>46179.4855324074</v>
      </c>
      <c r="W469">
        <f>VLOOKUP(H469,物料編碼!A:B,2,0)</f>
        <v>1300603106</v>
      </c>
      <c r="X469">
        <v>1300603</v>
      </c>
      <c r="Y469" t="str">
        <f>VLOOKUP(X469,物料編碼!D:G,4,0)</f>
        <v>帶骨全腿</v>
      </c>
      <c r="Z469" t="str">
        <f>VLOOKUP(C469,客戶屬性1!A:C,2,0)</f>
        <v>恒辉贸易公司</v>
      </c>
      <c r="AA469">
        <f>IF(COUNTIF($O$1:O469,O469)=1,L469,0)</f>
        <v>0</v>
      </c>
    </row>
    <row r="470" customHeight="1" spans="1:27">
      <c r="A470" s="21" t="s">
        <v>962</v>
      </c>
      <c r="B470" s="21" t="s">
        <v>45</v>
      </c>
      <c r="C470" s="21" t="s">
        <v>72</v>
      </c>
      <c r="D470" s="21" t="s">
        <v>73</v>
      </c>
      <c r="E470" s="21" t="s">
        <v>74</v>
      </c>
      <c r="F470" s="21" t="s">
        <v>49</v>
      </c>
      <c r="G470" s="21" t="s">
        <v>50</v>
      </c>
      <c r="H470" s="21" t="s">
        <v>63</v>
      </c>
      <c r="I470" s="26">
        <v>7</v>
      </c>
      <c r="J470" s="26">
        <v>175</v>
      </c>
      <c r="K470" s="21" t="s">
        <v>52</v>
      </c>
      <c r="L470" s="27">
        <v>5845</v>
      </c>
      <c r="M470" s="21"/>
      <c r="N470" s="21"/>
      <c r="O470" s="21" t="s">
        <v>963</v>
      </c>
      <c r="P470" s="21" t="s">
        <v>54</v>
      </c>
      <c r="Q470" s="28">
        <v>46181</v>
      </c>
      <c r="R470" s="29">
        <v>46179.4740856482</v>
      </c>
      <c r="S470" s="21" t="s">
        <v>81</v>
      </c>
      <c r="T470" s="21"/>
      <c r="U470" s="21" t="s">
        <v>82</v>
      </c>
      <c r="V470" s="29">
        <v>46179.4740393519</v>
      </c>
      <c r="W470">
        <f>VLOOKUP(H470,物料編碼!A:B,2,0)</f>
        <v>1300109002</v>
      </c>
      <c r="X470">
        <v>1300109</v>
      </c>
      <c r="Y470" t="str">
        <f>VLOOKUP(X470,物料編碼!D:G,4,0)</f>
        <v>面精肉</v>
      </c>
      <c r="Z470" t="str">
        <f>VLOOKUP(C470,客戶屬性1!A:C,2,0)</f>
        <v>恒辉贸易公司</v>
      </c>
      <c r="AA470">
        <f>IF(COUNTIF($O$1:O470,O470)=1,L470,0)</f>
        <v>5845</v>
      </c>
    </row>
    <row r="471" customHeight="1" spans="1:27">
      <c r="A471" s="21" t="s">
        <v>964</v>
      </c>
      <c r="B471" s="21" t="s">
        <v>45</v>
      </c>
      <c r="C471" s="21" t="s">
        <v>46</v>
      </c>
      <c r="D471" s="21" t="s">
        <v>47</v>
      </c>
      <c r="E471" s="21" t="s">
        <v>48</v>
      </c>
      <c r="F471" s="21" t="s">
        <v>49</v>
      </c>
      <c r="G471" s="21" t="s">
        <v>50</v>
      </c>
      <c r="H471" s="21" t="s">
        <v>168</v>
      </c>
      <c r="I471" s="26">
        <v>1</v>
      </c>
      <c r="J471" s="26">
        <v>10</v>
      </c>
      <c r="K471" s="21" t="s">
        <v>52</v>
      </c>
      <c r="L471" s="27">
        <v>97</v>
      </c>
      <c r="M471" s="21"/>
      <c r="N471" s="21"/>
      <c r="O471" s="21" t="s">
        <v>965</v>
      </c>
      <c r="P471" s="21" t="s">
        <v>54</v>
      </c>
      <c r="Q471" s="28">
        <v>46179</v>
      </c>
      <c r="R471" s="29">
        <v>46179.4259143519</v>
      </c>
      <c r="S471" s="21" t="s">
        <v>55</v>
      </c>
      <c r="T471" s="21"/>
      <c r="U471" s="21" t="s">
        <v>47</v>
      </c>
      <c r="V471" s="29">
        <v>46179.4258680556</v>
      </c>
      <c r="W471">
        <f>VLOOKUP(H471,物料編碼!A:B,2,0)</f>
        <v>1300627002</v>
      </c>
      <c r="X471">
        <v>1300627</v>
      </c>
      <c r="Y471" t="str">
        <f>VLOOKUP(X471,物料編碼!D:G,4,0)</f>
        <v>翅尖</v>
      </c>
      <c r="Z471" t="str">
        <f>VLOOKUP(C471,客戶屬性1!A:C,2,0)</f>
        <v>明记冻肉</v>
      </c>
      <c r="AA471">
        <f>IF(COUNTIF($O$1:O471,O471)=1,L471,0)</f>
        <v>97</v>
      </c>
    </row>
    <row r="472" customHeight="1" spans="1:27">
      <c r="A472" s="21" t="s">
        <v>966</v>
      </c>
      <c r="B472" s="21" t="s">
        <v>45</v>
      </c>
      <c r="C472" s="21" t="s">
        <v>72</v>
      </c>
      <c r="D472" s="21" t="s">
        <v>73</v>
      </c>
      <c r="E472" s="21" t="s">
        <v>74</v>
      </c>
      <c r="F472" s="21" t="s">
        <v>49</v>
      </c>
      <c r="G472" s="21" t="s">
        <v>50</v>
      </c>
      <c r="H472" s="21" t="s">
        <v>190</v>
      </c>
      <c r="I472" s="26">
        <v>10</v>
      </c>
      <c r="J472" s="26">
        <v>120</v>
      </c>
      <c r="K472" s="21" t="s">
        <v>52</v>
      </c>
      <c r="L472" s="27">
        <v>1896</v>
      </c>
      <c r="M472" s="21"/>
      <c r="N472" s="21"/>
      <c r="O472" s="21" t="s">
        <v>967</v>
      </c>
      <c r="P472" s="21" t="s">
        <v>54</v>
      </c>
      <c r="Q472" s="28">
        <v>46179</v>
      </c>
      <c r="R472" s="29">
        <v>46179.4217361111</v>
      </c>
      <c r="S472" s="21" t="s">
        <v>77</v>
      </c>
      <c r="T472" s="21"/>
      <c r="U472" s="21" t="s">
        <v>74</v>
      </c>
      <c r="V472" s="29">
        <v>46179.4216898148</v>
      </c>
      <c r="W472">
        <f>VLOOKUP(H472,物料編碼!A:B,2,0)</f>
        <v>1300609001</v>
      </c>
      <c r="X472">
        <v>1300609</v>
      </c>
      <c r="Y472" t="str">
        <f>VLOOKUP(X472,物料編碼!D:G,4,0)</f>
        <v>去皮上腿肉</v>
      </c>
      <c r="Z472" t="str">
        <f>VLOOKUP(C472,客戶屬性1!A:C,2,0)</f>
        <v>恒辉贸易公司</v>
      </c>
      <c r="AA472">
        <f>IF(COUNTIF($O$1:O472,O472)=1,L472,0)</f>
        <v>1896</v>
      </c>
    </row>
    <row r="473" customHeight="1" spans="1:27">
      <c r="A473" s="21" t="s">
        <v>968</v>
      </c>
      <c r="B473" s="21" t="s">
        <v>45</v>
      </c>
      <c r="C473" s="21" t="s">
        <v>72</v>
      </c>
      <c r="D473" s="21" t="s">
        <v>73</v>
      </c>
      <c r="E473" s="21" t="s">
        <v>74</v>
      </c>
      <c r="F473" s="21" t="s">
        <v>49</v>
      </c>
      <c r="G473" s="21" t="s">
        <v>50</v>
      </c>
      <c r="H473" s="21" t="s">
        <v>190</v>
      </c>
      <c r="I473" s="26">
        <v>2</v>
      </c>
      <c r="J473" s="26">
        <v>24</v>
      </c>
      <c r="K473" s="21" t="s">
        <v>52</v>
      </c>
      <c r="L473" s="27">
        <v>379.2</v>
      </c>
      <c r="M473" s="21"/>
      <c r="N473" s="21"/>
      <c r="O473" s="21" t="s">
        <v>969</v>
      </c>
      <c r="P473" s="21" t="s">
        <v>54</v>
      </c>
      <c r="Q473" s="28">
        <v>46179</v>
      </c>
      <c r="R473" s="29">
        <v>46179.381087963</v>
      </c>
      <c r="S473" s="21" t="s">
        <v>77</v>
      </c>
      <c r="T473" s="21"/>
      <c r="U473" s="21" t="s">
        <v>74</v>
      </c>
      <c r="V473" s="29">
        <v>46179.3810416667</v>
      </c>
      <c r="W473">
        <f>VLOOKUP(H473,物料編碼!A:B,2,0)</f>
        <v>1300609001</v>
      </c>
      <c r="X473">
        <v>1300609</v>
      </c>
      <c r="Y473" t="str">
        <f>VLOOKUP(X473,物料編碼!D:G,4,0)</f>
        <v>去皮上腿肉</v>
      </c>
      <c r="Z473" t="str">
        <f>VLOOKUP(C473,客戶屬性1!A:C,2,0)</f>
        <v>恒辉贸易公司</v>
      </c>
      <c r="AA473">
        <f>IF(COUNTIF($O$1:O473,O473)=1,L473,0)</f>
        <v>379.2</v>
      </c>
    </row>
    <row r="474" customHeight="1" spans="1:27">
      <c r="A474" s="21" t="s">
        <v>970</v>
      </c>
      <c r="B474" s="21" t="s">
        <v>45</v>
      </c>
      <c r="C474" s="21" t="s">
        <v>72</v>
      </c>
      <c r="D474" s="21" t="s">
        <v>73</v>
      </c>
      <c r="E474" s="21" t="s">
        <v>74</v>
      </c>
      <c r="F474" s="21" t="s">
        <v>49</v>
      </c>
      <c r="G474" s="21" t="s">
        <v>50</v>
      </c>
      <c r="H474" s="21" t="s">
        <v>117</v>
      </c>
      <c r="I474" s="26">
        <v>1</v>
      </c>
      <c r="J474" s="26">
        <v>15</v>
      </c>
      <c r="K474" s="21" t="s">
        <v>52</v>
      </c>
      <c r="L474" s="27">
        <v>221.7</v>
      </c>
      <c r="M474" s="21"/>
      <c r="N474" s="21"/>
      <c r="O474" s="21" t="s">
        <v>971</v>
      </c>
      <c r="P474" s="21" t="s">
        <v>54</v>
      </c>
      <c r="Q474" s="28">
        <v>46179</v>
      </c>
      <c r="R474" s="29">
        <v>46178.6826388889</v>
      </c>
      <c r="S474" s="21" t="s">
        <v>81</v>
      </c>
      <c r="T474" s="21"/>
      <c r="U474" s="21" t="s">
        <v>82</v>
      </c>
      <c r="V474" s="29">
        <v>46178.6825810185</v>
      </c>
      <c r="W474">
        <f>VLOOKUP(H474,物料編碼!A:B,2,0)</f>
        <v>1300607015</v>
      </c>
      <c r="X474">
        <v>1300607</v>
      </c>
      <c r="Y474" t="str">
        <f>VLOOKUP(X474,物料編碼!D:G,4,0)</f>
        <v>帶皮腿扒</v>
      </c>
      <c r="Z474" t="str">
        <f>VLOOKUP(C474,客戶屬性1!A:C,2,0)</f>
        <v>恒辉贸易公司</v>
      </c>
      <c r="AA474">
        <f>IF(COUNTIF($O$1:O474,O474)=1,L474,0)</f>
        <v>221.7</v>
      </c>
    </row>
    <row r="475" customHeight="1" spans="1:27">
      <c r="A475" s="21" t="s">
        <v>972</v>
      </c>
      <c r="B475" s="21" t="s">
        <v>45</v>
      </c>
      <c r="C475" s="21" t="s">
        <v>141</v>
      </c>
      <c r="D475" s="21" t="s">
        <v>142</v>
      </c>
      <c r="E475" s="21" t="s">
        <v>142</v>
      </c>
      <c r="F475" s="21" t="s">
        <v>143</v>
      </c>
      <c r="G475" s="21" t="s">
        <v>100</v>
      </c>
      <c r="H475" s="21" t="s">
        <v>60</v>
      </c>
      <c r="I475" s="26">
        <v>1</v>
      </c>
      <c r="J475" s="26">
        <v>25</v>
      </c>
      <c r="K475" s="21" t="s">
        <v>52</v>
      </c>
      <c r="L475" s="27">
        <v>1987.2</v>
      </c>
      <c r="M475" s="21"/>
      <c r="N475" s="21"/>
      <c r="O475" s="21" t="s">
        <v>973</v>
      </c>
      <c r="P475" s="21" t="s">
        <v>54</v>
      </c>
      <c r="Q475" s="28">
        <v>46181</v>
      </c>
      <c r="R475" s="29">
        <v>46178.5994328704</v>
      </c>
      <c r="S475" s="21" t="s">
        <v>145</v>
      </c>
      <c r="T475" s="21"/>
      <c r="U475" s="21" t="s">
        <v>142</v>
      </c>
      <c r="V475" s="29">
        <v>46178.5993981482</v>
      </c>
      <c r="W475">
        <f>VLOOKUP(H475,物料編碼!A:B,2,0)</f>
        <v>1300101043</v>
      </c>
      <c r="X475">
        <v>1300101</v>
      </c>
      <c r="Y475" t="str">
        <f>VLOOKUP(X475,物料編碼!D:G,4,0)</f>
        <v>一號肉</v>
      </c>
      <c r="Z475" t="str">
        <f>VLOOKUP(C475,客戶屬性1!A:C,2,0)</f>
        <v>新昌冻肉</v>
      </c>
      <c r="AA475">
        <f>IF(COUNTIF($O$1:O475,O475)=1,L475,0)</f>
        <v>1987.2</v>
      </c>
    </row>
    <row r="476" customHeight="1" spans="1:27">
      <c r="A476" s="21" t="s">
        <v>972</v>
      </c>
      <c r="B476" s="21" t="s">
        <v>45</v>
      </c>
      <c r="C476" s="21" t="s">
        <v>141</v>
      </c>
      <c r="D476" s="21" t="s">
        <v>142</v>
      </c>
      <c r="E476" s="21" t="s">
        <v>142</v>
      </c>
      <c r="F476" s="21" t="s">
        <v>143</v>
      </c>
      <c r="G476" s="21" t="s">
        <v>100</v>
      </c>
      <c r="H476" s="21" t="s">
        <v>146</v>
      </c>
      <c r="I476" s="26">
        <v>2</v>
      </c>
      <c r="J476" s="26">
        <v>30</v>
      </c>
      <c r="K476" s="21" t="s">
        <v>52</v>
      </c>
      <c r="L476" s="27">
        <v>1987.2</v>
      </c>
      <c r="M476" s="21"/>
      <c r="N476" s="21"/>
      <c r="O476" s="21" t="s">
        <v>973</v>
      </c>
      <c r="P476" s="21" t="s">
        <v>54</v>
      </c>
      <c r="Q476" s="28">
        <v>46181</v>
      </c>
      <c r="R476" s="29">
        <v>46178.5994328704</v>
      </c>
      <c r="S476" s="21" t="s">
        <v>145</v>
      </c>
      <c r="T476" s="21"/>
      <c r="U476" s="21" t="s">
        <v>142</v>
      </c>
      <c r="V476" s="29">
        <v>46178.5993981482</v>
      </c>
      <c r="W476">
        <f>VLOOKUP(H476,物料編碼!A:B,2,0)</f>
        <v>1300603041</v>
      </c>
      <c r="X476">
        <v>1300603</v>
      </c>
      <c r="Y476" t="str">
        <f>VLOOKUP(X476,物料編碼!D:G,4,0)</f>
        <v>帶骨全腿</v>
      </c>
      <c r="Z476" t="str">
        <f>VLOOKUP(C476,客戶屬性1!A:C,2,0)</f>
        <v>新昌冻肉</v>
      </c>
      <c r="AA476">
        <f>IF(COUNTIF($O$1:O476,O476)=1,L476,0)</f>
        <v>0</v>
      </c>
    </row>
    <row r="477" customHeight="1" spans="1:27">
      <c r="A477" s="21" t="s">
        <v>972</v>
      </c>
      <c r="B477" s="21" t="s">
        <v>45</v>
      </c>
      <c r="C477" s="21" t="s">
        <v>141</v>
      </c>
      <c r="D477" s="21" t="s">
        <v>142</v>
      </c>
      <c r="E477" s="21" t="s">
        <v>142</v>
      </c>
      <c r="F477" s="21" t="s">
        <v>143</v>
      </c>
      <c r="G477" s="21" t="s">
        <v>100</v>
      </c>
      <c r="H477" s="21" t="s">
        <v>117</v>
      </c>
      <c r="I477" s="26">
        <v>3</v>
      </c>
      <c r="J477" s="26">
        <v>45</v>
      </c>
      <c r="K477" s="21" t="s">
        <v>52</v>
      </c>
      <c r="L477" s="27">
        <v>1987.2</v>
      </c>
      <c r="M477" s="21"/>
      <c r="N477" s="21"/>
      <c r="O477" s="21" t="s">
        <v>973</v>
      </c>
      <c r="P477" s="21" t="s">
        <v>54</v>
      </c>
      <c r="Q477" s="28">
        <v>46181</v>
      </c>
      <c r="R477" s="29">
        <v>46178.5994328704</v>
      </c>
      <c r="S477" s="21" t="s">
        <v>145</v>
      </c>
      <c r="T477" s="21"/>
      <c r="U477" s="21" t="s">
        <v>142</v>
      </c>
      <c r="V477" s="29">
        <v>46178.5993981482</v>
      </c>
      <c r="W477">
        <f>VLOOKUP(H477,物料編碼!A:B,2,0)</f>
        <v>1300607015</v>
      </c>
      <c r="X477">
        <v>1300607</v>
      </c>
      <c r="Y477" t="str">
        <f>VLOOKUP(X477,物料編碼!D:G,4,0)</f>
        <v>帶皮腿扒</v>
      </c>
      <c r="Z477" t="str">
        <f>VLOOKUP(C477,客戶屬性1!A:C,2,0)</f>
        <v>新昌冻肉</v>
      </c>
      <c r="AA477">
        <f>IF(COUNTIF($O$1:O477,O477)=1,L477,0)</f>
        <v>0</v>
      </c>
    </row>
    <row r="478" customHeight="1" spans="1:27">
      <c r="A478" s="21" t="s">
        <v>974</v>
      </c>
      <c r="B478" s="21" t="s">
        <v>45</v>
      </c>
      <c r="C478" s="21" t="s">
        <v>141</v>
      </c>
      <c r="D478" s="21" t="s">
        <v>142</v>
      </c>
      <c r="E478" s="21" t="s">
        <v>142</v>
      </c>
      <c r="F478" s="21" t="s">
        <v>143</v>
      </c>
      <c r="G478" s="21" t="s">
        <v>100</v>
      </c>
      <c r="H478" s="21" t="s">
        <v>63</v>
      </c>
      <c r="I478" s="26">
        <v>1</v>
      </c>
      <c r="J478" s="26">
        <v>25</v>
      </c>
      <c r="K478" s="21" t="s">
        <v>52</v>
      </c>
      <c r="L478" s="27">
        <v>2445.1</v>
      </c>
      <c r="M478" s="21"/>
      <c r="N478" s="21"/>
      <c r="O478" s="21" t="s">
        <v>975</v>
      </c>
      <c r="P478" s="21" t="s">
        <v>54</v>
      </c>
      <c r="Q478" s="28">
        <v>46179</v>
      </c>
      <c r="R478" s="29">
        <v>46178.597650463</v>
      </c>
      <c r="S478" s="21" t="s">
        <v>145</v>
      </c>
      <c r="T478" s="21"/>
      <c r="U478" s="21" t="s">
        <v>142</v>
      </c>
      <c r="V478" s="29">
        <v>46178.5976041667</v>
      </c>
      <c r="W478">
        <f>VLOOKUP(H478,物料編碼!A:B,2,0)</f>
        <v>1300109002</v>
      </c>
      <c r="X478">
        <v>1300109</v>
      </c>
      <c r="Y478" t="str">
        <f>VLOOKUP(X478,物料編碼!D:G,4,0)</f>
        <v>面精肉</v>
      </c>
      <c r="Z478" t="str">
        <f>VLOOKUP(C478,客戶屬性1!A:C,2,0)</f>
        <v>新昌冻肉</v>
      </c>
      <c r="AA478">
        <f>IF(COUNTIF($O$1:O478,O478)=1,L478,0)</f>
        <v>2445.1</v>
      </c>
    </row>
    <row r="479" customHeight="1" spans="1:27">
      <c r="A479" s="21" t="s">
        <v>974</v>
      </c>
      <c r="B479" s="21" t="s">
        <v>45</v>
      </c>
      <c r="C479" s="21" t="s">
        <v>141</v>
      </c>
      <c r="D479" s="21" t="s">
        <v>142</v>
      </c>
      <c r="E479" s="21" t="s">
        <v>142</v>
      </c>
      <c r="F479" s="21" t="s">
        <v>143</v>
      </c>
      <c r="G479" s="21" t="s">
        <v>100</v>
      </c>
      <c r="H479" s="21" t="s">
        <v>60</v>
      </c>
      <c r="I479" s="26">
        <v>1</v>
      </c>
      <c r="J479" s="26">
        <v>25</v>
      </c>
      <c r="K479" s="21" t="s">
        <v>52</v>
      </c>
      <c r="L479" s="27">
        <v>2445.1</v>
      </c>
      <c r="M479" s="21"/>
      <c r="N479" s="21"/>
      <c r="O479" s="21" t="s">
        <v>975</v>
      </c>
      <c r="P479" s="21" t="s">
        <v>54</v>
      </c>
      <c r="Q479" s="28">
        <v>46179</v>
      </c>
      <c r="R479" s="29">
        <v>46178.597650463</v>
      </c>
      <c r="S479" s="21" t="s">
        <v>145</v>
      </c>
      <c r="T479" s="21"/>
      <c r="U479" s="21" t="s">
        <v>142</v>
      </c>
      <c r="V479" s="29">
        <v>46178.5976041667</v>
      </c>
      <c r="W479">
        <f>VLOOKUP(H479,物料編碼!A:B,2,0)</f>
        <v>1300101043</v>
      </c>
      <c r="X479">
        <v>1300101</v>
      </c>
      <c r="Y479" t="str">
        <f>VLOOKUP(X479,物料編碼!D:G,4,0)</f>
        <v>一號肉</v>
      </c>
      <c r="Z479" t="str">
        <f>VLOOKUP(C479,客戶屬性1!A:C,2,0)</f>
        <v>新昌冻肉</v>
      </c>
      <c r="AA479">
        <f>IF(COUNTIF($O$1:O479,O479)=1,L479,0)</f>
        <v>0</v>
      </c>
    </row>
    <row r="480" customHeight="1" spans="1:27">
      <c r="A480" s="21" t="s">
        <v>974</v>
      </c>
      <c r="B480" s="21" t="s">
        <v>45</v>
      </c>
      <c r="C480" s="21" t="s">
        <v>141</v>
      </c>
      <c r="D480" s="21" t="s">
        <v>142</v>
      </c>
      <c r="E480" s="21" t="s">
        <v>142</v>
      </c>
      <c r="F480" s="21" t="s">
        <v>143</v>
      </c>
      <c r="G480" s="21" t="s">
        <v>100</v>
      </c>
      <c r="H480" s="21" t="s">
        <v>117</v>
      </c>
      <c r="I480" s="26">
        <v>3</v>
      </c>
      <c r="J480" s="26">
        <v>45</v>
      </c>
      <c r="K480" s="21" t="s">
        <v>52</v>
      </c>
      <c r="L480" s="27">
        <v>2445.1</v>
      </c>
      <c r="M480" s="21"/>
      <c r="N480" s="21"/>
      <c r="O480" s="21" t="s">
        <v>975</v>
      </c>
      <c r="P480" s="21" t="s">
        <v>54</v>
      </c>
      <c r="Q480" s="28">
        <v>46179</v>
      </c>
      <c r="R480" s="29">
        <v>46178.597650463</v>
      </c>
      <c r="S480" s="21" t="s">
        <v>145</v>
      </c>
      <c r="T480" s="21"/>
      <c r="U480" s="21" t="s">
        <v>142</v>
      </c>
      <c r="V480" s="29">
        <v>46178.5976041667</v>
      </c>
      <c r="W480">
        <f>VLOOKUP(H480,物料編碼!A:B,2,0)</f>
        <v>1300607015</v>
      </c>
      <c r="X480">
        <v>1300607</v>
      </c>
      <c r="Y480" t="str">
        <f>VLOOKUP(X480,物料編碼!D:G,4,0)</f>
        <v>帶皮腿扒</v>
      </c>
      <c r="Z480" t="str">
        <f>VLOOKUP(C480,客戶屬性1!A:C,2,0)</f>
        <v>新昌冻肉</v>
      </c>
      <c r="AA480">
        <f>IF(COUNTIF($O$1:O480,O480)=1,L480,0)</f>
        <v>0</v>
      </c>
    </row>
    <row r="481" customHeight="1" spans="1:27">
      <c r="A481" s="21" t="s">
        <v>976</v>
      </c>
      <c r="B481" s="21" t="s">
        <v>45</v>
      </c>
      <c r="C481" s="21" t="s">
        <v>538</v>
      </c>
      <c r="D481" s="21" t="s">
        <v>539</v>
      </c>
      <c r="E481" s="21" t="s">
        <v>540</v>
      </c>
      <c r="F481" s="21" t="s">
        <v>49</v>
      </c>
      <c r="G481" s="21" t="s">
        <v>541</v>
      </c>
      <c r="H481" s="21" t="s">
        <v>93</v>
      </c>
      <c r="I481" s="26">
        <v>1</v>
      </c>
      <c r="J481" s="26">
        <v>10</v>
      </c>
      <c r="K481" s="21" t="s">
        <v>52</v>
      </c>
      <c r="L481" s="27">
        <v>132</v>
      </c>
      <c r="M481" s="21"/>
      <c r="N481" s="21"/>
      <c r="O481" s="21" t="s">
        <v>977</v>
      </c>
      <c r="P481" s="21" t="s">
        <v>54</v>
      </c>
      <c r="Q481" s="28">
        <v>46178</v>
      </c>
      <c r="R481" s="29">
        <v>46178.5848842593</v>
      </c>
      <c r="S481" s="21" t="s">
        <v>543</v>
      </c>
      <c r="T481" s="21"/>
      <c r="U481" s="21" t="s">
        <v>539</v>
      </c>
      <c r="V481" s="29">
        <v>46178.584837963</v>
      </c>
      <c r="W481">
        <f>VLOOKUP(H481,物料編碼!A:B,2,0)</f>
        <v>1300903005</v>
      </c>
      <c r="X481">
        <v>1300903</v>
      </c>
      <c r="Y481" t="str">
        <f>VLOOKUP(X481,物料編碼!D:G,4,0)</f>
        <v>生鴨胸</v>
      </c>
      <c r="Z481" t="str">
        <f>VLOOKUP(C481,客戶屬性1!A:C,2,0)</f>
        <v>诚信冻肉有限公司</v>
      </c>
      <c r="AA481">
        <f>IF(COUNTIF($O$1:O481,O481)=1,L481,0)</f>
        <v>132</v>
      </c>
    </row>
    <row r="482" customHeight="1" spans="1:27">
      <c r="A482" s="21" t="s">
        <v>978</v>
      </c>
      <c r="B482" s="21" t="s">
        <v>45</v>
      </c>
      <c r="C482" s="21" t="s">
        <v>538</v>
      </c>
      <c r="D482" s="21" t="s">
        <v>539</v>
      </c>
      <c r="E482" s="21" t="s">
        <v>540</v>
      </c>
      <c r="F482" s="21" t="s">
        <v>49</v>
      </c>
      <c r="G482" s="21" t="s">
        <v>541</v>
      </c>
      <c r="H482" s="21" t="s">
        <v>532</v>
      </c>
      <c r="I482" s="26">
        <v>1</v>
      </c>
      <c r="J482" s="26">
        <v>10</v>
      </c>
      <c r="K482" s="21" t="s">
        <v>52</v>
      </c>
      <c r="L482" s="27">
        <v>132</v>
      </c>
      <c r="M482" s="21"/>
      <c r="N482" s="21"/>
      <c r="O482" s="21" t="s">
        <v>979</v>
      </c>
      <c r="P482" s="21" t="s">
        <v>183</v>
      </c>
      <c r="Q482" s="28">
        <v>46178</v>
      </c>
      <c r="R482" s="29">
        <v>46178.5206365741</v>
      </c>
      <c r="S482" s="21" t="s">
        <v>543</v>
      </c>
      <c r="T482" s="21"/>
      <c r="U482" s="21" t="s">
        <v>539</v>
      </c>
      <c r="V482" s="29">
        <v>46178.5205787037</v>
      </c>
      <c r="W482">
        <f>VLOOKUP(H482,物料編碼!A:B,2,0)</f>
        <v>1300903006</v>
      </c>
      <c r="X482">
        <v>1300903</v>
      </c>
      <c r="Y482" t="str">
        <f>VLOOKUP(X482,物料編碼!D:G,4,0)</f>
        <v>生鴨胸</v>
      </c>
      <c r="Z482" t="str">
        <f>VLOOKUP(C482,客戶屬性1!A:C,2,0)</f>
        <v>诚信冻肉有限公司</v>
      </c>
      <c r="AA482">
        <f>IF(COUNTIF($O$1:O482,O482)=1,L482,0)</f>
        <v>132</v>
      </c>
    </row>
    <row r="483" customHeight="1" spans="1:27">
      <c r="A483" s="21" t="s">
        <v>980</v>
      </c>
      <c r="B483" s="21" t="s">
        <v>45</v>
      </c>
      <c r="C483" s="21" t="s">
        <v>304</v>
      </c>
      <c r="D483" s="21" t="s">
        <v>305</v>
      </c>
      <c r="E483" s="21" t="s">
        <v>306</v>
      </c>
      <c r="F483" s="21" t="s">
        <v>49</v>
      </c>
      <c r="G483" s="21" t="s">
        <v>307</v>
      </c>
      <c r="H483" s="21" t="s">
        <v>981</v>
      </c>
      <c r="I483" s="26">
        <v>15</v>
      </c>
      <c r="J483" s="26">
        <v>180</v>
      </c>
      <c r="K483" s="21" t="s">
        <v>52</v>
      </c>
      <c r="L483" s="27">
        <v>2106</v>
      </c>
      <c r="M483" s="21"/>
      <c r="N483" s="21"/>
      <c r="O483" s="21" t="s">
        <v>982</v>
      </c>
      <c r="P483" s="21" t="s">
        <v>54</v>
      </c>
      <c r="Q483" s="28">
        <v>46178</v>
      </c>
      <c r="R483" s="29">
        <v>46178.5024884259</v>
      </c>
      <c r="S483" s="21" t="s">
        <v>983</v>
      </c>
      <c r="T483" s="21"/>
      <c r="U483" s="21" t="s">
        <v>306</v>
      </c>
      <c r="V483" s="29">
        <v>46178.5024421296</v>
      </c>
      <c r="W483">
        <f>VLOOKUP(H483,物料編碼!A:B,2,0)</f>
        <v>1300613016</v>
      </c>
      <c r="X483">
        <v>1300613</v>
      </c>
      <c r="Y483" t="str">
        <f>VLOOKUP(X483,物料編碼!D:G,4,0)</f>
        <v>小胸肉</v>
      </c>
      <c r="Z483" t="str">
        <f>VLOOKUP(C483,客戶屬性1!A:C,2,0)</f>
        <v>三宝食品集团有限公司</v>
      </c>
      <c r="AA483">
        <f>IF(COUNTIF($O$1:O483,O483)=1,L483,0)</f>
        <v>2106</v>
      </c>
    </row>
    <row r="484" customHeight="1" spans="1:27">
      <c r="A484" s="21" t="s">
        <v>984</v>
      </c>
      <c r="B484" s="21" t="s">
        <v>45</v>
      </c>
      <c r="C484" s="21" t="s">
        <v>187</v>
      </c>
      <c r="D484" s="21" t="s">
        <v>188</v>
      </c>
      <c r="E484" s="21" t="s">
        <v>189</v>
      </c>
      <c r="F484" s="21" t="s">
        <v>49</v>
      </c>
      <c r="G484" s="21" t="s">
        <v>68</v>
      </c>
      <c r="H484" s="21" t="s">
        <v>283</v>
      </c>
      <c r="I484" s="26">
        <v>4</v>
      </c>
      <c r="J484" s="26">
        <v>100</v>
      </c>
      <c r="K484" s="21" t="s">
        <v>52</v>
      </c>
      <c r="L484" s="27">
        <v>1980</v>
      </c>
      <c r="M484" s="21"/>
      <c r="N484" s="21"/>
      <c r="O484" s="21" t="s">
        <v>985</v>
      </c>
      <c r="P484" s="21" t="s">
        <v>54</v>
      </c>
      <c r="Q484" s="28">
        <v>46179</v>
      </c>
      <c r="R484" s="29">
        <v>46178.4610300926</v>
      </c>
      <c r="S484" s="21" t="s">
        <v>192</v>
      </c>
      <c r="T484" s="21"/>
      <c r="U484" s="21" t="s">
        <v>193</v>
      </c>
      <c r="V484" s="29">
        <v>46178.4609837963</v>
      </c>
      <c r="W484">
        <f>VLOOKUP(H484,物料編碼!A:B,2,0)</f>
        <v>1300104005</v>
      </c>
      <c r="X484">
        <v>1300104</v>
      </c>
      <c r="Y484" t="str">
        <f>VLOOKUP(X484,物料編碼!D:G,4,0)</f>
        <v>四號肉</v>
      </c>
      <c r="Z484" t="str">
        <f>VLOOKUP(C484,客戶屬性1!A:C,2,0)</f>
        <v>佳城兴业有限公司/火炭</v>
      </c>
      <c r="AA484">
        <f>IF(COUNTIF($O$1:O484,O484)=1,L484,0)</f>
        <v>1980</v>
      </c>
    </row>
    <row r="485" customHeight="1" spans="1:27">
      <c r="A485" s="21" t="s">
        <v>986</v>
      </c>
      <c r="B485" s="21" t="s">
        <v>45</v>
      </c>
      <c r="C485" s="21" t="s">
        <v>158</v>
      </c>
      <c r="D485" s="21" t="s">
        <v>159</v>
      </c>
      <c r="E485" s="21" t="s">
        <v>160</v>
      </c>
      <c r="F485" s="21" t="s">
        <v>49</v>
      </c>
      <c r="G485" s="21" t="s">
        <v>68</v>
      </c>
      <c r="H485" s="21" t="s">
        <v>283</v>
      </c>
      <c r="I485" s="26">
        <v>2</v>
      </c>
      <c r="J485" s="26">
        <v>50</v>
      </c>
      <c r="K485" s="21" t="s">
        <v>52</v>
      </c>
      <c r="L485" s="27">
        <v>990</v>
      </c>
      <c r="M485" s="21"/>
      <c r="N485" s="21"/>
      <c r="O485" s="21" t="s">
        <v>987</v>
      </c>
      <c r="P485" s="21" t="s">
        <v>54</v>
      </c>
      <c r="Q485" s="28">
        <v>46179</v>
      </c>
      <c r="R485" s="29">
        <v>46178.4553935185</v>
      </c>
      <c r="S485" s="21" t="s">
        <v>163</v>
      </c>
      <c r="T485" s="21"/>
      <c r="U485" s="21" t="s">
        <v>164</v>
      </c>
      <c r="V485" s="29">
        <v>46178.4553472222</v>
      </c>
      <c r="W485">
        <f>VLOOKUP(H485,物料編碼!A:B,2,0)</f>
        <v>1300104005</v>
      </c>
      <c r="X485">
        <v>1300104</v>
      </c>
      <c r="Y485" t="str">
        <f>VLOOKUP(X485,物料編碼!D:G,4,0)</f>
        <v>四號肉</v>
      </c>
      <c r="Z485" t="str">
        <f>VLOOKUP(C485,客戶屬性1!A:C,2,0)</f>
        <v>先进食品国际有限公司</v>
      </c>
      <c r="AA485">
        <f>IF(COUNTIF($O$1:O485,O485)=1,L485,0)</f>
        <v>990</v>
      </c>
    </row>
    <row r="486" customHeight="1" spans="1:27">
      <c r="A486" s="21" t="s">
        <v>988</v>
      </c>
      <c r="B486" s="21" t="s">
        <v>45</v>
      </c>
      <c r="C486" s="21" t="s">
        <v>114</v>
      </c>
      <c r="D486" s="21" t="s">
        <v>115</v>
      </c>
      <c r="E486" s="21" t="s">
        <v>116</v>
      </c>
      <c r="F486" s="21" t="s">
        <v>49</v>
      </c>
      <c r="G486" s="21" t="s">
        <v>100</v>
      </c>
      <c r="H486" s="21" t="s">
        <v>298</v>
      </c>
      <c r="I486" s="26">
        <v>1</v>
      </c>
      <c r="J486" s="26">
        <v>10</v>
      </c>
      <c r="K486" s="21" t="s">
        <v>52</v>
      </c>
      <c r="L486" s="27">
        <v>520</v>
      </c>
      <c r="M486" s="21"/>
      <c r="N486" s="21"/>
      <c r="O486" s="21" t="s">
        <v>989</v>
      </c>
      <c r="P486" s="21" t="s">
        <v>54</v>
      </c>
      <c r="Q486" s="28">
        <v>46178</v>
      </c>
      <c r="R486" s="29">
        <v>46178.4061226852</v>
      </c>
      <c r="S486" s="21" t="s">
        <v>119</v>
      </c>
      <c r="T486" s="21"/>
      <c r="U486" s="21" t="s">
        <v>115</v>
      </c>
      <c r="V486" s="29">
        <v>46178.4060763889</v>
      </c>
      <c r="W486">
        <f>VLOOKUP(H486,物料編碼!A:B,2,0)</f>
        <v>1300111003</v>
      </c>
      <c r="X486">
        <v>1300111</v>
      </c>
      <c r="Y486" t="str">
        <f>VLOOKUP(X486,物料編碼!D:G,4,0)</f>
        <v>寸骨</v>
      </c>
      <c r="Z486" t="str">
        <f>VLOOKUP(C486,客戶屬性1!A:C,2,0)</f>
        <v>骏利贸易公司</v>
      </c>
      <c r="AA486">
        <f>IF(COUNTIF($O$1:O486,O486)=1,L486,0)</f>
        <v>520</v>
      </c>
    </row>
    <row r="487" customHeight="1" spans="1:27">
      <c r="A487" s="21" t="s">
        <v>990</v>
      </c>
      <c r="B487" s="21" t="s">
        <v>45</v>
      </c>
      <c r="C487" s="21" t="s">
        <v>72</v>
      </c>
      <c r="D487" s="21" t="s">
        <v>73</v>
      </c>
      <c r="E487" s="21" t="s">
        <v>74</v>
      </c>
      <c r="F487" s="21" t="s">
        <v>49</v>
      </c>
      <c r="G487" s="21" t="s">
        <v>50</v>
      </c>
      <c r="H487" s="21" t="s">
        <v>75</v>
      </c>
      <c r="I487" s="26">
        <v>1</v>
      </c>
      <c r="J487" s="26">
        <v>15</v>
      </c>
      <c r="K487" s="21" t="s">
        <v>52</v>
      </c>
      <c r="L487" s="27">
        <v>188.55</v>
      </c>
      <c r="M487" s="21"/>
      <c r="N487" s="21"/>
      <c r="O487" s="21" t="s">
        <v>991</v>
      </c>
      <c r="P487" s="21" t="s">
        <v>54</v>
      </c>
      <c r="Q487" s="28">
        <v>46178</v>
      </c>
      <c r="R487" s="29">
        <v>46178.4034953704</v>
      </c>
      <c r="S487" s="21" t="s">
        <v>77</v>
      </c>
      <c r="T487" s="21"/>
      <c r="U487" s="21" t="s">
        <v>74</v>
      </c>
      <c r="V487" s="29">
        <v>46178.4034490741</v>
      </c>
      <c r="W487">
        <f>VLOOKUP(H487,物料編碼!A:B,2,0)</f>
        <v>1300603040</v>
      </c>
      <c r="X487">
        <v>1300603</v>
      </c>
      <c r="Y487" t="str">
        <f>VLOOKUP(X487,物料編碼!D:G,4,0)</f>
        <v>帶骨全腿</v>
      </c>
      <c r="Z487" t="str">
        <f>VLOOKUP(C487,客戶屬性1!A:C,2,0)</f>
        <v>恒辉贸易公司</v>
      </c>
      <c r="AA487">
        <f>IF(COUNTIF($O$1:O487,O487)=1,L487,0)</f>
        <v>188.55</v>
      </c>
    </row>
    <row r="488" customHeight="1" spans="1:27">
      <c r="A488" s="21" t="s">
        <v>992</v>
      </c>
      <c r="B488" s="21" t="s">
        <v>45</v>
      </c>
      <c r="C488" s="21" t="s">
        <v>72</v>
      </c>
      <c r="D488" s="21" t="s">
        <v>73</v>
      </c>
      <c r="E488" s="21" t="s">
        <v>74</v>
      </c>
      <c r="F488" s="21" t="s">
        <v>49</v>
      </c>
      <c r="G488" s="21" t="s">
        <v>50</v>
      </c>
      <c r="H488" s="21" t="s">
        <v>450</v>
      </c>
      <c r="I488" s="26">
        <v>1</v>
      </c>
      <c r="J488" s="26">
        <v>20</v>
      </c>
      <c r="K488" s="21" t="s">
        <v>52</v>
      </c>
      <c r="L488" s="27">
        <v>1640</v>
      </c>
      <c r="M488" s="21"/>
      <c r="N488" s="21"/>
      <c r="O488" s="21" t="s">
        <v>993</v>
      </c>
      <c r="P488" s="21" t="s">
        <v>54</v>
      </c>
      <c r="Q488" s="28">
        <v>46178</v>
      </c>
      <c r="R488" s="29">
        <v>46178.3630787037</v>
      </c>
      <c r="S488" s="21" t="s">
        <v>81</v>
      </c>
      <c r="T488" s="21"/>
      <c r="U488" s="21" t="s">
        <v>82</v>
      </c>
      <c r="V488" s="29">
        <v>46178.3630092593</v>
      </c>
      <c r="W488">
        <f>VLOOKUP(H488,物料編碼!A:B,2,0)</f>
        <v>1300501019</v>
      </c>
      <c r="X488">
        <v>1300501</v>
      </c>
      <c r="Y488" t="str">
        <f>VLOOKUP(X488,物料編碼!D:G,4,0)</f>
        <v>羊排</v>
      </c>
      <c r="Z488" t="str">
        <f>VLOOKUP(C488,客戶屬性1!A:C,2,0)</f>
        <v>恒辉贸易公司</v>
      </c>
      <c r="AA488">
        <f>IF(COUNTIF($O$1:O488,O488)=1,L488,0)</f>
        <v>1640</v>
      </c>
    </row>
    <row r="489" customHeight="1" spans="1:27">
      <c r="A489" s="21" t="s">
        <v>994</v>
      </c>
      <c r="B489" s="21" t="s">
        <v>45</v>
      </c>
      <c r="C489" s="21" t="s">
        <v>72</v>
      </c>
      <c r="D489" s="21" t="s">
        <v>73</v>
      </c>
      <c r="E489" s="21" t="s">
        <v>74</v>
      </c>
      <c r="F489" s="21" t="s">
        <v>49</v>
      </c>
      <c r="G489" s="21" t="s">
        <v>50</v>
      </c>
      <c r="H489" s="21" t="s">
        <v>190</v>
      </c>
      <c r="I489" s="26">
        <v>2</v>
      </c>
      <c r="J489" s="26">
        <v>24</v>
      </c>
      <c r="K489" s="21" t="s">
        <v>52</v>
      </c>
      <c r="L489" s="27">
        <v>379.2</v>
      </c>
      <c r="M489" s="21"/>
      <c r="N489" s="21"/>
      <c r="O489" s="21" t="s">
        <v>995</v>
      </c>
      <c r="P489" s="21" t="s">
        <v>54</v>
      </c>
      <c r="Q489" s="28">
        <v>46178</v>
      </c>
      <c r="R489" s="29">
        <v>46177.6707407407</v>
      </c>
      <c r="S489" s="21" t="s">
        <v>81</v>
      </c>
      <c r="T489" s="21"/>
      <c r="U489" s="21" t="s">
        <v>82</v>
      </c>
      <c r="V489" s="29">
        <v>46177.6706944444</v>
      </c>
      <c r="W489">
        <f>VLOOKUP(H489,物料編碼!A:B,2,0)</f>
        <v>1300609001</v>
      </c>
      <c r="X489">
        <v>1300609</v>
      </c>
      <c r="Y489" t="str">
        <f>VLOOKUP(X489,物料編碼!D:G,4,0)</f>
        <v>去皮上腿肉</v>
      </c>
      <c r="Z489" t="str">
        <f>VLOOKUP(C489,客戶屬性1!A:C,2,0)</f>
        <v>恒辉贸易公司</v>
      </c>
      <c r="AA489">
        <f>IF(COUNTIF($O$1:O489,O489)=1,L489,0)</f>
        <v>379.2</v>
      </c>
    </row>
    <row r="490" customHeight="1" spans="1:27">
      <c r="A490" s="21" t="s">
        <v>996</v>
      </c>
      <c r="B490" s="21" t="s">
        <v>45</v>
      </c>
      <c r="C490" s="21" t="s">
        <v>114</v>
      </c>
      <c r="D490" s="21" t="s">
        <v>115</v>
      </c>
      <c r="E490" s="21" t="s">
        <v>116</v>
      </c>
      <c r="F490" s="21" t="s">
        <v>49</v>
      </c>
      <c r="G490" s="21" t="s">
        <v>100</v>
      </c>
      <c r="H490" s="21" t="s">
        <v>168</v>
      </c>
      <c r="I490" s="26">
        <v>1</v>
      </c>
      <c r="J490" s="26">
        <v>10</v>
      </c>
      <c r="K490" s="21" t="s">
        <v>52</v>
      </c>
      <c r="L490" s="27">
        <v>97</v>
      </c>
      <c r="M490" s="21"/>
      <c r="N490" s="21"/>
      <c r="O490" s="21" t="s">
        <v>997</v>
      </c>
      <c r="P490" s="21" t="s">
        <v>54</v>
      </c>
      <c r="Q490" s="28">
        <v>46178</v>
      </c>
      <c r="R490" s="29">
        <v>46177.5089236111</v>
      </c>
      <c r="S490" s="21" t="s">
        <v>119</v>
      </c>
      <c r="T490" s="21"/>
      <c r="U490" s="21" t="s">
        <v>115</v>
      </c>
      <c r="V490" s="29">
        <v>46177.5088773148</v>
      </c>
      <c r="W490">
        <f>VLOOKUP(H490,物料編碼!A:B,2,0)</f>
        <v>1300627002</v>
      </c>
      <c r="X490">
        <v>1300627</v>
      </c>
      <c r="Y490" t="str">
        <f>VLOOKUP(X490,物料編碼!D:G,4,0)</f>
        <v>翅尖</v>
      </c>
      <c r="Z490" t="str">
        <f>VLOOKUP(C490,客戶屬性1!A:C,2,0)</f>
        <v>骏利贸易公司</v>
      </c>
      <c r="AA490">
        <f>IF(COUNTIF($O$1:O490,O490)=1,L490,0)</f>
        <v>97</v>
      </c>
    </row>
    <row r="491" customHeight="1" spans="1:27">
      <c r="A491" s="21" t="s">
        <v>998</v>
      </c>
      <c r="B491" s="21" t="s">
        <v>45</v>
      </c>
      <c r="C491" s="21" t="s">
        <v>97</v>
      </c>
      <c r="D491" s="21" t="s">
        <v>98</v>
      </c>
      <c r="E491" s="21" t="s">
        <v>99</v>
      </c>
      <c r="F491" s="21" t="s">
        <v>49</v>
      </c>
      <c r="G491" s="21" t="s">
        <v>100</v>
      </c>
      <c r="H491" s="21" t="s">
        <v>298</v>
      </c>
      <c r="I491" s="26">
        <v>3</v>
      </c>
      <c r="J491" s="26">
        <v>30</v>
      </c>
      <c r="K491" s="21" t="s">
        <v>52</v>
      </c>
      <c r="L491" s="27">
        <v>1455</v>
      </c>
      <c r="M491" s="21"/>
      <c r="N491" s="21"/>
      <c r="O491" s="21" t="s">
        <v>999</v>
      </c>
      <c r="P491" s="21" t="s">
        <v>54</v>
      </c>
      <c r="Q491" s="28">
        <v>46177</v>
      </c>
      <c r="R491" s="29">
        <v>46177.4923958333</v>
      </c>
      <c r="S491" s="21" t="s">
        <v>1000</v>
      </c>
      <c r="T491" s="21"/>
      <c r="U491" s="21" t="s">
        <v>1001</v>
      </c>
      <c r="V491" s="29">
        <v>46177.492349537</v>
      </c>
      <c r="W491">
        <f>VLOOKUP(H491,物料編碼!A:B,2,0)</f>
        <v>1300111003</v>
      </c>
      <c r="X491">
        <v>1300111</v>
      </c>
      <c r="Y491" t="str">
        <f>VLOOKUP(X491,物料編碼!D:G,4,0)</f>
        <v>寸骨</v>
      </c>
      <c r="Z491" t="str">
        <f>VLOOKUP(C491,客戶屬性1!A:C,2,0)</f>
        <v>三明有限公司</v>
      </c>
      <c r="AA491">
        <f>IF(COUNTIF($O$1:O491,O491)=1,L491,0)</f>
        <v>1455</v>
      </c>
    </row>
    <row r="492" customHeight="1" spans="1:27">
      <c r="A492" s="21" t="s">
        <v>1002</v>
      </c>
      <c r="B492" s="21" t="s">
        <v>45</v>
      </c>
      <c r="C492" s="21" t="s">
        <v>858</v>
      </c>
      <c r="D492" s="21" t="s">
        <v>859</v>
      </c>
      <c r="E492" s="21" t="s">
        <v>860</v>
      </c>
      <c r="F492" s="21" t="s">
        <v>49</v>
      </c>
      <c r="G492" s="21" t="s">
        <v>136</v>
      </c>
      <c r="H492" s="21" t="s">
        <v>861</v>
      </c>
      <c r="I492" s="26">
        <v>2</v>
      </c>
      <c r="J492" s="26">
        <v>20</v>
      </c>
      <c r="K492" s="21" t="s">
        <v>52</v>
      </c>
      <c r="L492" s="27">
        <v>716</v>
      </c>
      <c r="M492" s="21"/>
      <c r="N492" s="21"/>
      <c r="O492" s="21" t="s">
        <v>1003</v>
      </c>
      <c r="P492" s="21" t="s">
        <v>54</v>
      </c>
      <c r="Q492" s="28">
        <v>46177</v>
      </c>
      <c r="R492" s="29">
        <v>46177.4071990741</v>
      </c>
      <c r="S492" s="21" t="s">
        <v>863</v>
      </c>
      <c r="T492" s="21"/>
      <c r="U492" s="21" t="s">
        <v>859</v>
      </c>
      <c r="V492" s="29">
        <v>46177.4071527778</v>
      </c>
      <c r="W492">
        <f>VLOOKUP(H492,物料編碼!A:B,2,0)</f>
        <v>1800108098</v>
      </c>
      <c r="X492">
        <v>1800108</v>
      </c>
      <c r="Y492" t="str">
        <f>VLOOKUP(X492,物料編碼!D:G,4,0)</f>
        <v>魚.其他</v>
      </c>
      <c r="Z492" t="str">
        <f>VLOOKUP(C492,客戶屬性1!A:C,2,0)</f>
        <v>福伟集团有限公司</v>
      </c>
      <c r="AA492">
        <f>IF(COUNTIF($O$1:O492,O492)=1,L492,0)</f>
        <v>716</v>
      </c>
    </row>
    <row r="493" customHeight="1" spans="1:27">
      <c r="A493" s="21" t="s">
        <v>1004</v>
      </c>
      <c r="B493" s="21" t="s">
        <v>45</v>
      </c>
      <c r="C493" s="21" t="s">
        <v>72</v>
      </c>
      <c r="D493" s="21" t="s">
        <v>73</v>
      </c>
      <c r="E493" s="21" t="s">
        <v>74</v>
      </c>
      <c r="F493" s="21" t="s">
        <v>49</v>
      </c>
      <c r="G493" s="21" t="s">
        <v>50</v>
      </c>
      <c r="H493" s="21" t="s">
        <v>190</v>
      </c>
      <c r="I493" s="26">
        <v>3</v>
      </c>
      <c r="J493" s="26">
        <v>36</v>
      </c>
      <c r="K493" s="21" t="s">
        <v>52</v>
      </c>
      <c r="L493" s="27">
        <v>568.8</v>
      </c>
      <c r="M493" s="21"/>
      <c r="N493" s="21"/>
      <c r="O493" s="21" t="s">
        <v>1005</v>
      </c>
      <c r="P493" s="21" t="s">
        <v>54</v>
      </c>
      <c r="Q493" s="28">
        <v>46177</v>
      </c>
      <c r="R493" s="29">
        <v>46177.3995833333</v>
      </c>
      <c r="S493" s="21" t="s">
        <v>77</v>
      </c>
      <c r="T493" s="21"/>
      <c r="U493" s="21" t="s">
        <v>74</v>
      </c>
      <c r="V493" s="29">
        <v>46177.399525463</v>
      </c>
      <c r="W493">
        <f>VLOOKUP(H493,物料編碼!A:B,2,0)</f>
        <v>1300609001</v>
      </c>
      <c r="X493">
        <v>1300609</v>
      </c>
      <c r="Y493" t="str">
        <f>VLOOKUP(X493,物料編碼!D:G,4,0)</f>
        <v>去皮上腿肉</v>
      </c>
      <c r="Z493" t="str">
        <f>VLOOKUP(C493,客戶屬性1!A:C,2,0)</f>
        <v>恒辉贸易公司</v>
      </c>
      <c r="AA493">
        <f>IF(COUNTIF($O$1:O493,O493)=1,L493,0)</f>
        <v>568.8</v>
      </c>
    </row>
    <row r="494" customHeight="1" spans="1:27">
      <c r="A494" s="21" t="s">
        <v>1006</v>
      </c>
      <c r="B494" s="21" t="s">
        <v>45</v>
      </c>
      <c r="C494" s="21" t="s">
        <v>72</v>
      </c>
      <c r="D494" s="21" t="s">
        <v>73</v>
      </c>
      <c r="E494" s="21" t="s">
        <v>74</v>
      </c>
      <c r="F494" s="21" t="s">
        <v>49</v>
      </c>
      <c r="G494" s="21" t="s">
        <v>50</v>
      </c>
      <c r="H494" s="21" t="s">
        <v>190</v>
      </c>
      <c r="I494" s="26">
        <v>3</v>
      </c>
      <c r="J494" s="26">
        <v>36</v>
      </c>
      <c r="K494" s="21" t="s">
        <v>52</v>
      </c>
      <c r="L494" s="27">
        <v>568.8</v>
      </c>
      <c r="M494" s="21"/>
      <c r="N494" s="21"/>
      <c r="O494" s="21" t="s">
        <v>1007</v>
      </c>
      <c r="P494" s="21" t="s">
        <v>54</v>
      </c>
      <c r="Q494" s="28">
        <v>46177</v>
      </c>
      <c r="R494" s="29">
        <v>46177.3903009259</v>
      </c>
      <c r="S494" s="21" t="s">
        <v>77</v>
      </c>
      <c r="T494" s="21"/>
      <c r="U494" s="21" t="s">
        <v>74</v>
      </c>
      <c r="V494" s="29">
        <v>46177.3902546296</v>
      </c>
      <c r="W494">
        <f>VLOOKUP(H494,物料編碼!A:B,2,0)</f>
        <v>1300609001</v>
      </c>
      <c r="X494">
        <v>1300609</v>
      </c>
      <c r="Y494" t="str">
        <f>VLOOKUP(X494,物料編碼!D:G,4,0)</f>
        <v>去皮上腿肉</v>
      </c>
      <c r="Z494" t="str">
        <f>VLOOKUP(C494,客戶屬性1!A:C,2,0)</f>
        <v>恒辉贸易公司</v>
      </c>
      <c r="AA494">
        <f>IF(COUNTIF($O$1:O494,O494)=1,L494,0)</f>
        <v>568.8</v>
      </c>
    </row>
    <row r="495" customHeight="1" spans="1:27">
      <c r="A495" s="21" t="s">
        <v>1008</v>
      </c>
      <c r="B495" s="21" t="s">
        <v>45</v>
      </c>
      <c r="C495" s="21" t="s">
        <v>893</v>
      </c>
      <c r="D495" s="21" t="s">
        <v>894</v>
      </c>
      <c r="E495" s="21" t="s">
        <v>895</v>
      </c>
      <c r="F495" s="21" t="s">
        <v>49</v>
      </c>
      <c r="G495" s="21" t="s">
        <v>89</v>
      </c>
      <c r="H495" s="21" t="s">
        <v>298</v>
      </c>
      <c r="I495" s="26">
        <v>1</v>
      </c>
      <c r="J495" s="26">
        <v>10</v>
      </c>
      <c r="K495" s="21" t="s">
        <v>52</v>
      </c>
      <c r="L495" s="27">
        <v>485</v>
      </c>
      <c r="M495" s="21"/>
      <c r="N495" s="21"/>
      <c r="O495" s="21" t="s">
        <v>1009</v>
      </c>
      <c r="P495" s="21" t="s">
        <v>54</v>
      </c>
      <c r="Q495" s="28">
        <v>46178</v>
      </c>
      <c r="R495" s="29">
        <v>46177.3897453704</v>
      </c>
      <c r="S495" s="21" t="s">
        <v>897</v>
      </c>
      <c r="T495" s="21"/>
      <c r="U495" s="21" t="s">
        <v>894</v>
      </c>
      <c r="V495" s="29">
        <v>46177.3896875</v>
      </c>
      <c r="W495">
        <f>VLOOKUP(H495,物料編碼!A:B,2,0)</f>
        <v>1300111003</v>
      </c>
      <c r="X495">
        <v>1300111</v>
      </c>
      <c r="Y495" t="str">
        <f>VLOOKUP(X495,物料編碼!D:G,4,0)</f>
        <v>寸骨</v>
      </c>
      <c r="Z495" t="str">
        <f>VLOOKUP(C495,客戶屬性1!A:C,2,0)</f>
        <v>明記海鮮食品有限公司</v>
      </c>
      <c r="AA495">
        <f>IF(COUNTIF($O$1:O495,O495)=1,L495,0)</f>
        <v>485</v>
      </c>
    </row>
    <row r="496" customHeight="1" spans="1:27">
      <c r="A496" s="21" t="s">
        <v>1010</v>
      </c>
      <c r="B496" s="21" t="s">
        <v>45</v>
      </c>
      <c r="C496" s="21" t="s">
        <v>72</v>
      </c>
      <c r="D496" s="21" t="s">
        <v>73</v>
      </c>
      <c r="E496" s="21" t="s">
        <v>74</v>
      </c>
      <c r="F496" s="21" t="s">
        <v>49</v>
      </c>
      <c r="G496" s="21" t="s">
        <v>50</v>
      </c>
      <c r="H496" s="21" t="s">
        <v>117</v>
      </c>
      <c r="I496" s="26">
        <v>4</v>
      </c>
      <c r="J496" s="26">
        <v>60</v>
      </c>
      <c r="K496" s="21" t="s">
        <v>52</v>
      </c>
      <c r="L496" s="27">
        <v>886.8</v>
      </c>
      <c r="M496" s="21"/>
      <c r="N496" s="21"/>
      <c r="O496" s="21" t="s">
        <v>1011</v>
      </c>
      <c r="P496" s="21" t="s">
        <v>54</v>
      </c>
      <c r="Q496" s="28">
        <v>46177</v>
      </c>
      <c r="R496" s="29">
        <v>46176.6552662037</v>
      </c>
      <c r="S496" s="21" t="s">
        <v>81</v>
      </c>
      <c r="T496" s="21"/>
      <c r="U496" s="21" t="s">
        <v>82</v>
      </c>
      <c r="V496" s="29">
        <v>46176.6552199074</v>
      </c>
      <c r="W496">
        <f>VLOOKUP(H496,物料編碼!A:B,2,0)</f>
        <v>1300607015</v>
      </c>
      <c r="X496">
        <v>1300607</v>
      </c>
      <c r="Y496" t="str">
        <f>VLOOKUP(X496,物料編碼!D:G,4,0)</f>
        <v>帶皮腿扒</v>
      </c>
      <c r="Z496" t="str">
        <f>VLOOKUP(C496,客戶屬性1!A:C,2,0)</f>
        <v>恒辉贸易公司</v>
      </c>
      <c r="AA496">
        <f>IF(COUNTIF($O$1:O496,O496)=1,L496,0)</f>
        <v>886.8</v>
      </c>
    </row>
    <row r="497" customHeight="1" spans="1:27">
      <c r="A497" s="21" t="s">
        <v>1012</v>
      </c>
      <c r="B497" s="21" t="s">
        <v>45</v>
      </c>
      <c r="C497" s="21" t="s">
        <v>133</v>
      </c>
      <c r="D497" s="21" t="s">
        <v>134</v>
      </c>
      <c r="E497" s="21" t="s">
        <v>135</v>
      </c>
      <c r="F497" s="21" t="s">
        <v>49</v>
      </c>
      <c r="G497" s="21" t="s">
        <v>136</v>
      </c>
      <c r="H497" s="21" t="s">
        <v>137</v>
      </c>
      <c r="I497" s="26">
        <v>5</v>
      </c>
      <c r="J497" s="26">
        <v>90</v>
      </c>
      <c r="K497" s="21" t="s">
        <v>52</v>
      </c>
      <c r="L497" s="27">
        <v>7200</v>
      </c>
      <c r="M497" s="21"/>
      <c r="N497" s="21"/>
      <c r="O497" s="21" t="s">
        <v>1013</v>
      </c>
      <c r="P497" s="21" t="s">
        <v>54</v>
      </c>
      <c r="Q497" s="28">
        <v>46176</v>
      </c>
      <c r="R497" s="29">
        <v>46176.6115393518</v>
      </c>
      <c r="S497" s="21" t="s">
        <v>139</v>
      </c>
      <c r="T497" s="21"/>
      <c r="U497" s="21" t="s">
        <v>134</v>
      </c>
      <c r="V497" s="29">
        <v>46176.6114930556</v>
      </c>
      <c r="W497">
        <f>VLOOKUP(H497,物料編碼!A:B,2,0)</f>
        <v>1300503009</v>
      </c>
      <c r="X497">
        <v>1300503</v>
      </c>
      <c r="Y497" t="str">
        <f>VLOOKUP(X497,物料編碼!D:G,4,0)</f>
        <v>羊肩卷肉</v>
      </c>
      <c r="Z497" t="str">
        <f>VLOOKUP(C497,客戶屬性1!A:C,2,0)</f>
        <v>恒昌冻肉食品有限公司</v>
      </c>
      <c r="AA497">
        <f>IF(COUNTIF($O$1:O497,O497)=1,L497,0)</f>
        <v>7200</v>
      </c>
    </row>
    <row r="498" customHeight="1" spans="1:27">
      <c r="A498" s="21" t="s">
        <v>1014</v>
      </c>
      <c r="B498" s="21" t="s">
        <v>45</v>
      </c>
      <c r="C498" s="21" t="s">
        <v>158</v>
      </c>
      <c r="D498" s="21" t="s">
        <v>159</v>
      </c>
      <c r="E498" s="21" t="s">
        <v>160</v>
      </c>
      <c r="F498" s="21" t="s">
        <v>49</v>
      </c>
      <c r="G498" s="21" t="s">
        <v>68</v>
      </c>
      <c r="H498" s="21" t="s">
        <v>161</v>
      </c>
      <c r="I498" s="26">
        <v>10</v>
      </c>
      <c r="J498" s="26">
        <v>200</v>
      </c>
      <c r="K498" s="21" t="s">
        <v>52</v>
      </c>
      <c r="L498" s="27">
        <v>18600</v>
      </c>
      <c r="M498" s="21"/>
      <c r="N498" s="21"/>
      <c r="O498" s="21" t="s">
        <v>1015</v>
      </c>
      <c r="P498" s="21" t="s">
        <v>54</v>
      </c>
      <c r="Q498" s="28">
        <v>46177</v>
      </c>
      <c r="R498" s="29">
        <v>46176.5918981481</v>
      </c>
      <c r="S498" s="21" t="s">
        <v>163</v>
      </c>
      <c r="T498" s="21"/>
      <c r="U498" s="21" t="s">
        <v>164</v>
      </c>
      <c r="V498" s="29">
        <v>46176.5918402778</v>
      </c>
      <c r="W498">
        <f>VLOOKUP(H498,物料編碼!A:B,2,0)</f>
        <v>1300501020</v>
      </c>
      <c r="X498">
        <v>1300501</v>
      </c>
      <c r="Y498" t="str">
        <f>VLOOKUP(X498,物料編碼!D:G,4,0)</f>
        <v>羊排</v>
      </c>
      <c r="Z498" t="str">
        <f>VLOOKUP(C498,客戶屬性1!A:C,2,0)</f>
        <v>先进食品国际有限公司</v>
      </c>
      <c r="AA498">
        <f>IF(COUNTIF($O$1:O498,O498)=1,L498,0)</f>
        <v>18600</v>
      </c>
    </row>
    <row r="499" customHeight="1" spans="1:27">
      <c r="A499" s="21" t="s">
        <v>1016</v>
      </c>
      <c r="B499" s="21" t="s">
        <v>45</v>
      </c>
      <c r="C499" s="21" t="s">
        <v>141</v>
      </c>
      <c r="D499" s="21" t="s">
        <v>142</v>
      </c>
      <c r="E499" s="21" t="s">
        <v>142</v>
      </c>
      <c r="F499" s="21" t="s">
        <v>143</v>
      </c>
      <c r="G499" s="21" t="s">
        <v>100</v>
      </c>
      <c r="H499" s="21" t="s">
        <v>60</v>
      </c>
      <c r="I499" s="26">
        <v>1</v>
      </c>
      <c r="J499" s="26">
        <v>25</v>
      </c>
      <c r="K499" s="21" t="s">
        <v>52</v>
      </c>
      <c r="L499" s="27">
        <v>1610.1</v>
      </c>
      <c r="M499" s="21"/>
      <c r="N499" s="21"/>
      <c r="O499" s="21" t="s">
        <v>1017</v>
      </c>
      <c r="P499" s="21" t="s">
        <v>54</v>
      </c>
      <c r="Q499" s="28">
        <v>46177</v>
      </c>
      <c r="R499" s="29">
        <v>46176.534525463</v>
      </c>
      <c r="S499" s="21" t="s">
        <v>145</v>
      </c>
      <c r="T499" s="21"/>
      <c r="U499" s="21" t="s">
        <v>142</v>
      </c>
      <c r="V499" s="29">
        <v>46176.5344791667</v>
      </c>
      <c r="W499">
        <f>VLOOKUP(H499,物料編碼!A:B,2,0)</f>
        <v>1300101043</v>
      </c>
      <c r="X499">
        <v>1300101</v>
      </c>
      <c r="Y499" t="str">
        <f>VLOOKUP(X499,物料編碼!D:G,4,0)</f>
        <v>一號肉</v>
      </c>
      <c r="Z499" t="str">
        <f>VLOOKUP(C499,客戶屬性1!A:C,2,0)</f>
        <v>新昌冻肉</v>
      </c>
      <c r="AA499">
        <f>IF(COUNTIF($O$1:O499,O499)=1,L499,0)</f>
        <v>1610.1</v>
      </c>
    </row>
    <row r="500" customHeight="1" spans="1:27">
      <c r="A500" s="21" t="s">
        <v>1016</v>
      </c>
      <c r="B500" s="21" t="s">
        <v>45</v>
      </c>
      <c r="C500" s="21" t="s">
        <v>141</v>
      </c>
      <c r="D500" s="21" t="s">
        <v>142</v>
      </c>
      <c r="E500" s="21" t="s">
        <v>142</v>
      </c>
      <c r="F500" s="21" t="s">
        <v>143</v>
      </c>
      <c r="G500" s="21" t="s">
        <v>100</v>
      </c>
      <c r="H500" s="21" t="s">
        <v>117</v>
      </c>
      <c r="I500" s="26">
        <v>3</v>
      </c>
      <c r="J500" s="26">
        <v>45</v>
      </c>
      <c r="K500" s="21" t="s">
        <v>52</v>
      </c>
      <c r="L500" s="27">
        <v>1610.1</v>
      </c>
      <c r="M500" s="21"/>
      <c r="N500" s="21"/>
      <c r="O500" s="21" t="s">
        <v>1017</v>
      </c>
      <c r="P500" s="21" t="s">
        <v>54</v>
      </c>
      <c r="Q500" s="28">
        <v>46177</v>
      </c>
      <c r="R500" s="29">
        <v>46176.534525463</v>
      </c>
      <c r="S500" s="21" t="s">
        <v>145</v>
      </c>
      <c r="T500" s="21"/>
      <c r="U500" s="21" t="s">
        <v>142</v>
      </c>
      <c r="V500" s="29">
        <v>46176.5344791667</v>
      </c>
      <c r="W500">
        <f>VLOOKUP(H500,物料編碼!A:B,2,0)</f>
        <v>1300607015</v>
      </c>
      <c r="X500">
        <v>1300607</v>
      </c>
      <c r="Y500" t="str">
        <f>VLOOKUP(X500,物料編碼!D:G,4,0)</f>
        <v>帶皮腿扒</v>
      </c>
      <c r="Z500" t="str">
        <f>VLOOKUP(C500,客戶屬性1!A:C,2,0)</f>
        <v>新昌冻肉</v>
      </c>
      <c r="AA500">
        <f>IF(COUNTIF($O$1:O500,O500)=1,L500,0)</f>
        <v>0</v>
      </c>
    </row>
    <row r="501" customHeight="1" spans="1:27">
      <c r="A501" s="21" t="s">
        <v>1018</v>
      </c>
      <c r="B501" s="21" t="s">
        <v>45</v>
      </c>
      <c r="C501" s="21" t="s">
        <v>457</v>
      </c>
      <c r="D501" s="21" t="s">
        <v>458</v>
      </c>
      <c r="E501" s="21" t="s">
        <v>459</v>
      </c>
      <c r="F501" s="21" t="s">
        <v>49</v>
      </c>
      <c r="G501" s="21" t="s">
        <v>68</v>
      </c>
      <c r="H501" s="21" t="s">
        <v>1019</v>
      </c>
      <c r="I501" s="26">
        <v>2</v>
      </c>
      <c r="J501" s="26">
        <v>20</v>
      </c>
      <c r="K501" s="21" t="s">
        <v>52</v>
      </c>
      <c r="L501" s="27">
        <v>660</v>
      </c>
      <c r="M501" s="21"/>
      <c r="N501" s="21"/>
      <c r="O501" s="21" t="s">
        <v>1020</v>
      </c>
      <c r="P501" s="21" t="s">
        <v>183</v>
      </c>
      <c r="Q501" s="28">
        <v>46177</v>
      </c>
      <c r="R501" s="29">
        <v>46176.5181712963</v>
      </c>
      <c r="S501" s="21" t="s">
        <v>461</v>
      </c>
      <c r="T501" s="21"/>
      <c r="U501" s="21" t="s">
        <v>458</v>
      </c>
      <c r="V501" s="29">
        <v>46176.518125</v>
      </c>
      <c r="W501">
        <f>VLOOKUP(H501,物料編碼!A:B,2,0)</f>
        <v>1800108095</v>
      </c>
      <c r="X501">
        <v>1800108</v>
      </c>
      <c r="Y501" t="str">
        <f>VLOOKUP(X501,物料編碼!D:G,4,0)</f>
        <v>魚.其他</v>
      </c>
      <c r="Z501" t="str">
        <f>VLOOKUP(C501,客戶屬性1!A:C,2,0)</f>
        <v>福永行贸易有限公司</v>
      </c>
      <c r="AA501">
        <f>IF(COUNTIF($O$1:O501,O501)=1,L501,0)</f>
        <v>660</v>
      </c>
    </row>
    <row r="502" customHeight="1" spans="1:27">
      <c r="A502" s="21" t="s">
        <v>1021</v>
      </c>
      <c r="B502" s="21" t="s">
        <v>45</v>
      </c>
      <c r="C502" s="21" t="s">
        <v>197</v>
      </c>
      <c r="D502" s="21" t="s">
        <v>198</v>
      </c>
      <c r="E502" s="21" t="s">
        <v>199</v>
      </c>
      <c r="F502" s="21" t="s">
        <v>49</v>
      </c>
      <c r="G502" s="21" t="s">
        <v>136</v>
      </c>
      <c r="H502" s="21" t="s">
        <v>161</v>
      </c>
      <c r="I502" s="26">
        <v>15</v>
      </c>
      <c r="J502" s="26">
        <v>300</v>
      </c>
      <c r="K502" s="21" t="s">
        <v>52</v>
      </c>
      <c r="L502" s="27">
        <v>27900</v>
      </c>
      <c r="M502" s="21"/>
      <c r="N502" s="21"/>
      <c r="O502" s="21" t="s">
        <v>1022</v>
      </c>
      <c r="P502" s="21" t="s">
        <v>54</v>
      </c>
      <c r="Q502" s="28">
        <v>46177</v>
      </c>
      <c r="R502" s="29">
        <v>46176.4917476852</v>
      </c>
      <c r="S502" s="21" t="s">
        <v>202</v>
      </c>
      <c r="T502" s="21"/>
      <c r="U502" s="21" t="s">
        <v>203</v>
      </c>
      <c r="V502" s="29">
        <v>46176.4917013889</v>
      </c>
      <c r="W502">
        <f>VLOOKUP(H502,物料編碼!A:B,2,0)</f>
        <v>1300501020</v>
      </c>
      <c r="X502">
        <v>1300501</v>
      </c>
      <c r="Y502" t="str">
        <f>VLOOKUP(X502,物料編碼!D:G,4,0)</f>
        <v>羊排</v>
      </c>
      <c r="Z502" t="str">
        <f>VLOOKUP(C502,客戶屬性1!A:C,2,0)</f>
        <v>信隆(亚洲)有限公司</v>
      </c>
      <c r="AA502">
        <f>IF(COUNTIF($O$1:O502,O502)=1,L502,0)</f>
        <v>27900</v>
      </c>
    </row>
    <row r="503" customHeight="1" spans="1:27">
      <c r="A503" s="21" t="s">
        <v>1023</v>
      </c>
      <c r="B503" s="21" t="s">
        <v>45</v>
      </c>
      <c r="C503" s="21" t="s">
        <v>197</v>
      </c>
      <c r="D503" s="21" t="s">
        <v>198</v>
      </c>
      <c r="E503" s="21" t="s">
        <v>199</v>
      </c>
      <c r="F503" s="21" t="s">
        <v>49</v>
      </c>
      <c r="G503" s="21" t="s">
        <v>136</v>
      </c>
      <c r="H503" s="21" t="s">
        <v>200</v>
      </c>
      <c r="I503" s="26">
        <v>15</v>
      </c>
      <c r="J503" s="26">
        <v>150</v>
      </c>
      <c r="K503" s="21" t="s">
        <v>52</v>
      </c>
      <c r="L503" s="27">
        <v>3120</v>
      </c>
      <c r="M503" s="21"/>
      <c r="N503" s="21"/>
      <c r="O503" s="21" t="s">
        <v>1024</v>
      </c>
      <c r="P503" s="21" t="s">
        <v>54</v>
      </c>
      <c r="Q503" s="28">
        <v>46177</v>
      </c>
      <c r="R503" s="29">
        <v>46176.4898958333</v>
      </c>
      <c r="S503" s="21" t="s">
        <v>202</v>
      </c>
      <c r="T503" s="21"/>
      <c r="U503" s="21" t="s">
        <v>203</v>
      </c>
      <c r="V503" s="29">
        <v>46176.489849537</v>
      </c>
      <c r="W503">
        <f>VLOOKUP(H503,物料編碼!A:B,2,0)</f>
        <v>1300904024</v>
      </c>
      <c r="X503">
        <v>1300904</v>
      </c>
      <c r="Y503" t="str">
        <f>VLOOKUP(X503,物料編碼!D:G,4,0)</f>
        <v>煙熏鴨胸</v>
      </c>
      <c r="Z503" t="str">
        <f>VLOOKUP(C503,客戶屬性1!A:C,2,0)</f>
        <v>信隆(亚洲)有限公司</v>
      </c>
      <c r="AA503">
        <f>IF(COUNTIF($O$1:O503,O503)=1,L503,0)</f>
        <v>3120</v>
      </c>
    </row>
    <row r="504" customHeight="1" spans="1:27">
      <c r="A504" s="21" t="s">
        <v>1025</v>
      </c>
      <c r="B504" s="21" t="s">
        <v>45</v>
      </c>
      <c r="C504" s="21" t="s">
        <v>114</v>
      </c>
      <c r="D504" s="21" t="s">
        <v>115</v>
      </c>
      <c r="E504" s="21" t="s">
        <v>116</v>
      </c>
      <c r="F504" s="21" t="s">
        <v>49</v>
      </c>
      <c r="G504" s="21" t="s">
        <v>100</v>
      </c>
      <c r="H504" s="21" t="s">
        <v>981</v>
      </c>
      <c r="I504" s="26">
        <v>1</v>
      </c>
      <c r="J504" s="26">
        <v>12</v>
      </c>
      <c r="K504" s="21" t="s">
        <v>52</v>
      </c>
      <c r="L504" s="27">
        <v>141.6</v>
      </c>
      <c r="M504" s="21"/>
      <c r="N504" s="21"/>
      <c r="O504" s="21" t="s">
        <v>1026</v>
      </c>
      <c r="P504" s="21" t="s">
        <v>54</v>
      </c>
      <c r="Q504" s="28">
        <v>46176</v>
      </c>
      <c r="R504" s="29">
        <v>46176.449837963</v>
      </c>
      <c r="S504" s="21" t="s">
        <v>119</v>
      </c>
      <c r="T504" s="21"/>
      <c r="U504" s="21" t="s">
        <v>115</v>
      </c>
      <c r="V504" s="29">
        <v>46176.4497916667</v>
      </c>
      <c r="W504">
        <f>VLOOKUP(H504,物料編碼!A:B,2,0)</f>
        <v>1300613016</v>
      </c>
      <c r="X504">
        <v>1300613</v>
      </c>
      <c r="Y504" t="str">
        <f>VLOOKUP(X504,物料編碼!D:G,4,0)</f>
        <v>小胸肉</v>
      </c>
      <c r="Z504" t="str">
        <f>VLOOKUP(C504,客戶屬性1!A:C,2,0)</f>
        <v>骏利贸易公司</v>
      </c>
      <c r="AA504">
        <f>IF(COUNTIF($O$1:O504,O504)=1,L504,0)</f>
        <v>141.6</v>
      </c>
    </row>
    <row r="505" customHeight="1" spans="1:27">
      <c r="A505" s="21" t="s">
        <v>1027</v>
      </c>
      <c r="B505" s="21" t="s">
        <v>45</v>
      </c>
      <c r="C505" s="21" t="s">
        <v>114</v>
      </c>
      <c r="D505" s="21" t="s">
        <v>115</v>
      </c>
      <c r="E505" s="21" t="s">
        <v>116</v>
      </c>
      <c r="F505" s="21" t="s">
        <v>49</v>
      </c>
      <c r="G505" s="21" t="s">
        <v>100</v>
      </c>
      <c r="H505" s="21" t="s">
        <v>298</v>
      </c>
      <c r="I505" s="26">
        <v>1</v>
      </c>
      <c r="J505" s="26">
        <v>10</v>
      </c>
      <c r="K505" s="21" t="s">
        <v>52</v>
      </c>
      <c r="L505" s="27">
        <v>520</v>
      </c>
      <c r="M505" s="21"/>
      <c r="N505" s="21"/>
      <c r="O505" s="21" t="s">
        <v>1028</v>
      </c>
      <c r="P505" s="21" t="s">
        <v>54</v>
      </c>
      <c r="Q505" s="28">
        <v>46176</v>
      </c>
      <c r="R505" s="29">
        <v>46176.4285069444</v>
      </c>
      <c r="S505" s="21" t="s">
        <v>119</v>
      </c>
      <c r="T505" s="21"/>
      <c r="U505" s="21" t="s">
        <v>115</v>
      </c>
      <c r="V505" s="29">
        <v>46176.4284490741</v>
      </c>
      <c r="W505">
        <f>VLOOKUP(H505,物料編碼!A:B,2,0)</f>
        <v>1300111003</v>
      </c>
      <c r="X505">
        <v>1300111</v>
      </c>
      <c r="Y505" t="str">
        <f>VLOOKUP(X505,物料編碼!D:G,4,0)</f>
        <v>寸骨</v>
      </c>
      <c r="Z505" t="str">
        <f>VLOOKUP(C505,客戶屬性1!A:C,2,0)</f>
        <v>骏利贸易公司</v>
      </c>
      <c r="AA505">
        <f>IF(COUNTIF($O$1:O505,O505)=1,L505,0)</f>
        <v>520</v>
      </c>
    </row>
    <row r="506" customHeight="1" spans="1:27">
      <c r="A506" s="21" t="s">
        <v>1029</v>
      </c>
      <c r="B506" s="21" t="s">
        <v>45</v>
      </c>
      <c r="C506" s="21" t="s">
        <v>46</v>
      </c>
      <c r="D506" s="21" t="s">
        <v>47</v>
      </c>
      <c r="E506" s="21" t="s">
        <v>48</v>
      </c>
      <c r="F506" s="21" t="s">
        <v>49</v>
      </c>
      <c r="G506" s="21" t="s">
        <v>50</v>
      </c>
      <c r="H506" s="21" t="s">
        <v>168</v>
      </c>
      <c r="I506" s="26">
        <v>1</v>
      </c>
      <c r="J506" s="26">
        <v>10</v>
      </c>
      <c r="K506" s="21" t="s">
        <v>52</v>
      </c>
      <c r="L506" s="27">
        <v>97</v>
      </c>
      <c r="M506" s="21"/>
      <c r="N506" s="21"/>
      <c r="O506" s="21" t="s">
        <v>1030</v>
      </c>
      <c r="P506" s="21" t="s">
        <v>183</v>
      </c>
      <c r="Q506" s="28">
        <v>46176</v>
      </c>
      <c r="R506" s="29">
        <v>46176.4273032407</v>
      </c>
      <c r="S506" s="21" t="s">
        <v>55</v>
      </c>
      <c r="T506" s="21"/>
      <c r="U506" s="21" t="s">
        <v>47</v>
      </c>
      <c r="V506" s="29">
        <v>46176.4272453704</v>
      </c>
      <c r="W506">
        <f>VLOOKUP(H506,物料編碼!A:B,2,0)</f>
        <v>1300627002</v>
      </c>
      <c r="X506">
        <v>1300627</v>
      </c>
      <c r="Y506" t="str">
        <f>VLOOKUP(X506,物料編碼!D:G,4,0)</f>
        <v>翅尖</v>
      </c>
      <c r="Z506" t="str">
        <f>VLOOKUP(C506,客戶屬性1!A:C,2,0)</f>
        <v>明记冻肉</v>
      </c>
      <c r="AA506">
        <f>IF(COUNTIF($O$1:O506,O506)=1,L506,0)</f>
        <v>97</v>
      </c>
    </row>
    <row r="507" customHeight="1" spans="1:27">
      <c r="A507" s="21" t="s">
        <v>1031</v>
      </c>
      <c r="B507" s="21" t="s">
        <v>45</v>
      </c>
      <c r="C507" s="21" t="s">
        <v>1032</v>
      </c>
      <c r="D507" s="21" t="s">
        <v>1033</v>
      </c>
      <c r="E507" s="21" t="s">
        <v>1034</v>
      </c>
      <c r="F507" s="21" t="s">
        <v>49</v>
      </c>
      <c r="G507" s="21" t="s">
        <v>89</v>
      </c>
      <c r="H507" s="21" t="s">
        <v>111</v>
      </c>
      <c r="I507" s="26">
        <v>5</v>
      </c>
      <c r="J507" s="27">
        <v>160</v>
      </c>
      <c r="K507" s="21" t="s">
        <v>112</v>
      </c>
      <c r="L507" s="27">
        <v>1104</v>
      </c>
      <c r="M507" s="21"/>
      <c r="N507" s="21"/>
      <c r="O507" s="21" t="s">
        <v>1035</v>
      </c>
      <c r="P507" s="21" t="s">
        <v>54</v>
      </c>
      <c r="Q507" s="28">
        <v>46176</v>
      </c>
      <c r="R507" s="29">
        <v>46176.4098611111</v>
      </c>
      <c r="S507" s="21" t="s">
        <v>1036</v>
      </c>
      <c r="T507" s="21"/>
      <c r="U507" s="21" t="s">
        <v>1037</v>
      </c>
      <c r="V507" s="29">
        <v>46176.4098148148</v>
      </c>
      <c r="W507">
        <f>VLOOKUP(H507,物料編碼!A:B,2,0)</f>
        <v>1310501001</v>
      </c>
      <c r="X507">
        <v>1310501</v>
      </c>
      <c r="Y507" t="str">
        <f>VLOOKUP(X507,物料編碼!D:G,4,0)</f>
        <v>腸類.雞肉腸</v>
      </c>
      <c r="Z507" t="str">
        <f>VLOOKUP(C507,客戶屬性1!A:C,2,0)</f>
        <v>永进食品有限公司</v>
      </c>
      <c r="AA507">
        <f>IF(COUNTIF($O$1:O507,O507)=1,L507,0)</f>
        <v>1104</v>
      </c>
    </row>
    <row r="508" customHeight="1" spans="1:27">
      <c r="A508" s="21" t="s">
        <v>1038</v>
      </c>
      <c r="B508" s="21" t="s">
        <v>45</v>
      </c>
      <c r="C508" s="21" t="s">
        <v>72</v>
      </c>
      <c r="D508" s="21" t="s">
        <v>73</v>
      </c>
      <c r="E508" s="21" t="s">
        <v>74</v>
      </c>
      <c r="F508" s="21" t="s">
        <v>49</v>
      </c>
      <c r="G508" s="21" t="s">
        <v>50</v>
      </c>
      <c r="H508" s="21" t="s">
        <v>117</v>
      </c>
      <c r="I508" s="26">
        <v>7</v>
      </c>
      <c r="J508" s="26">
        <v>105</v>
      </c>
      <c r="K508" s="21" t="s">
        <v>52</v>
      </c>
      <c r="L508" s="27">
        <v>1551.9</v>
      </c>
      <c r="M508" s="21"/>
      <c r="N508" s="21"/>
      <c r="O508" s="21" t="s">
        <v>1039</v>
      </c>
      <c r="P508" s="21" t="s">
        <v>54</v>
      </c>
      <c r="Q508" s="28">
        <v>46176</v>
      </c>
      <c r="R508" s="29">
        <v>46176.3613888889</v>
      </c>
      <c r="S508" s="21" t="s">
        <v>81</v>
      </c>
      <c r="T508" s="21"/>
      <c r="U508" s="21" t="s">
        <v>82</v>
      </c>
      <c r="V508" s="29">
        <v>46176.3613078704</v>
      </c>
      <c r="W508">
        <f>VLOOKUP(H508,物料編碼!A:B,2,0)</f>
        <v>1300607015</v>
      </c>
      <c r="X508">
        <v>1300607</v>
      </c>
      <c r="Y508" t="str">
        <f>VLOOKUP(X508,物料編碼!D:G,4,0)</f>
        <v>帶皮腿扒</v>
      </c>
      <c r="Z508" t="str">
        <f>VLOOKUP(C508,客戶屬性1!A:C,2,0)</f>
        <v>恒辉贸易公司</v>
      </c>
      <c r="AA508">
        <f>IF(COUNTIF($O$1:O508,O508)=1,L508,0)</f>
        <v>1551.9</v>
      </c>
    </row>
    <row r="509" customHeight="1" spans="1:27">
      <c r="A509" s="21" t="s">
        <v>1040</v>
      </c>
      <c r="B509" s="21" t="s">
        <v>45</v>
      </c>
      <c r="C509" s="21" t="e">
        <v>#N/A</v>
      </c>
      <c r="D509" s="21" t="s">
        <v>1041</v>
      </c>
      <c r="E509" s="21" t="e">
        <v>#N/A</v>
      </c>
      <c r="F509" s="21" t="s">
        <v>1042</v>
      </c>
      <c r="G509" s="21" t="s">
        <v>1043</v>
      </c>
      <c r="H509" s="21" t="s">
        <v>1044</v>
      </c>
      <c r="I509" s="27">
        <v>5</v>
      </c>
      <c r="J509" s="27">
        <v>5</v>
      </c>
      <c r="K509" s="21" t="s">
        <v>112</v>
      </c>
      <c r="L509" s="27">
        <v>1025</v>
      </c>
      <c r="M509" s="21"/>
      <c r="N509" s="21"/>
      <c r="O509" s="21" t="s">
        <v>1045</v>
      </c>
      <c r="P509" s="21" t="s">
        <v>54</v>
      </c>
      <c r="Q509" s="28">
        <v>46178</v>
      </c>
      <c r="R509" s="29">
        <v>46175.6592939815</v>
      </c>
      <c r="S509" s="21" t="s">
        <v>1046</v>
      </c>
      <c r="T509" s="21"/>
      <c r="U509" s="21" t="s">
        <v>1041</v>
      </c>
      <c r="V509" s="29">
        <v>46175.6592476852</v>
      </c>
      <c r="W509" t="e">
        <f>VLOOKUP(H509,物料編碼!A:B,2,0)</f>
        <v>#N/A</v>
      </c>
      <c r="X509" t="e">
        <v>#N/A</v>
      </c>
      <c r="Y509" t="e">
        <f>VLOOKUP(X509,物料編碼!D:G,4,0)</f>
        <v>#N/A</v>
      </c>
      <c r="Z509" t="e">
        <f>VLOOKUP(C509,客戶屬性1!A:C,2,0)</f>
        <v>#N/A</v>
      </c>
      <c r="AA509">
        <f>IF(COUNTIF($O$1:O509,O509)=1,L509,0)</f>
        <v>1025</v>
      </c>
    </row>
    <row r="510" customHeight="1" spans="1:27">
      <c r="A510" s="21" t="s">
        <v>1047</v>
      </c>
      <c r="B510" s="21" t="s">
        <v>45</v>
      </c>
      <c r="C510" s="21" t="s">
        <v>72</v>
      </c>
      <c r="D510" s="21" t="s">
        <v>73</v>
      </c>
      <c r="E510" s="21" t="s">
        <v>74</v>
      </c>
      <c r="F510" s="21" t="s">
        <v>49</v>
      </c>
      <c r="G510" s="21" t="s">
        <v>50</v>
      </c>
      <c r="H510" s="21" t="s">
        <v>328</v>
      </c>
      <c r="I510" s="26">
        <v>2</v>
      </c>
      <c r="J510" s="26">
        <v>30</v>
      </c>
      <c r="K510" s="21" t="s">
        <v>52</v>
      </c>
      <c r="L510" s="27">
        <v>450</v>
      </c>
      <c r="M510" s="21"/>
      <c r="N510" s="21"/>
      <c r="O510" s="21" t="s">
        <v>1048</v>
      </c>
      <c r="P510" s="21" t="s">
        <v>54</v>
      </c>
      <c r="Q510" s="28">
        <v>46176</v>
      </c>
      <c r="R510" s="29">
        <v>46175.604837963</v>
      </c>
      <c r="S510" s="21" t="s">
        <v>288</v>
      </c>
      <c r="T510" s="21"/>
      <c r="U510" s="21" t="s">
        <v>82</v>
      </c>
      <c r="V510" s="29">
        <v>46175.6047916667</v>
      </c>
      <c r="W510">
        <f>VLOOKUP(H510,物料編碼!A:B,2,0)</f>
        <v>1300603038</v>
      </c>
      <c r="X510">
        <v>1300603</v>
      </c>
      <c r="Y510" t="str">
        <f>VLOOKUP(X510,物料編碼!D:G,4,0)</f>
        <v>帶骨全腿</v>
      </c>
      <c r="Z510" t="str">
        <f>VLOOKUP(C510,客戶屬性1!A:C,2,0)</f>
        <v>恒辉贸易公司</v>
      </c>
      <c r="AA510">
        <f>IF(COUNTIF($O$1:O510,O510)=1,L510,0)</f>
        <v>450</v>
      </c>
    </row>
    <row r="511" customHeight="1" spans="1:27">
      <c r="A511" s="21" t="s">
        <v>1049</v>
      </c>
      <c r="B511" s="21" t="s">
        <v>45</v>
      </c>
      <c r="C511" s="21" t="s">
        <v>290</v>
      </c>
      <c r="D511" s="21" t="s">
        <v>291</v>
      </c>
      <c r="E511" s="21" t="s">
        <v>292</v>
      </c>
      <c r="F511" s="21" t="s">
        <v>49</v>
      </c>
      <c r="G511" s="21" t="s">
        <v>50</v>
      </c>
      <c r="H511" s="21" t="s">
        <v>121</v>
      </c>
      <c r="I511" s="26">
        <v>2</v>
      </c>
      <c r="J511" s="26">
        <v>40</v>
      </c>
      <c r="K511" s="21" t="s">
        <v>52</v>
      </c>
      <c r="L511" s="27">
        <v>980</v>
      </c>
      <c r="M511" s="21"/>
      <c r="N511" s="21"/>
      <c r="O511" s="21" t="s">
        <v>1050</v>
      </c>
      <c r="P511" s="21" t="s">
        <v>54</v>
      </c>
      <c r="Q511" s="28">
        <v>46176</v>
      </c>
      <c r="R511" s="29">
        <v>46175.4920601852</v>
      </c>
      <c r="S511" s="21" t="s">
        <v>294</v>
      </c>
      <c r="T511" s="21"/>
      <c r="U511" s="21" t="s">
        <v>292</v>
      </c>
      <c r="V511" s="29">
        <v>46175.492025463</v>
      </c>
      <c r="W511">
        <f>VLOOKUP(H511,物料編碼!A:B,2,0)</f>
        <v>1300114011</v>
      </c>
      <c r="X511">
        <v>1300114</v>
      </c>
      <c r="Y511" t="str">
        <f>VLOOKUP(X511,物料編碼!D:G,4,0)</f>
        <v>熟食</v>
      </c>
      <c r="Z511" t="str">
        <f>VLOOKUP(C511,客戶屬性1!A:C,2,0)</f>
        <v>溢利食品(香港)有限公司</v>
      </c>
      <c r="AA511">
        <f>IF(COUNTIF($O$1:O511,O511)=1,L511,0)</f>
        <v>980</v>
      </c>
    </row>
    <row r="512" customHeight="1" spans="1:27">
      <c r="A512" s="21" t="s">
        <v>1051</v>
      </c>
      <c r="B512" s="21" t="s">
        <v>45</v>
      </c>
      <c r="C512" s="21" t="s">
        <v>65</v>
      </c>
      <c r="D512" s="21" t="s">
        <v>66</v>
      </c>
      <c r="E512" s="21" t="s">
        <v>67</v>
      </c>
      <c r="F512" s="21" t="s">
        <v>49</v>
      </c>
      <c r="G512" s="21" t="s">
        <v>68</v>
      </c>
      <c r="H512" s="21" t="s">
        <v>590</v>
      </c>
      <c r="I512" s="26">
        <v>10</v>
      </c>
      <c r="J512" s="26">
        <v>250</v>
      </c>
      <c r="K512" s="21" t="s">
        <v>52</v>
      </c>
      <c r="L512" s="27">
        <v>6500</v>
      </c>
      <c r="M512" s="21"/>
      <c r="N512" s="21"/>
      <c r="O512" s="21" t="s">
        <v>1052</v>
      </c>
      <c r="P512" s="21" t="s">
        <v>54</v>
      </c>
      <c r="Q512" s="28">
        <v>46175</v>
      </c>
      <c r="R512" s="29">
        <v>46175.4310648148</v>
      </c>
      <c r="S512" s="21" t="s">
        <v>70</v>
      </c>
      <c r="T512" s="21"/>
      <c r="U512" s="21" t="s">
        <v>67</v>
      </c>
      <c r="V512" s="29">
        <v>46175.4310185185</v>
      </c>
      <c r="W512">
        <f>VLOOKUP(H512,物料編碼!A:B,2,0)</f>
        <v>1300101040</v>
      </c>
      <c r="X512">
        <v>1300101</v>
      </c>
      <c r="Y512" t="str">
        <f>VLOOKUP(X512,物料編碼!D:G,4,0)</f>
        <v>一號肉</v>
      </c>
      <c r="Z512" t="str">
        <f>VLOOKUP(C512,客戶屬性1!A:C,2,0)</f>
        <v>万骏贸易公司</v>
      </c>
      <c r="AA512">
        <f>IF(COUNTIF($O$1:O512,O512)=1,L512,0)</f>
        <v>6500</v>
      </c>
    </row>
    <row r="513" customHeight="1" spans="1:27">
      <c r="A513" s="21" t="s">
        <v>1053</v>
      </c>
      <c r="B513" s="21" t="s">
        <v>45</v>
      </c>
      <c r="C513" s="21" t="s">
        <v>46</v>
      </c>
      <c r="D513" s="21" t="s">
        <v>47</v>
      </c>
      <c r="E513" s="21" t="s">
        <v>48</v>
      </c>
      <c r="F513" s="21" t="s">
        <v>49</v>
      </c>
      <c r="G513" s="21" t="s">
        <v>50</v>
      </c>
      <c r="H513" s="21" t="s">
        <v>532</v>
      </c>
      <c r="I513" s="26">
        <v>1</v>
      </c>
      <c r="J513" s="26">
        <v>10</v>
      </c>
      <c r="K513" s="21" t="s">
        <v>52</v>
      </c>
      <c r="L513" s="27">
        <v>132</v>
      </c>
      <c r="M513" s="21"/>
      <c r="N513" s="21"/>
      <c r="O513" s="21" t="s">
        <v>1054</v>
      </c>
      <c r="P513" s="21" t="s">
        <v>183</v>
      </c>
      <c r="Q513" s="28">
        <v>46175</v>
      </c>
      <c r="R513" s="29">
        <v>46175.4247685185</v>
      </c>
      <c r="S513" s="21" t="s">
        <v>55</v>
      </c>
      <c r="T513" s="21"/>
      <c r="U513" s="21" t="s">
        <v>47</v>
      </c>
      <c r="V513" s="29">
        <v>46175.4247222222</v>
      </c>
      <c r="W513">
        <f>VLOOKUP(H513,物料編碼!A:B,2,0)</f>
        <v>1300903006</v>
      </c>
      <c r="X513">
        <v>1300903</v>
      </c>
      <c r="Y513" t="str">
        <f>VLOOKUP(X513,物料編碼!D:G,4,0)</f>
        <v>生鴨胸</v>
      </c>
      <c r="Z513" t="str">
        <f>VLOOKUP(C513,客戶屬性1!A:C,2,0)</f>
        <v>明记冻肉</v>
      </c>
      <c r="AA513">
        <f>IF(COUNTIF($O$1:O513,O513)=1,L513,0)</f>
        <v>132</v>
      </c>
    </row>
    <row r="514" customHeight="1" spans="1:27">
      <c r="A514" s="21" t="s">
        <v>1055</v>
      </c>
      <c r="B514" s="21" t="s">
        <v>45</v>
      </c>
      <c r="C514" s="21" t="s">
        <v>72</v>
      </c>
      <c r="D514" s="21" t="s">
        <v>73</v>
      </c>
      <c r="E514" s="21" t="s">
        <v>74</v>
      </c>
      <c r="F514" s="21" t="s">
        <v>49</v>
      </c>
      <c r="G514" s="21" t="s">
        <v>50</v>
      </c>
      <c r="H514" s="21" t="s">
        <v>101</v>
      </c>
      <c r="I514" s="26">
        <v>1</v>
      </c>
      <c r="J514" s="26">
        <v>25</v>
      </c>
      <c r="K514" s="21" t="s">
        <v>52</v>
      </c>
      <c r="L514" s="27">
        <v>840</v>
      </c>
      <c r="M514" s="21"/>
      <c r="N514" s="21"/>
      <c r="O514" s="21" t="s">
        <v>1056</v>
      </c>
      <c r="P514" s="21" t="s">
        <v>54</v>
      </c>
      <c r="Q514" s="28">
        <v>46175</v>
      </c>
      <c r="R514" s="29">
        <v>46174.7446990741</v>
      </c>
      <c r="S514" s="21" t="s">
        <v>77</v>
      </c>
      <c r="T514" s="21"/>
      <c r="U514" s="21" t="s">
        <v>74</v>
      </c>
      <c r="V514" s="29">
        <v>46174.7446412037</v>
      </c>
      <c r="W514">
        <f>VLOOKUP(H514,物料編碼!A:B,2,0)</f>
        <v>1300101018</v>
      </c>
      <c r="X514">
        <v>1300101</v>
      </c>
      <c r="Y514" t="str">
        <f>VLOOKUP(X514,物料編碼!D:G,4,0)</f>
        <v>一號肉</v>
      </c>
      <c r="Z514" t="str">
        <f>VLOOKUP(C514,客戶屬性1!A:C,2,0)</f>
        <v>恒辉贸易公司</v>
      </c>
      <c r="AA514">
        <f>IF(COUNTIF($O$1:O514,O514)=1,L514,0)</f>
        <v>840</v>
      </c>
    </row>
    <row r="515" customHeight="1" spans="1:27">
      <c r="A515" s="21" t="s">
        <v>1057</v>
      </c>
      <c r="B515" s="21" t="s">
        <v>45</v>
      </c>
      <c r="C515" s="21" t="s">
        <v>457</v>
      </c>
      <c r="D515" s="21" t="s">
        <v>458</v>
      </c>
      <c r="E515" s="21" t="s">
        <v>459</v>
      </c>
      <c r="F515" s="21" t="s">
        <v>49</v>
      </c>
      <c r="G515" s="21" t="s">
        <v>68</v>
      </c>
      <c r="H515" s="21" t="s">
        <v>1019</v>
      </c>
      <c r="I515" s="26">
        <v>1</v>
      </c>
      <c r="J515" s="26">
        <v>10</v>
      </c>
      <c r="K515" s="21" t="s">
        <v>52</v>
      </c>
      <c r="L515" s="27">
        <v>330</v>
      </c>
      <c r="M515" s="21"/>
      <c r="N515" s="21"/>
      <c r="O515" s="21" t="s">
        <v>1058</v>
      </c>
      <c r="P515" s="21" t="s">
        <v>183</v>
      </c>
      <c r="Q515" s="28">
        <v>46175</v>
      </c>
      <c r="R515" s="29">
        <v>46174.7411805556</v>
      </c>
      <c r="S515" s="21" t="s">
        <v>461</v>
      </c>
      <c r="T515" s="21"/>
      <c r="U515" s="21" t="s">
        <v>458</v>
      </c>
      <c r="V515" s="29">
        <v>46174.7411226852</v>
      </c>
      <c r="W515">
        <f>VLOOKUP(H515,物料編碼!A:B,2,0)</f>
        <v>1800108095</v>
      </c>
      <c r="X515">
        <v>1800108</v>
      </c>
      <c r="Y515" t="str">
        <f>VLOOKUP(X515,物料編碼!D:G,4,0)</f>
        <v>魚.其他</v>
      </c>
      <c r="Z515" t="str">
        <f>VLOOKUP(C515,客戶屬性1!A:C,2,0)</f>
        <v>福永行贸易有限公司</v>
      </c>
      <c r="AA515">
        <f>IF(COUNTIF($O$1:O515,O515)=1,L515,0)</f>
        <v>330</v>
      </c>
    </row>
    <row r="516" customHeight="1" spans="1:27">
      <c r="A516" s="21" t="s">
        <v>1059</v>
      </c>
      <c r="B516" s="21" t="s">
        <v>45</v>
      </c>
      <c r="C516" s="21" t="s">
        <v>72</v>
      </c>
      <c r="D516" s="21" t="s">
        <v>73</v>
      </c>
      <c r="E516" s="21" t="s">
        <v>74</v>
      </c>
      <c r="F516" s="21" t="s">
        <v>49</v>
      </c>
      <c r="G516" s="21" t="s">
        <v>50</v>
      </c>
      <c r="H516" s="21" t="s">
        <v>298</v>
      </c>
      <c r="I516" s="26">
        <v>1</v>
      </c>
      <c r="J516" s="26">
        <v>10</v>
      </c>
      <c r="K516" s="21" t="s">
        <v>52</v>
      </c>
      <c r="L516" s="27">
        <v>520</v>
      </c>
      <c r="M516" s="21"/>
      <c r="N516" s="21"/>
      <c r="O516" s="21" t="s">
        <v>1060</v>
      </c>
      <c r="P516" s="21" t="s">
        <v>54</v>
      </c>
      <c r="Q516" s="28">
        <v>46175</v>
      </c>
      <c r="R516" s="29">
        <v>46174.6245833333</v>
      </c>
      <c r="S516" s="21" t="s">
        <v>81</v>
      </c>
      <c r="T516" s="21"/>
      <c r="U516" s="21" t="s">
        <v>82</v>
      </c>
      <c r="V516" s="29">
        <v>46174.624537037</v>
      </c>
      <c r="W516">
        <f>VLOOKUP(H516,物料編碼!A:B,2,0)</f>
        <v>1300111003</v>
      </c>
      <c r="X516">
        <v>1300111</v>
      </c>
      <c r="Y516" t="str">
        <f>VLOOKUP(X516,物料編碼!D:G,4,0)</f>
        <v>寸骨</v>
      </c>
      <c r="Z516" t="str">
        <f>VLOOKUP(C516,客戶屬性1!A:C,2,0)</f>
        <v>恒辉贸易公司</v>
      </c>
      <c r="AA516">
        <f>IF(COUNTIF($O$1:O516,O516)=1,L516,0)</f>
        <v>520</v>
      </c>
    </row>
    <row r="517" customHeight="1" spans="1:27">
      <c r="A517" s="21" t="s">
        <v>1061</v>
      </c>
      <c r="B517" s="21" t="s">
        <v>45</v>
      </c>
      <c r="C517" s="21" t="s">
        <v>538</v>
      </c>
      <c r="D517" s="21" t="s">
        <v>539</v>
      </c>
      <c r="E517" s="21" t="s">
        <v>540</v>
      </c>
      <c r="F517" s="21" t="s">
        <v>49</v>
      </c>
      <c r="G517" s="21" t="s">
        <v>541</v>
      </c>
      <c r="H517" s="21" t="s">
        <v>63</v>
      </c>
      <c r="I517" s="26">
        <v>2</v>
      </c>
      <c r="J517" s="26">
        <v>50</v>
      </c>
      <c r="K517" s="21" t="s">
        <v>52</v>
      </c>
      <c r="L517" s="27">
        <v>1630</v>
      </c>
      <c r="M517" s="21"/>
      <c r="N517" s="21"/>
      <c r="O517" s="21" t="s">
        <v>1062</v>
      </c>
      <c r="P517" s="21" t="s">
        <v>54</v>
      </c>
      <c r="Q517" s="28">
        <v>46174</v>
      </c>
      <c r="R517" s="29">
        <v>46174.4981481481</v>
      </c>
      <c r="S517" s="21" t="s">
        <v>543</v>
      </c>
      <c r="T517" s="21"/>
      <c r="U517" s="21" t="s">
        <v>539</v>
      </c>
      <c r="V517" s="29">
        <v>46174.4980902778</v>
      </c>
      <c r="W517">
        <f>VLOOKUP(H517,物料編碼!A:B,2,0)</f>
        <v>1300109002</v>
      </c>
      <c r="X517">
        <v>1300109</v>
      </c>
      <c r="Y517" t="str">
        <f>VLOOKUP(X517,物料編碼!D:G,4,0)</f>
        <v>面精肉</v>
      </c>
      <c r="Z517" t="str">
        <f>VLOOKUP(C517,客戶屬性1!A:C,2,0)</f>
        <v>诚信冻肉有限公司</v>
      </c>
      <c r="AA517">
        <f>IF(COUNTIF($O$1:O517,O517)=1,L517,0)</f>
        <v>1630</v>
      </c>
    </row>
    <row r="518" customHeight="1" spans="1:27">
      <c r="A518" s="21" t="s">
        <v>1063</v>
      </c>
      <c r="B518" s="21" t="s">
        <v>45</v>
      </c>
      <c r="C518" s="21" t="s">
        <v>1064</v>
      </c>
      <c r="D518" s="21" t="s">
        <v>1065</v>
      </c>
      <c r="E518" s="21" t="s">
        <v>1066</v>
      </c>
      <c r="F518" s="21" t="s">
        <v>49</v>
      </c>
      <c r="G518" s="21" t="s">
        <v>89</v>
      </c>
      <c r="H518" s="21" t="s">
        <v>63</v>
      </c>
      <c r="I518" s="26">
        <v>5</v>
      </c>
      <c r="J518" s="26">
        <v>125</v>
      </c>
      <c r="K518" s="21" t="s">
        <v>52</v>
      </c>
      <c r="L518" s="27">
        <v>4075</v>
      </c>
      <c r="M518" s="21"/>
      <c r="N518" s="21"/>
      <c r="O518" s="21" t="s">
        <v>1067</v>
      </c>
      <c r="P518" s="21" t="s">
        <v>54</v>
      </c>
      <c r="Q518" s="28">
        <v>46175</v>
      </c>
      <c r="R518" s="29">
        <v>46174.4885416667</v>
      </c>
      <c r="S518" s="21" t="s">
        <v>1068</v>
      </c>
      <c r="T518" s="21"/>
      <c r="U518" s="21" t="s">
        <v>1065</v>
      </c>
      <c r="V518" s="29">
        <v>46174.4884953704</v>
      </c>
      <c r="W518">
        <f>VLOOKUP(H518,物料編碼!A:B,2,0)</f>
        <v>1300109002</v>
      </c>
      <c r="X518">
        <v>1300109</v>
      </c>
      <c r="Y518" t="str">
        <f>VLOOKUP(X518,物料編碼!D:G,4,0)</f>
        <v>面精肉</v>
      </c>
      <c r="Z518" t="str">
        <f>VLOOKUP(C518,客戶屬性1!A:C,2,0)</f>
        <v>明兴食品有限公司(元朗)</v>
      </c>
      <c r="AA518">
        <f>IF(COUNTIF($O$1:O518,O518)=1,L518,0)</f>
        <v>4075</v>
      </c>
    </row>
    <row r="519" customHeight="1" spans="1:27">
      <c r="A519" s="21" t="s">
        <v>1069</v>
      </c>
      <c r="B519" s="21" t="s">
        <v>45</v>
      </c>
      <c r="C519" s="21" t="s">
        <v>141</v>
      </c>
      <c r="D519" s="21" t="s">
        <v>142</v>
      </c>
      <c r="E519" s="21" t="s">
        <v>142</v>
      </c>
      <c r="F519" s="21" t="s">
        <v>143</v>
      </c>
      <c r="G519" s="21" t="s">
        <v>100</v>
      </c>
      <c r="H519" s="21" t="s">
        <v>63</v>
      </c>
      <c r="I519" s="26">
        <v>1</v>
      </c>
      <c r="J519" s="26">
        <v>25</v>
      </c>
      <c r="K519" s="21" t="s">
        <v>52</v>
      </c>
      <c r="L519" s="27">
        <v>2000.1</v>
      </c>
      <c r="M519" s="21"/>
      <c r="N519" s="21"/>
      <c r="O519" s="21" t="s">
        <v>1070</v>
      </c>
      <c r="P519" s="21" t="s">
        <v>54</v>
      </c>
      <c r="Q519" s="28">
        <v>46175</v>
      </c>
      <c r="R519" s="29">
        <v>46174.4609375</v>
      </c>
      <c r="S519" s="21" t="s">
        <v>145</v>
      </c>
      <c r="T519" s="21"/>
      <c r="U519" s="21" t="s">
        <v>142</v>
      </c>
      <c r="V519" s="29">
        <v>46174.4608912037</v>
      </c>
      <c r="W519">
        <f>VLOOKUP(H519,物料編碼!A:B,2,0)</f>
        <v>1300109002</v>
      </c>
      <c r="X519">
        <v>1300109</v>
      </c>
      <c r="Y519" t="str">
        <f>VLOOKUP(X519,物料編碼!D:G,4,0)</f>
        <v>面精肉</v>
      </c>
      <c r="Z519" t="str">
        <f>VLOOKUP(C519,客戶屬性1!A:C,2,0)</f>
        <v>新昌冻肉</v>
      </c>
      <c r="AA519">
        <f>IF(COUNTIF($O$1:O519,O519)=1,L519,0)</f>
        <v>2000.1</v>
      </c>
    </row>
    <row r="520" customHeight="1" spans="1:27">
      <c r="A520" s="21" t="s">
        <v>1069</v>
      </c>
      <c r="B520" s="21" t="s">
        <v>45</v>
      </c>
      <c r="C520" s="21" t="s">
        <v>141</v>
      </c>
      <c r="D520" s="21" t="s">
        <v>142</v>
      </c>
      <c r="E520" s="21" t="s">
        <v>142</v>
      </c>
      <c r="F520" s="21" t="s">
        <v>143</v>
      </c>
      <c r="G520" s="21" t="s">
        <v>100</v>
      </c>
      <c r="H520" s="21" t="s">
        <v>298</v>
      </c>
      <c r="I520" s="26">
        <v>1</v>
      </c>
      <c r="J520" s="26">
        <v>10</v>
      </c>
      <c r="K520" s="21" t="s">
        <v>52</v>
      </c>
      <c r="L520" s="27">
        <v>2000.1</v>
      </c>
      <c r="M520" s="21"/>
      <c r="N520" s="21"/>
      <c r="O520" s="21" t="s">
        <v>1070</v>
      </c>
      <c r="P520" s="21" t="s">
        <v>54</v>
      </c>
      <c r="Q520" s="28">
        <v>46175</v>
      </c>
      <c r="R520" s="29">
        <v>46174.4609375</v>
      </c>
      <c r="S520" s="21" t="s">
        <v>145</v>
      </c>
      <c r="T520" s="21"/>
      <c r="U520" s="21" t="s">
        <v>142</v>
      </c>
      <c r="V520" s="29">
        <v>46174.4608912037</v>
      </c>
      <c r="W520">
        <f>VLOOKUP(H520,物料編碼!A:B,2,0)</f>
        <v>1300111003</v>
      </c>
      <c r="X520">
        <v>1300111</v>
      </c>
      <c r="Y520" t="str">
        <f>VLOOKUP(X520,物料編碼!D:G,4,0)</f>
        <v>寸骨</v>
      </c>
      <c r="Z520" t="str">
        <f>VLOOKUP(C520,客戶屬性1!A:C,2,0)</f>
        <v>新昌冻肉</v>
      </c>
      <c r="AA520">
        <f>IF(COUNTIF($O$1:O520,O520)=1,L520,0)</f>
        <v>0</v>
      </c>
    </row>
    <row r="521" customHeight="1" spans="1:27">
      <c r="A521" s="21" t="s">
        <v>1069</v>
      </c>
      <c r="B521" s="21" t="s">
        <v>45</v>
      </c>
      <c r="C521" s="21" t="s">
        <v>141</v>
      </c>
      <c r="D521" s="21" t="s">
        <v>142</v>
      </c>
      <c r="E521" s="21" t="s">
        <v>142</v>
      </c>
      <c r="F521" s="21" t="s">
        <v>143</v>
      </c>
      <c r="G521" s="21" t="s">
        <v>100</v>
      </c>
      <c r="H521" s="21" t="s">
        <v>117</v>
      </c>
      <c r="I521" s="26">
        <v>3</v>
      </c>
      <c r="J521" s="26">
        <v>45</v>
      </c>
      <c r="K521" s="21" t="s">
        <v>52</v>
      </c>
      <c r="L521" s="27">
        <v>2000.1</v>
      </c>
      <c r="M521" s="21"/>
      <c r="N521" s="21"/>
      <c r="O521" s="21" t="s">
        <v>1070</v>
      </c>
      <c r="P521" s="21" t="s">
        <v>54</v>
      </c>
      <c r="Q521" s="28">
        <v>46175</v>
      </c>
      <c r="R521" s="29">
        <v>46174.4609375</v>
      </c>
      <c r="S521" s="21" t="s">
        <v>145</v>
      </c>
      <c r="T521" s="21"/>
      <c r="U521" s="21" t="s">
        <v>142</v>
      </c>
      <c r="V521" s="29">
        <v>46174.4608912037</v>
      </c>
      <c r="W521">
        <f>VLOOKUP(H521,物料編碼!A:B,2,0)</f>
        <v>1300607015</v>
      </c>
      <c r="X521">
        <v>1300607</v>
      </c>
      <c r="Y521" t="str">
        <f>VLOOKUP(X521,物料編碼!D:G,4,0)</f>
        <v>帶皮腿扒</v>
      </c>
      <c r="Z521" t="str">
        <f>VLOOKUP(C521,客戶屬性1!A:C,2,0)</f>
        <v>新昌冻肉</v>
      </c>
      <c r="AA521">
        <f>IF(COUNTIF($O$1:O521,O521)=1,L521,0)</f>
        <v>0</v>
      </c>
    </row>
    <row r="522" customHeight="1" spans="1:27">
      <c r="A522" s="21" t="s">
        <v>1071</v>
      </c>
      <c r="B522" s="21" t="s">
        <v>45</v>
      </c>
      <c r="C522" s="21" t="s">
        <v>1072</v>
      </c>
      <c r="D522" s="21" t="s">
        <v>1073</v>
      </c>
      <c r="E522" s="21" t="s">
        <v>1074</v>
      </c>
      <c r="F522" s="21" t="s">
        <v>49</v>
      </c>
      <c r="G522" s="21" t="s">
        <v>238</v>
      </c>
      <c r="H522" s="21" t="s">
        <v>190</v>
      </c>
      <c r="I522" s="26">
        <v>20</v>
      </c>
      <c r="J522" s="26">
        <v>240</v>
      </c>
      <c r="K522" s="21" t="s">
        <v>52</v>
      </c>
      <c r="L522" s="27">
        <v>3768</v>
      </c>
      <c r="M522" s="21"/>
      <c r="N522" s="21"/>
      <c r="O522" s="21" t="s">
        <v>1075</v>
      </c>
      <c r="P522" s="21" t="s">
        <v>54</v>
      </c>
      <c r="Q522" s="28">
        <v>46174</v>
      </c>
      <c r="R522" s="29">
        <v>46174.4503472222</v>
      </c>
      <c r="S522" s="21" t="s">
        <v>1076</v>
      </c>
      <c r="T522" s="21"/>
      <c r="U522" s="21" t="s">
        <v>1077</v>
      </c>
      <c r="V522" s="29">
        <v>46174.4503009259</v>
      </c>
      <c r="W522">
        <f>VLOOKUP(H522,物料編碼!A:B,2,0)</f>
        <v>1300609001</v>
      </c>
      <c r="X522">
        <v>1300609</v>
      </c>
      <c r="Y522" t="str">
        <f>VLOOKUP(X522,物料編碼!D:G,4,0)</f>
        <v>去皮上腿肉</v>
      </c>
      <c r="Z522" t="str">
        <f>VLOOKUP(C522,客戶屬性1!A:C,2,0)</f>
        <v>昭楠贸易有限公司</v>
      </c>
      <c r="AA522">
        <f>IF(COUNTIF($O$1:O522,O522)=1,L522,0)</f>
        <v>3768</v>
      </c>
    </row>
    <row r="523" customHeight="1" spans="1:27">
      <c r="A523" s="21" t="s">
        <v>1078</v>
      </c>
      <c r="B523" s="21" t="s">
        <v>45</v>
      </c>
      <c r="C523" s="21" t="s">
        <v>383</v>
      </c>
      <c r="D523" s="21" t="s">
        <v>384</v>
      </c>
      <c r="E523" s="21" t="s">
        <v>385</v>
      </c>
      <c r="F523" s="21" t="s">
        <v>49</v>
      </c>
      <c r="G523" s="21" t="s">
        <v>50</v>
      </c>
      <c r="H523" s="21" t="s">
        <v>190</v>
      </c>
      <c r="I523" s="26">
        <v>5</v>
      </c>
      <c r="J523" s="26">
        <v>60</v>
      </c>
      <c r="K523" s="21" t="s">
        <v>52</v>
      </c>
      <c r="L523" s="27">
        <v>942</v>
      </c>
      <c r="M523" s="21"/>
      <c r="N523" s="21"/>
      <c r="O523" s="21" t="s">
        <v>1079</v>
      </c>
      <c r="P523" s="21" t="s">
        <v>54</v>
      </c>
      <c r="Q523" s="28">
        <v>46174</v>
      </c>
      <c r="R523" s="29">
        <v>46174.4442013889</v>
      </c>
      <c r="S523" s="21" t="s">
        <v>387</v>
      </c>
      <c r="T523" s="21"/>
      <c r="U523" s="21" t="s">
        <v>384</v>
      </c>
      <c r="V523" s="29">
        <v>46174.4441666667</v>
      </c>
      <c r="W523">
        <f>VLOOKUP(H523,物料編碼!A:B,2,0)</f>
        <v>1300609001</v>
      </c>
      <c r="X523">
        <v>1300609</v>
      </c>
      <c r="Y523" t="str">
        <f>VLOOKUP(X523,物料編碼!D:G,4,0)</f>
        <v>去皮上腿肉</v>
      </c>
      <c r="Z523" t="str">
        <f>VLOOKUP(C523,客戶屬性1!A:C,2,0)</f>
        <v>新协兴冻肉食品公司</v>
      </c>
      <c r="AA523">
        <f>IF(COUNTIF($O$1:O523,O523)=1,L523,0)</f>
        <v>942</v>
      </c>
    </row>
    <row r="524" customHeight="1" spans="1:27">
      <c r="A524" s="21" t="s">
        <v>1080</v>
      </c>
      <c r="B524" s="21" t="s">
        <v>45</v>
      </c>
      <c r="C524" s="21" t="s">
        <v>383</v>
      </c>
      <c r="D524" s="21" t="s">
        <v>384</v>
      </c>
      <c r="E524" s="21" t="s">
        <v>385</v>
      </c>
      <c r="F524" s="21" t="s">
        <v>49</v>
      </c>
      <c r="G524" s="21" t="s">
        <v>50</v>
      </c>
      <c r="H524" s="21" t="s">
        <v>190</v>
      </c>
      <c r="I524" s="26">
        <v>5</v>
      </c>
      <c r="J524" s="26">
        <v>60</v>
      </c>
      <c r="K524" s="21" t="s">
        <v>52</v>
      </c>
      <c r="L524" s="27">
        <v>942</v>
      </c>
      <c r="M524" s="21"/>
      <c r="N524" s="21"/>
      <c r="O524" s="21" t="s">
        <v>1081</v>
      </c>
      <c r="P524" s="21" t="s">
        <v>54</v>
      </c>
      <c r="Q524" s="28">
        <v>46174</v>
      </c>
      <c r="R524" s="29">
        <v>46174.4441782407</v>
      </c>
      <c r="S524" s="21" t="s">
        <v>387</v>
      </c>
      <c r="T524" s="21"/>
      <c r="U524" s="21" t="s">
        <v>384</v>
      </c>
      <c r="V524" s="29">
        <v>46174.4441319444</v>
      </c>
      <c r="W524">
        <f>VLOOKUP(H524,物料編碼!A:B,2,0)</f>
        <v>1300609001</v>
      </c>
      <c r="X524">
        <v>1300609</v>
      </c>
      <c r="Y524" t="str">
        <f>VLOOKUP(X524,物料編碼!D:G,4,0)</f>
        <v>去皮上腿肉</v>
      </c>
      <c r="Z524" t="str">
        <f>VLOOKUP(C524,客戶屬性1!A:C,2,0)</f>
        <v>新协兴冻肉食品公司</v>
      </c>
      <c r="AA524">
        <f>IF(COUNTIF($O$1:O524,O524)=1,L524,0)</f>
        <v>942</v>
      </c>
    </row>
    <row r="525" customHeight="1" spans="1:27">
      <c r="A525" s="21" t="s">
        <v>1082</v>
      </c>
      <c r="B525" s="21" t="s">
        <v>45</v>
      </c>
      <c r="C525" s="21" t="s">
        <v>57</v>
      </c>
      <c r="D525" s="21" t="s">
        <v>58</v>
      </c>
      <c r="E525" s="21" t="s">
        <v>59</v>
      </c>
      <c r="F525" s="21" t="s">
        <v>49</v>
      </c>
      <c r="G525" s="21" t="s">
        <v>50</v>
      </c>
      <c r="H525" s="21" t="s">
        <v>63</v>
      </c>
      <c r="I525" s="26">
        <v>5</v>
      </c>
      <c r="J525" s="26">
        <v>125</v>
      </c>
      <c r="K525" s="21" t="s">
        <v>52</v>
      </c>
      <c r="L525" s="27">
        <v>4075</v>
      </c>
      <c r="M525" s="21"/>
      <c r="N525" s="21"/>
      <c r="O525" s="21" t="s">
        <v>1083</v>
      </c>
      <c r="P525" s="21" t="s">
        <v>54</v>
      </c>
      <c r="Q525" s="28">
        <v>46175</v>
      </c>
      <c r="R525" s="29">
        <v>46174.4408796296</v>
      </c>
      <c r="S525" s="21" t="s">
        <v>62</v>
      </c>
      <c r="T525" s="21"/>
      <c r="U525" s="21" t="s">
        <v>59</v>
      </c>
      <c r="V525" s="29">
        <v>46174.4408449074</v>
      </c>
      <c r="W525">
        <f>VLOOKUP(H525,物料編碼!A:B,2,0)</f>
        <v>1300109002</v>
      </c>
      <c r="X525">
        <v>1300109</v>
      </c>
      <c r="Y525" t="str">
        <f>VLOOKUP(X525,物料編碼!D:G,4,0)</f>
        <v>面精肉</v>
      </c>
      <c r="Z525" t="str">
        <f>VLOOKUP(C525,客戶屬性1!A:C,2,0)</f>
        <v>翎凰冻肉有限公司</v>
      </c>
      <c r="AA525">
        <f>IF(COUNTIF($O$1:O525,O525)=1,L525,0)</f>
        <v>4075</v>
      </c>
    </row>
    <row r="526" customHeight="1" spans="1:27">
      <c r="A526" s="21" t="s">
        <v>1084</v>
      </c>
      <c r="B526" s="21" t="s">
        <v>45</v>
      </c>
      <c r="C526" s="21" t="s">
        <v>86</v>
      </c>
      <c r="D526" s="21" t="s">
        <v>87</v>
      </c>
      <c r="E526" s="21" t="s">
        <v>88</v>
      </c>
      <c r="F526" s="21" t="s">
        <v>49</v>
      </c>
      <c r="G526" s="21" t="s">
        <v>89</v>
      </c>
      <c r="H526" s="21" t="s">
        <v>63</v>
      </c>
      <c r="I526" s="26">
        <v>4</v>
      </c>
      <c r="J526" s="26">
        <v>100</v>
      </c>
      <c r="K526" s="21" t="s">
        <v>52</v>
      </c>
      <c r="L526" s="27">
        <v>3260</v>
      </c>
      <c r="M526" s="21"/>
      <c r="N526" s="21"/>
      <c r="O526" s="21" t="s">
        <v>1085</v>
      </c>
      <c r="P526" s="21" t="s">
        <v>54</v>
      </c>
      <c r="Q526" s="28">
        <v>46175</v>
      </c>
      <c r="R526" s="29">
        <v>46174.440150463</v>
      </c>
      <c r="S526" s="21" t="s">
        <v>91</v>
      </c>
      <c r="T526" s="21"/>
      <c r="U526" s="21" t="s">
        <v>88</v>
      </c>
      <c r="V526" s="29">
        <v>46174.4400925926</v>
      </c>
      <c r="W526">
        <f>VLOOKUP(H526,物料編碼!A:B,2,0)</f>
        <v>1300109002</v>
      </c>
      <c r="X526">
        <v>1300109</v>
      </c>
      <c r="Y526" t="str">
        <f>VLOOKUP(X526,物料編碼!D:G,4,0)</f>
        <v>面精肉</v>
      </c>
      <c r="Z526" t="str">
        <f>VLOOKUP(C526,客戶屬性1!A:C,2,0)</f>
        <v>新城发食品有限公司</v>
      </c>
      <c r="AA526">
        <f>IF(COUNTIF($O$1:O526,O526)=1,L526,0)</f>
        <v>3260</v>
      </c>
    </row>
    <row r="527" customHeight="1" spans="1:27">
      <c r="A527" s="21" t="s">
        <v>1086</v>
      </c>
      <c r="B527" s="21" t="s">
        <v>45</v>
      </c>
      <c r="C527" s="21" t="s">
        <v>46</v>
      </c>
      <c r="D527" s="21" t="s">
        <v>47</v>
      </c>
      <c r="E527" s="21" t="s">
        <v>48</v>
      </c>
      <c r="F527" s="21" t="s">
        <v>49</v>
      </c>
      <c r="G527" s="21" t="s">
        <v>50</v>
      </c>
      <c r="H527" s="21" t="s">
        <v>51</v>
      </c>
      <c r="I527" s="26">
        <v>1</v>
      </c>
      <c r="J527" s="26">
        <v>10</v>
      </c>
      <c r="K527" s="21" t="s">
        <v>52</v>
      </c>
      <c r="L527" s="27">
        <v>229</v>
      </c>
      <c r="M527" s="21"/>
      <c r="N527" s="21"/>
      <c r="O527" s="21" t="s">
        <v>1087</v>
      </c>
      <c r="P527" s="21" t="s">
        <v>54</v>
      </c>
      <c r="Q527" s="28">
        <v>46174</v>
      </c>
      <c r="R527" s="29">
        <v>46174.4369444444</v>
      </c>
      <c r="S527" s="21" t="s">
        <v>55</v>
      </c>
      <c r="T527" s="21"/>
      <c r="U527" s="21" t="s">
        <v>47</v>
      </c>
      <c r="V527" s="29">
        <v>46174.4369097222</v>
      </c>
      <c r="W527">
        <f>VLOOKUP(H527,物料編碼!A:B,2,0)</f>
        <v>1300624103</v>
      </c>
      <c r="X527">
        <v>1300624</v>
      </c>
      <c r="Y527" t="str">
        <f>VLOOKUP(X527,物料編碼!D:G,4,0)</f>
        <v>琵琶腿</v>
      </c>
      <c r="Z527" t="str">
        <f>VLOOKUP(C527,客戶屬性1!A:C,2,0)</f>
        <v>明记冻肉</v>
      </c>
      <c r="AA527">
        <f>IF(COUNTIF($O$1:O527,O527)=1,L527,0)</f>
        <v>229</v>
      </c>
    </row>
    <row r="528" customHeight="1" spans="1:27">
      <c r="A528" s="21" t="s">
        <v>1086</v>
      </c>
      <c r="B528" s="21" t="s">
        <v>45</v>
      </c>
      <c r="C528" s="21" t="s">
        <v>46</v>
      </c>
      <c r="D528" s="21" t="s">
        <v>47</v>
      </c>
      <c r="E528" s="21" t="s">
        <v>48</v>
      </c>
      <c r="F528" s="21" t="s">
        <v>49</v>
      </c>
      <c r="G528" s="21" t="s">
        <v>50</v>
      </c>
      <c r="H528" s="21" t="s">
        <v>168</v>
      </c>
      <c r="I528" s="26">
        <v>1</v>
      </c>
      <c r="J528" s="26">
        <v>10</v>
      </c>
      <c r="K528" s="21" t="s">
        <v>52</v>
      </c>
      <c r="L528" s="27">
        <v>229</v>
      </c>
      <c r="M528" s="21"/>
      <c r="N528" s="21"/>
      <c r="O528" s="21" t="s">
        <v>1087</v>
      </c>
      <c r="P528" s="21" t="s">
        <v>54</v>
      </c>
      <c r="Q528" s="28">
        <v>46174</v>
      </c>
      <c r="R528" s="29">
        <v>46174.4369444444</v>
      </c>
      <c r="S528" s="21" t="s">
        <v>55</v>
      </c>
      <c r="T528" s="21"/>
      <c r="U528" s="21" t="s">
        <v>47</v>
      </c>
      <c r="V528" s="29">
        <v>46174.4369097222</v>
      </c>
      <c r="W528">
        <f>VLOOKUP(H528,物料編碼!A:B,2,0)</f>
        <v>1300627002</v>
      </c>
      <c r="X528">
        <v>1300627</v>
      </c>
      <c r="Y528" t="str">
        <f>VLOOKUP(X528,物料編碼!D:G,4,0)</f>
        <v>翅尖</v>
      </c>
      <c r="Z528" t="str">
        <f>VLOOKUP(C528,客戶屬性1!A:C,2,0)</f>
        <v>明记冻肉</v>
      </c>
      <c r="AA528">
        <f>IF(COUNTIF($O$1:O528,O528)=1,L528,0)</f>
        <v>0</v>
      </c>
    </row>
    <row r="529" customHeight="1" spans="1:27">
      <c r="A529" s="21" t="s">
        <v>1088</v>
      </c>
      <c r="B529" s="21" t="s">
        <v>45</v>
      </c>
      <c r="C529" s="21" t="s">
        <v>1089</v>
      </c>
      <c r="D529" s="21" t="s">
        <v>1090</v>
      </c>
      <c r="E529" s="21" t="s">
        <v>1091</v>
      </c>
      <c r="F529" s="21" t="s">
        <v>49</v>
      </c>
      <c r="G529" s="21" t="s">
        <v>50</v>
      </c>
      <c r="H529" s="21" t="s">
        <v>63</v>
      </c>
      <c r="I529" s="26">
        <v>10</v>
      </c>
      <c r="J529" s="26">
        <v>250</v>
      </c>
      <c r="K529" s="21" t="s">
        <v>52</v>
      </c>
      <c r="L529" s="27">
        <v>8150</v>
      </c>
      <c r="M529" s="21"/>
      <c r="N529" s="21"/>
      <c r="O529" s="21" t="s">
        <v>1092</v>
      </c>
      <c r="P529" s="21" t="s">
        <v>54</v>
      </c>
      <c r="Q529" s="28">
        <v>46174</v>
      </c>
      <c r="R529" s="29">
        <v>46174.4365625</v>
      </c>
      <c r="S529" s="21" t="s">
        <v>1093</v>
      </c>
      <c r="T529" s="21"/>
      <c r="U529" s="21" t="s">
        <v>1090</v>
      </c>
      <c r="V529" s="29">
        <v>46174.4365162037</v>
      </c>
      <c r="W529">
        <f>VLOOKUP(H529,物料編碼!A:B,2,0)</f>
        <v>1300109002</v>
      </c>
      <c r="X529">
        <v>1300109</v>
      </c>
      <c r="Y529" t="str">
        <f>VLOOKUP(X529,物料編碼!D:G,4,0)</f>
        <v>面精肉</v>
      </c>
      <c r="Z529" t="str">
        <f>VLOOKUP(C529,客戶屬性1!A:C,2,0)</f>
        <v>三兴行贸易有限公司</v>
      </c>
      <c r="AA529">
        <f>IF(COUNTIF($O$1:O529,O529)=1,L529,0)</f>
        <v>8150</v>
      </c>
    </row>
    <row r="530" customHeight="1" spans="1:27">
      <c r="A530" s="21" t="s">
        <v>1094</v>
      </c>
      <c r="B530" s="21" t="s">
        <v>45</v>
      </c>
      <c r="C530" s="21" t="s">
        <v>46</v>
      </c>
      <c r="D530" s="21" t="s">
        <v>47</v>
      </c>
      <c r="E530" s="21" t="s">
        <v>48</v>
      </c>
      <c r="F530" s="21" t="s">
        <v>49</v>
      </c>
      <c r="G530" s="21" t="s">
        <v>50</v>
      </c>
      <c r="H530" s="21" t="s">
        <v>63</v>
      </c>
      <c r="I530" s="26">
        <v>1</v>
      </c>
      <c r="J530" s="26">
        <v>25</v>
      </c>
      <c r="K530" s="21" t="s">
        <v>52</v>
      </c>
      <c r="L530" s="27">
        <v>815</v>
      </c>
      <c r="M530" s="21"/>
      <c r="N530" s="21"/>
      <c r="O530" s="21" t="s">
        <v>1095</v>
      </c>
      <c r="P530" s="21" t="s">
        <v>54</v>
      </c>
      <c r="Q530" s="28">
        <v>46174</v>
      </c>
      <c r="R530" s="29">
        <v>46174.4361574074</v>
      </c>
      <c r="S530" s="21" t="s">
        <v>55</v>
      </c>
      <c r="T530" s="21"/>
      <c r="U530" s="21" t="s">
        <v>47</v>
      </c>
      <c r="V530" s="29">
        <v>46174.4361111111</v>
      </c>
      <c r="W530">
        <f>VLOOKUP(H530,物料編碼!A:B,2,0)</f>
        <v>1300109002</v>
      </c>
      <c r="X530">
        <v>1300109</v>
      </c>
      <c r="Y530" t="str">
        <f>VLOOKUP(X530,物料編碼!D:G,4,0)</f>
        <v>面精肉</v>
      </c>
      <c r="Z530" t="str">
        <f>VLOOKUP(C530,客戶屬性1!A:C,2,0)</f>
        <v>明记冻肉</v>
      </c>
      <c r="AA530">
        <f>IF(COUNTIF($O$1:O530,O530)=1,L530,0)</f>
        <v>815</v>
      </c>
    </row>
    <row r="531" customHeight="1" spans="1:27">
      <c r="A531" s="21" t="s">
        <v>1096</v>
      </c>
      <c r="B531" s="21" t="s">
        <v>45</v>
      </c>
      <c r="C531" s="21" t="s">
        <v>235</v>
      </c>
      <c r="D531" s="21" t="s">
        <v>236</v>
      </c>
      <c r="E531" s="21" t="s">
        <v>237</v>
      </c>
      <c r="F531" s="21" t="s">
        <v>49</v>
      </c>
      <c r="G531" s="21" t="s">
        <v>238</v>
      </c>
      <c r="H531" s="21" t="s">
        <v>190</v>
      </c>
      <c r="I531" s="26">
        <v>20</v>
      </c>
      <c r="J531" s="26">
        <v>240</v>
      </c>
      <c r="K531" s="21" t="s">
        <v>52</v>
      </c>
      <c r="L531" s="27">
        <v>3768</v>
      </c>
      <c r="M531" s="21"/>
      <c r="N531" s="21"/>
      <c r="O531" s="21" t="s">
        <v>1097</v>
      </c>
      <c r="P531" s="21" t="s">
        <v>54</v>
      </c>
      <c r="Q531" s="28">
        <v>46174</v>
      </c>
      <c r="R531" s="29">
        <v>46174.4248032407</v>
      </c>
      <c r="S531" s="21" t="s">
        <v>241</v>
      </c>
      <c r="T531" s="21"/>
      <c r="U531" s="21" t="s">
        <v>237</v>
      </c>
      <c r="V531" s="29">
        <v>46174.4247453704</v>
      </c>
      <c r="W531">
        <f>VLOOKUP(H531,物料編碼!A:B,2,0)</f>
        <v>1300609001</v>
      </c>
      <c r="X531">
        <v>1300609</v>
      </c>
      <c r="Y531" t="str">
        <f>VLOOKUP(X531,物料編碼!D:G,4,0)</f>
        <v>去皮上腿肉</v>
      </c>
      <c r="Z531" t="str">
        <f>VLOOKUP(C531,客戶屬性1!A:C,2,0)</f>
        <v>联合林记食品有限公司</v>
      </c>
      <c r="AA531">
        <f>IF(COUNTIF($O$1:O531,O531)=1,L531,0)</f>
        <v>3768</v>
      </c>
    </row>
    <row r="532" customHeight="1" spans="1:27">
      <c r="A532" s="21" t="s">
        <v>1098</v>
      </c>
      <c r="B532" s="21" t="s">
        <v>45</v>
      </c>
      <c r="C532" s="21" t="s">
        <v>72</v>
      </c>
      <c r="D532" s="21" t="s">
        <v>73</v>
      </c>
      <c r="E532" s="21" t="s">
        <v>74</v>
      </c>
      <c r="F532" s="21" t="s">
        <v>49</v>
      </c>
      <c r="G532" s="21" t="s">
        <v>50</v>
      </c>
      <c r="H532" s="21" t="s">
        <v>190</v>
      </c>
      <c r="I532" s="26">
        <v>3</v>
      </c>
      <c r="J532" s="26">
        <v>36</v>
      </c>
      <c r="K532" s="21" t="s">
        <v>52</v>
      </c>
      <c r="L532" s="27">
        <v>565.2</v>
      </c>
      <c r="M532" s="21"/>
      <c r="N532" s="21"/>
      <c r="O532" s="21" t="s">
        <v>1099</v>
      </c>
      <c r="P532" s="21" t="s">
        <v>54</v>
      </c>
      <c r="Q532" s="28">
        <v>46174</v>
      </c>
      <c r="R532" s="29">
        <v>46174.4084027778</v>
      </c>
      <c r="S532" s="21" t="s">
        <v>77</v>
      </c>
      <c r="T532" s="21"/>
      <c r="U532" s="21" t="s">
        <v>74</v>
      </c>
      <c r="V532" s="29">
        <v>46174.4083564815</v>
      </c>
      <c r="W532">
        <f>VLOOKUP(H532,物料編碼!A:B,2,0)</f>
        <v>1300609001</v>
      </c>
      <c r="X532">
        <v>1300609</v>
      </c>
      <c r="Y532" t="str">
        <f>VLOOKUP(X532,物料編碼!D:G,4,0)</f>
        <v>去皮上腿肉</v>
      </c>
      <c r="Z532" t="str">
        <f>VLOOKUP(C532,客戶屬性1!A:C,2,0)</f>
        <v>恒辉贸易公司</v>
      </c>
      <c r="AA532">
        <f>IF(COUNTIF($O$1:O532,O532)=1,L532,0)</f>
        <v>565.2</v>
      </c>
    </row>
    <row r="533" customHeight="1" spans="1:27">
      <c r="A533" s="21" t="s">
        <v>1100</v>
      </c>
      <c r="B533" s="21" t="s">
        <v>45</v>
      </c>
      <c r="C533" s="21" t="s">
        <v>72</v>
      </c>
      <c r="D533" s="21" t="s">
        <v>73</v>
      </c>
      <c r="E533" s="21" t="s">
        <v>74</v>
      </c>
      <c r="F533" s="21" t="s">
        <v>49</v>
      </c>
      <c r="G533" s="21" t="s">
        <v>50</v>
      </c>
      <c r="H533" s="21" t="s">
        <v>78</v>
      </c>
      <c r="I533" s="26">
        <v>12</v>
      </c>
      <c r="J533" s="26">
        <v>180</v>
      </c>
      <c r="K533" s="21" t="s">
        <v>52</v>
      </c>
      <c r="L533" s="27">
        <v>2660.4</v>
      </c>
      <c r="M533" s="21"/>
      <c r="N533" s="21"/>
      <c r="O533" s="21" t="s">
        <v>1101</v>
      </c>
      <c r="P533" s="21" t="s">
        <v>54</v>
      </c>
      <c r="Q533" s="28">
        <v>46174</v>
      </c>
      <c r="R533" s="29">
        <v>46174.3937268518</v>
      </c>
      <c r="S533" s="21" t="s">
        <v>77</v>
      </c>
      <c r="T533" s="21"/>
      <c r="U533" s="21" t="s">
        <v>74</v>
      </c>
      <c r="V533" s="29">
        <v>46174.3936805556</v>
      </c>
      <c r="W533">
        <f>VLOOKUP(H533,物料編碼!A:B,2,0)</f>
        <v>1300607014</v>
      </c>
      <c r="X533">
        <v>1300607</v>
      </c>
      <c r="Y533" t="str">
        <f>VLOOKUP(X533,物料編碼!D:G,4,0)</f>
        <v>帶皮腿扒</v>
      </c>
      <c r="Z533" t="str">
        <f>VLOOKUP(C533,客戶屬性1!A:C,2,0)</f>
        <v>恒辉贸易公司</v>
      </c>
      <c r="AA533">
        <f>IF(COUNTIF($O$1:O533,O533)=1,L533,0)</f>
        <v>2660.4</v>
      </c>
    </row>
    <row r="534" customHeight="1" spans="1:27">
      <c r="A534" s="21" t="s">
        <v>1102</v>
      </c>
      <c r="B534" s="21" t="s">
        <v>45</v>
      </c>
      <c r="C534" s="21" t="s">
        <v>72</v>
      </c>
      <c r="D534" s="21" t="s">
        <v>73</v>
      </c>
      <c r="E534" s="21" t="s">
        <v>74</v>
      </c>
      <c r="F534" s="21" t="s">
        <v>49</v>
      </c>
      <c r="G534" s="21" t="s">
        <v>50</v>
      </c>
      <c r="H534" s="21" t="s">
        <v>190</v>
      </c>
      <c r="I534" s="26">
        <v>8</v>
      </c>
      <c r="J534" s="26">
        <v>96</v>
      </c>
      <c r="K534" s="21" t="s">
        <v>52</v>
      </c>
      <c r="L534" s="27">
        <v>1738.5</v>
      </c>
      <c r="M534" s="21"/>
      <c r="N534" s="21"/>
      <c r="O534" s="21" t="s">
        <v>1103</v>
      </c>
      <c r="P534" s="21" t="s">
        <v>54</v>
      </c>
      <c r="Q534" s="28">
        <v>46174</v>
      </c>
      <c r="R534" s="29">
        <v>46172.4824652778</v>
      </c>
      <c r="S534" s="21" t="s">
        <v>77</v>
      </c>
      <c r="T534" s="21"/>
      <c r="U534" s="21" t="s">
        <v>74</v>
      </c>
      <c r="V534" s="29">
        <v>46172.4824189815</v>
      </c>
      <c r="W534">
        <f>VLOOKUP(H534,物料編碼!A:B,2,0)</f>
        <v>1300609001</v>
      </c>
      <c r="X534">
        <v>1300609</v>
      </c>
      <c r="Y534" t="str">
        <f>VLOOKUP(X534,物料編碼!D:G,4,0)</f>
        <v>去皮上腿肉</v>
      </c>
      <c r="Z534" t="str">
        <f>VLOOKUP(C534,客戶屬性1!A:C,2,0)</f>
        <v>恒辉贸易公司</v>
      </c>
      <c r="AA534">
        <f>IF(COUNTIF($O$1:O534,O534)=1,L534,0)</f>
        <v>1738.5</v>
      </c>
    </row>
    <row r="535" customHeight="1" spans="1:27">
      <c r="A535" s="21" t="s">
        <v>1102</v>
      </c>
      <c r="B535" s="21" t="s">
        <v>45</v>
      </c>
      <c r="C535" s="21" t="s">
        <v>72</v>
      </c>
      <c r="D535" s="21" t="s">
        <v>73</v>
      </c>
      <c r="E535" s="21" t="s">
        <v>74</v>
      </c>
      <c r="F535" s="21" t="s">
        <v>49</v>
      </c>
      <c r="G535" s="21" t="s">
        <v>50</v>
      </c>
      <c r="H535" s="21" t="s">
        <v>78</v>
      </c>
      <c r="I535" s="26">
        <v>1</v>
      </c>
      <c r="J535" s="26">
        <v>15</v>
      </c>
      <c r="K535" s="21" t="s">
        <v>52</v>
      </c>
      <c r="L535" s="27">
        <v>1738.5</v>
      </c>
      <c r="M535" s="21"/>
      <c r="N535" s="21"/>
      <c r="O535" s="21" t="s">
        <v>1103</v>
      </c>
      <c r="P535" s="21" t="s">
        <v>54</v>
      </c>
      <c r="Q535" s="28">
        <v>46174</v>
      </c>
      <c r="R535" s="29">
        <v>46172.4824652778</v>
      </c>
      <c r="S535" s="21" t="s">
        <v>77</v>
      </c>
      <c r="T535" s="21"/>
      <c r="U535" s="21" t="s">
        <v>74</v>
      </c>
      <c r="V535" s="29">
        <v>46172.4824189815</v>
      </c>
      <c r="W535">
        <f>VLOOKUP(H535,物料編碼!A:B,2,0)</f>
        <v>1300607014</v>
      </c>
      <c r="X535">
        <v>1300607</v>
      </c>
      <c r="Y535" t="str">
        <f>VLOOKUP(X535,物料編碼!D:G,4,0)</f>
        <v>帶皮腿扒</v>
      </c>
      <c r="Z535" t="str">
        <f>VLOOKUP(C535,客戶屬性1!A:C,2,0)</f>
        <v>恒辉贸易公司</v>
      </c>
      <c r="AA535">
        <f>IF(COUNTIF($O$1:O535,O535)=1,L535,0)</f>
        <v>0</v>
      </c>
    </row>
    <row r="536" customHeight="1" spans="1:27">
      <c r="A536" s="21" t="s">
        <v>1104</v>
      </c>
      <c r="B536" s="21" t="s">
        <v>45</v>
      </c>
      <c r="C536" s="21" t="s">
        <v>72</v>
      </c>
      <c r="D536" s="21" t="s">
        <v>73</v>
      </c>
      <c r="E536" s="21" t="s">
        <v>74</v>
      </c>
      <c r="F536" s="21" t="s">
        <v>49</v>
      </c>
      <c r="G536" s="21" t="s">
        <v>50</v>
      </c>
      <c r="H536" s="21" t="s">
        <v>63</v>
      </c>
      <c r="I536" s="26">
        <v>2</v>
      </c>
      <c r="J536" s="26">
        <v>50</v>
      </c>
      <c r="K536" s="21" t="s">
        <v>52</v>
      </c>
      <c r="L536" s="27">
        <v>1670</v>
      </c>
      <c r="M536" s="21"/>
      <c r="N536" s="21"/>
      <c r="O536" s="21" t="s">
        <v>1105</v>
      </c>
      <c r="P536" s="21" t="s">
        <v>54</v>
      </c>
      <c r="Q536" s="28">
        <v>46174</v>
      </c>
      <c r="R536" s="29">
        <v>46172.4558333333</v>
      </c>
      <c r="S536" s="21" t="s">
        <v>81</v>
      </c>
      <c r="T536" s="21"/>
      <c r="U536" s="21" t="s">
        <v>82</v>
      </c>
      <c r="V536" s="29">
        <v>46172.4558101852</v>
      </c>
      <c r="W536">
        <f>VLOOKUP(H536,物料編碼!A:B,2,0)</f>
        <v>1300109002</v>
      </c>
      <c r="X536">
        <v>1300109</v>
      </c>
      <c r="Y536" t="str">
        <f>VLOOKUP(X536,物料編碼!D:G,4,0)</f>
        <v>面精肉</v>
      </c>
      <c r="Z536" t="str">
        <f>VLOOKUP(C536,客戶屬性1!A:C,2,0)</f>
        <v>恒辉贸易公司</v>
      </c>
      <c r="AA536">
        <f>IF(COUNTIF($O$1:O536,O536)=1,L536,0)</f>
        <v>1670</v>
      </c>
    </row>
    <row r="537" customHeight="1" spans="1:27">
      <c r="A537" s="21" t="s">
        <v>1106</v>
      </c>
      <c r="B537" s="21" t="s">
        <v>45</v>
      </c>
      <c r="C537" s="21" t="s">
        <v>1107</v>
      </c>
      <c r="D537" s="21" t="s">
        <v>1108</v>
      </c>
      <c r="E537" s="21" t="s">
        <v>1109</v>
      </c>
      <c r="F537" s="21" t="s">
        <v>49</v>
      </c>
      <c r="G537" s="21" t="s">
        <v>541</v>
      </c>
      <c r="H537" s="21" t="s">
        <v>63</v>
      </c>
      <c r="I537" s="26">
        <v>5</v>
      </c>
      <c r="J537" s="26">
        <v>125</v>
      </c>
      <c r="K537" s="21" t="s">
        <v>52</v>
      </c>
      <c r="L537" s="27">
        <v>4175</v>
      </c>
      <c r="M537" s="21"/>
      <c r="N537" s="21"/>
      <c r="O537" s="21" t="s">
        <v>1110</v>
      </c>
      <c r="P537" s="21" t="s">
        <v>54</v>
      </c>
      <c r="Q537" s="28">
        <v>46174</v>
      </c>
      <c r="R537" s="29">
        <v>46172.4557986111</v>
      </c>
      <c r="S537" s="21" t="s">
        <v>1111</v>
      </c>
      <c r="T537" s="21"/>
      <c r="U537" s="21" t="s">
        <v>1109</v>
      </c>
      <c r="V537" s="29">
        <v>46172.4557407407</v>
      </c>
      <c r="W537">
        <f>VLOOKUP(H537,物料編碼!A:B,2,0)</f>
        <v>1300109002</v>
      </c>
      <c r="X537">
        <v>1300109</v>
      </c>
      <c r="Y537" t="str">
        <f>VLOOKUP(X537,物料編碼!D:G,4,0)</f>
        <v>面精肉</v>
      </c>
      <c r="Z537" t="str">
        <f>VLOOKUP(C537,客戶屬性1!A:C,2,0)</f>
        <v>同荣泰冻肉食品有限公司</v>
      </c>
      <c r="AA537">
        <f>IF(COUNTIF($O$1:O537,O537)=1,L537,0)</f>
        <v>4175</v>
      </c>
    </row>
    <row r="538" customHeight="1" spans="1:27">
      <c r="A538" s="21" t="s">
        <v>1112</v>
      </c>
      <c r="B538" s="21" t="s">
        <v>45</v>
      </c>
      <c r="C538" s="21" t="s">
        <v>46</v>
      </c>
      <c r="D538" s="21" t="s">
        <v>47</v>
      </c>
      <c r="E538" s="21" t="s">
        <v>48</v>
      </c>
      <c r="F538" s="21" t="s">
        <v>49</v>
      </c>
      <c r="G538" s="21" t="s">
        <v>50</v>
      </c>
      <c r="H538" s="21" t="s">
        <v>51</v>
      </c>
      <c r="I538" s="26">
        <v>1</v>
      </c>
      <c r="J538" s="26">
        <v>10</v>
      </c>
      <c r="K538" s="21" t="s">
        <v>52</v>
      </c>
      <c r="L538" s="27">
        <v>132</v>
      </c>
      <c r="M538" s="21"/>
      <c r="N538" s="21"/>
      <c r="O538" s="21" t="s">
        <v>1113</v>
      </c>
      <c r="P538" s="21" t="s">
        <v>54</v>
      </c>
      <c r="Q538" s="28">
        <v>46172</v>
      </c>
      <c r="R538" s="29">
        <v>46172.4194097222</v>
      </c>
      <c r="S538" s="21" t="s">
        <v>55</v>
      </c>
      <c r="T538" s="21"/>
      <c r="U538" s="21" t="s">
        <v>47</v>
      </c>
      <c r="V538" s="29">
        <v>46172.4193634259</v>
      </c>
      <c r="W538">
        <f>VLOOKUP(H538,物料編碼!A:B,2,0)</f>
        <v>1300624103</v>
      </c>
      <c r="X538">
        <v>1300624</v>
      </c>
      <c r="Y538" t="str">
        <f>VLOOKUP(X538,物料編碼!D:G,4,0)</f>
        <v>琵琶腿</v>
      </c>
      <c r="Z538" t="str">
        <f>VLOOKUP(C538,客戶屬性1!A:C,2,0)</f>
        <v>明记冻肉</v>
      </c>
      <c r="AA538">
        <f>IF(COUNTIF($O$1:O538,O538)=1,L538,0)</f>
        <v>132</v>
      </c>
    </row>
    <row r="539" customHeight="1" spans="1:27">
      <c r="A539" s="21" t="s">
        <v>1114</v>
      </c>
      <c r="B539" s="21" t="s">
        <v>45</v>
      </c>
      <c r="C539" s="21" t="s">
        <v>126</v>
      </c>
      <c r="D539" s="21" t="s">
        <v>127</v>
      </c>
      <c r="E539" s="21" t="s">
        <v>128</v>
      </c>
      <c r="F539" s="21" t="s">
        <v>49</v>
      </c>
      <c r="G539" s="21" t="s">
        <v>129</v>
      </c>
      <c r="H539" s="21" t="s">
        <v>117</v>
      </c>
      <c r="I539" s="26">
        <v>5</v>
      </c>
      <c r="J539" s="26">
        <v>75</v>
      </c>
      <c r="K539" s="21" t="s">
        <v>52</v>
      </c>
      <c r="L539" s="27">
        <v>1108.5</v>
      </c>
      <c r="M539" s="21"/>
      <c r="N539" s="21"/>
      <c r="O539" s="21" t="s">
        <v>1115</v>
      </c>
      <c r="P539" s="21" t="s">
        <v>54</v>
      </c>
      <c r="Q539" s="28">
        <v>46172</v>
      </c>
      <c r="R539" s="29">
        <v>46172.4106365741</v>
      </c>
      <c r="S539" s="21" t="s">
        <v>131</v>
      </c>
      <c r="T539" s="21"/>
      <c r="U539" s="21" t="s">
        <v>127</v>
      </c>
      <c r="V539" s="29">
        <v>46172.4105902778</v>
      </c>
      <c r="W539">
        <f>VLOOKUP(H539,物料編碼!A:B,2,0)</f>
        <v>1300607015</v>
      </c>
      <c r="X539">
        <v>1300607</v>
      </c>
      <c r="Y539" t="str">
        <f>VLOOKUP(X539,物料編碼!D:G,4,0)</f>
        <v>帶皮腿扒</v>
      </c>
      <c r="Z539" t="str">
        <f>VLOOKUP(C539,客戶屬性1!A:C,2,0)</f>
        <v>福源食品有限公司</v>
      </c>
      <c r="AA539">
        <f>IF(COUNTIF($O$1:O539,O539)=1,L539,0)</f>
        <v>1108.5</v>
      </c>
    </row>
    <row r="540" customHeight="1" spans="1:27">
      <c r="A540" s="21" t="s">
        <v>1116</v>
      </c>
      <c r="B540" s="21" t="s">
        <v>45</v>
      </c>
      <c r="C540" s="21" t="s">
        <v>72</v>
      </c>
      <c r="D540" s="21" t="s">
        <v>73</v>
      </c>
      <c r="E540" s="21" t="s">
        <v>74</v>
      </c>
      <c r="F540" s="21" t="s">
        <v>49</v>
      </c>
      <c r="G540" s="21" t="s">
        <v>50</v>
      </c>
      <c r="H540" s="21" t="s">
        <v>298</v>
      </c>
      <c r="I540" s="26">
        <v>1</v>
      </c>
      <c r="J540" s="26">
        <v>10</v>
      </c>
      <c r="K540" s="21" t="s">
        <v>52</v>
      </c>
      <c r="L540" s="27">
        <v>520</v>
      </c>
      <c r="M540" s="21"/>
      <c r="N540" s="21"/>
      <c r="O540" s="21" t="s">
        <v>1117</v>
      </c>
      <c r="P540" s="21" t="s">
        <v>54</v>
      </c>
      <c r="Q540" s="28">
        <v>46172</v>
      </c>
      <c r="R540" s="29">
        <v>46171.6257175926</v>
      </c>
      <c r="S540" s="21" t="s">
        <v>81</v>
      </c>
      <c r="T540" s="21"/>
      <c r="U540" s="21" t="s">
        <v>82</v>
      </c>
      <c r="V540" s="29">
        <v>46171.6256712963</v>
      </c>
      <c r="W540">
        <f>VLOOKUP(H540,物料編碼!A:B,2,0)</f>
        <v>1300111003</v>
      </c>
      <c r="X540">
        <v>1300111</v>
      </c>
      <c r="Y540" t="str">
        <f>VLOOKUP(X540,物料編碼!D:G,4,0)</f>
        <v>寸骨</v>
      </c>
      <c r="Z540" t="str">
        <f>VLOOKUP(C540,客戶屬性1!A:C,2,0)</f>
        <v>恒辉贸易公司</v>
      </c>
      <c r="AA540">
        <f>IF(COUNTIF($O$1:O540,O540)=1,L540,0)</f>
        <v>520</v>
      </c>
    </row>
    <row r="541" customHeight="1" spans="1:27">
      <c r="A541" s="21" t="s">
        <v>1118</v>
      </c>
      <c r="B541" s="21" t="s">
        <v>45</v>
      </c>
      <c r="C541" s="21" t="s">
        <v>72</v>
      </c>
      <c r="D541" s="21" t="s">
        <v>73</v>
      </c>
      <c r="E541" s="21" t="s">
        <v>74</v>
      </c>
      <c r="F541" s="21" t="s">
        <v>49</v>
      </c>
      <c r="G541" s="21" t="s">
        <v>50</v>
      </c>
      <c r="H541" s="21" t="s">
        <v>117</v>
      </c>
      <c r="I541" s="26">
        <v>1</v>
      </c>
      <c r="J541" s="26">
        <v>15</v>
      </c>
      <c r="K541" s="21" t="s">
        <v>52</v>
      </c>
      <c r="L541" s="27">
        <v>221.7</v>
      </c>
      <c r="M541" s="21"/>
      <c r="N541" s="21"/>
      <c r="O541" s="21" t="s">
        <v>1119</v>
      </c>
      <c r="P541" s="21" t="s">
        <v>54</v>
      </c>
      <c r="Q541" s="28">
        <v>46172</v>
      </c>
      <c r="R541" s="29">
        <v>46171.5952083333</v>
      </c>
      <c r="S541" s="21" t="s">
        <v>81</v>
      </c>
      <c r="T541" s="21"/>
      <c r="U541" s="21" t="s">
        <v>82</v>
      </c>
      <c r="V541" s="29">
        <v>46171.595162037</v>
      </c>
      <c r="W541">
        <f>VLOOKUP(H541,物料編碼!A:B,2,0)</f>
        <v>1300607015</v>
      </c>
      <c r="X541">
        <v>1300607</v>
      </c>
      <c r="Y541" t="str">
        <f>VLOOKUP(X541,物料編碼!D:G,4,0)</f>
        <v>帶皮腿扒</v>
      </c>
      <c r="Z541" t="str">
        <f>VLOOKUP(C541,客戶屬性1!A:C,2,0)</f>
        <v>恒辉贸易公司</v>
      </c>
      <c r="AA541">
        <f>IF(COUNTIF($O$1:O541,O541)=1,L541,0)</f>
        <v>221.7</v>
      </c>
    </row>
    <row r="542" customHeight="1" spans="1:27">
      <c r="A542" s="21" t="s">
        <v>1120</v>
      </c>
      <c r="B542" s="21" t="s">
        <v>45</v>
      </c>
      <c r="C542" s="21" t="s">
        <v>114</v>
      </c>
      <c r="D542" s="21" t="s">
        <v>115</v>
      </c>
      <c r="E542" s="21" t="s">
        <v>116</v>
      </c>
      <c r="F542" s="21" t="s">
        <v>49</v>
      </c>
      <c r="G542" s="21" t="s">
        <v>100</v>
      </c>
      <c r="H542" s="21" t="s">
        <v>168</v>
      </c>
      <c r="I542" s="26">
        <v>1</v>
      </c>
      <c r="J542" s="26">
        <v>10</v>
      </c>
      <c r="K542" s="21" t="s">
        <v>52</v>
      </c>
      <c r="L542" s="27">
        <v>97</v>
      </c>
      <c r="M542" s="21"/>
      <c r="N542" s="21"/>
      <c r="O542" s="21" t="s">
        <v>1121</v>
      </c>
      <c r="P542" s="21" t="s">
        <v>54</v>
      </c>
      <c r="Q542" s="28">
        <v>46172</v>
      </c>
      <c r="R542" s="29">
        <v>46171.5415740741</v>
      </c>
      <c r="S542" s="21" t="s">
        <v>119</v>
      </c>
      <c r="T542" s="21"/>
      <c r="U542" s="21" t="s">
        <v>115</v>
      </c>
      <c r="V542" s="29">
        <v>46171.5415162037</v>
      </c>
      <c r="W542">
        <f>VLOOKUP(H542,物料編碼!A:B,2,0)</f>
        <v>1300627002</v>
      </c>
      <c r="X542">
        <v>1300627</v>
      </c>
      <c r="Y542" t="str">
        <f>VLOOKUP(X542,物料編碼!D:G,4,0)</f>
        <v>翅尖</v>
      </c>
      <c r="Z542" t="str">
        <f>VLOOKUP(C542,客戶屬性1!A:C,2,0)</f>
        <v>骏利贸易公司</v>
      </c>
      <c r="AA542">
        <f>IF(COUNTIF($O$1:O542,O542)=1,L542,0)</f>
        <v>97</v>
      </c>
    </row>
    <row r="543" customHeight="1" spans="1:27">
      <c r="A543" s="21" t="s">
        <v>1122</v>
      </c>
      <c r="B543" s="21" t="s">
        <v>45</v>
      </c>
      <c r="C543" s="21" t="s">
        <v>290</v>
      </c>
      <c r="D543" s="21" t="s">
        <v>291</v>
      </c>
      <c r="E543" s="21" t="s">
        <v>292</v>
      </c>
      <c r="F543" s="21" t="s">
        <v>49</v>
      </c>
      <c r="G543" s="21" t="s">
        <v>50</v>
      </c>
      <c r="H543" s="21" t="s">
        <v>121</v>
      </c>
      <c r="I543" s="26">
        <v>2</v>
      </c>
      <c r="J543" s="26">
        <v>40</v>
      </c>
      <c r="K543" s="21" t="s">
        <v>52</v>
      </c>
      <c r="L543" s="27">
        <v>980</v>
      </c>
      <c r="M543" s="21"/>
      <c r="N543" s="21"/>
      <c r="O543" s="21" t="s">
        <v>1123</v>
      </c>
      <c r="P543" s="21" t="s">
        <v>54</v>
      </c>
      <c r="Q543" s="28">
        <v>46171</v>
      </c>
      <c r="R543" s="29">
        <v>46170.5287962963</v>
      </c>
      <c r="S543" s="21" t="s">
        <v>294</v>
      </c>
      <c r="T543" s="21"/>
      <c r="U543" s="21" t="s">
        <v>292</v>
      </c>
      <c r="V543" s="29">
        <v>46170.5287384259</v>
      </c>
      <c r="W543">
        <f>VLOOKUP(H543,物料編碼!A:B,2,0)</f>
        <v>1300114011</v>
      </c>
      <c r="X543">
        <v>1300114</v>
      </c>
      <c r="Y543" t="str">
        <f>VLOOKUP(X543,物料編碼!D:G,4,0)</f>
        <v>熟食</v>
      </c>
      <c r="Z543" t="str">
        <f>VLOOKUP(C543,客戶屬性1!A:C,2,0)</f>
        <v>溢利食品(香港)有限公司</v>
      </c>
      <c r="AA543">
        <f>IF(COUNTIF($O$1:O543,O543)=1,L543,0)</f>
        <v>980</v>
      </c>
    </row>
    <row r="544" customHeight="1" spans="1:27">
      <c r="A544" s="21" t="s">
        <v>1124</v>
      </c>
      <c r="B544" s="21" t="s">
        <v>45</v>
      </c>
      <c r="C544" s="21" t="s">
        <v>114</v>
      </c>
      <c r="D544" s="21" t="s">
        <v>115</v>
      </c>
      <c r="E544" s="21" t="s">
        <v>116</v>
      </c>
      <c r="F544" s="21" t="s">
        <v>49</v>
      </c>
      <c r="G544" s="21" t="s">
        <v>100</v>
      </c>
      <c r="H544" s="21" t="s">
        <v>168</v>
      </c>
      <c r="I544" s="26">
        <v>1</v>
      </c>
      <c r="J544" s="26">
        <v>10</v>
      </c>
      <c r="K544" s="21" t="s">
        <v>52</v>
      </c>
      <c r="L544" s="27">
        <v>97</v>
      </c>
      <c r="M544" s="21"/>
      <c r="N544" s="21"/>
      <c r="O544" s="21" t="s">
        <v>1125</v>
      </c>
      <c r="P544" s="21" t="s">
        <v>54</v>
      </c>
      <c r="Q544" s="28">
        <v>46171</v>
      </c>
      <c r="R544" s="29">
        <v>46170.5002546296</v>
      </c>
      <c r="S544" s="21" t="s">
        <v>119</v>
      </c>
      <c r="T544" s="21"/>
      <c r="U544" s="21" t="s">
        <v>115</v>
      </c>
      <c r="V544" s="29">
        <v>46170.5002083333</v>
      </c>
      <c r="W544">
        <f>VLOOKUP(H544,物料編碼!A:B,2,0)</f>
        <v>1300627002</v>
      </c>
      <c r="X544">
        <v>1300627</v>
      </c>
      <c r="Y544" t="str">
        <f>VLOOKUP(X544,物料編碼!D:G,4,0)</f>
        <v>翅尖</v>
      </c>
      <c r="Z544" t="str">
        <f>VLOOKUP(C544,客戶屬性1!A:C,2,0)</f>
        <v>骏利贸易公司</v>
      </c>
      <c r="AA544">
        <f>IF(COUNTIF($O$1:O544,O544)=1,L544,0)</f>
        <v>97</v>
      </c>
    </row>
    <row r="545" customHeight="1" spans="1:27">
      <c r="A545" s="21" t="s">
        <v>1126</v>
      </c>
      <c r="B545" s="21" t="s">
        <v>45</v>
      </c>
      <c r="C545" s="21" t="s">
        <v>114</v>
      </c>
      <c r="D545" s="21" t="s">
        <v>115</v>
      </c>
      <c r="E545" s="21" t="s">
        <v>116</v>
      </c>
      <c r="F545" s="21" t="s">
        <v>49</v>
      </c>
      <c r="G545" s="21" t="s">
        <v>100</v>
      </c>
      <c r="H545" s="21" t="s">
        <v>808</v>
      </c>
      <c r="I545" s="26">
        <v>2</v>
      </c>
      <c r="J545" s="26">
        <v>20</v>
      </c>
      <c r="K545" s="21" t="s">
        <v>52</v>
      </c>
      <c r="L545" s="27">
        <v>242</v>
      </c>
      <c r="M545" s="21"/>
      <c r="N545" s="21"/>
      <c r="O545" s="21" t="s">
        <v>1127</v>
      </c>
      <c r="P545" s="21" t="s">
        <v>54</v>
      </c>
      <c r="Q545" s="28">
        <v>46171</v>
      </c>
      <c r="R545" s="29">
        <v>46170.4920486111</v>
      </c>
      <c r="S545" s="21" t="s">
        <v>119</v>
      </c>
      <c r="T545" s="21"/>
      <c r="U545" s="21" t="s">
        <v>115</v>
      </c>
      <c r="V545" s="29">
        <v>46170.4920023148</v>
      </c>
      <c r="W545">
        <f>VLOOKUP(H545,物料編碼!A:B,2,0)</f>
        <v>1300613017</v>
      </c>
      <c r="X545">
        <v>1300613</v>
      </c>
      <c r="Y545" t="str">
        <f>VLOOKUP(X545,物料編碼!D:G,4,0)</f>
        <v>小胸肉</v>
      </c>
      <c r="Z545" t="str">
        <f>VLOOKUP(C545,客戶屬性1!A:C,2,0)</f>
        <v>骏利贸易公司</v>
      </c>
      <c r="AA545">
        <f>IF(COUNTIF($O$1:O545,O545)=1,L545,0)</f>
        <v>242</v>
      </c>
    </row>
    <row r="546" customHeight="1" spans="1:27">
      <c r="A546" s="21" t="s">
        <v>1128</v>
      </c>
      <c r="B546" s="21" t="s">
        <v>45</v>
      </c>
      <c r="C546" s="21" t="s">
        <v>141</v>
      </c>
      <c r="D546" s="21" t="s">
        <v>142</v>
      </c>
      <c r="E546" s="21" t="s">
        <v>142</v>
      </c>
      <c r="F546" s="21" t="s">
        <v>143</v>
      </c>
      <c r="G546" s="21" t="s">
        <v>100</v>
      </c>
      <c r="H546" s="21" t="s">
        <v>298</v>
      </c>
      <c r="I546" s="26">
        <v>1</v>
      </c>
      <c r="J546" s="26">
        <v>10</v>
      </c>
      <c r="K546" s="21" t="s">
        <v>52</v>
      </c>
      <c r="L546" s="27">
        <v>1185.1</v>
      </c>
      <c r="M546" s="21"/>
      <c r="N546" s="21"/>
      <c r="O546" s="21" t="s">
        <v>1129</v>
      </c>
      <c r="P546" s="21" t="s">
        <v>54</v>
      </c>
      <c r="Q546" s="28">
        <v>46171</v>
      </c>
      <c r="R546" s="29">
        <v>46170.4907060185</v>
      </c>
      <c r="S546" s="21" t="s">
        <v>145</v>
      </c>
      <c r="T546" s="21"/>
      <c r="U546" s="21" t="s">
        <v>142</v>
      </c>
      <c r="V546" s="29">
        <v>46170.4906597222</v>
      </c>
      <c r="W546">
        <f>VLOOKUP(H546,物料編碼!A:B,2,0)</f>
        <v>1300111003</v>
      </c>
      <c r="X546">
        <v>1300111</v>
      </c>
      <c r="Y546" t="str">
        <f>VLOOKUP(X546,物料編碼!D:G,4,0)</f>
        <v>寸骨</v>
      </c>
      <c r="Z546" t="str">
        <f>VLOOKUP(C546,客戶屬性1!A:C,2,0)</f>
        <v>新昌冻肉</v>
      </c>
      <c r="AA546">
        <f>IF(COUNTIF($O$1:O546,O546)=1,L546,0)</f>
        <v>1185.1</v>
      </c>
    </row>
    <row r="547" customHeight="1" spans="1:27">
      <c r="A547" s="21" t="s">
        <v>1128</v>
      </c>
      <c r="B547" s="21" t="s">
        <v>45</v>
      </c>
      <c r="C547" s="21" t="s">
        <v>141</v>
      </c>
      <c r="D547" s="21" t="s">
        <v>142</v>
      </c>
      <c r="E547" s="21" t="s">
        <v>142</v>
      </c>
      <c r="F547" s="21" t="s">
        <v>143</v>
      </c>
      <c r="G547" s="21" t="s">
        <v>100</v>
      </c>
      <c r="H547" s="21" t="s">
        <v>117</v>
      </c>
      <c r="I547" s="26">
        <v>3</v>
      </c>
      <c r="J547" s="26">
        <v>45</v>
      </c>
      <c r="K547" s="21" t="s">
        <v>52</v>
      </c>
      <c r="L547" s="27">
        <v>1185.1</v>
      </c>
      <c r="M547" s="21"/>
      <c r="N547" s="21"/>
      <c r="O547" s="21" t="s">
        <v>1129</v>
      </c>
      <c r="P547" s="21" t="s">
        <v>54</v>
      </c>
      <c r="Q547" s="28">
        <v>46171</v>
      </c>
      <c r="R547" s="29">
        <v>46170.4907060185</v>
      </c>
      <c r="S547" s="21" t="s">
        <v>145</v>
      </c>
      <c r="T547" s="21"/>
      <c r="U547" s="21" t="s">
        <v>142</v>
      </c>
      <c r="V547" s="29">
        <v>46170.4906597222</v>
      </c>
      <c r="W547">
        <f>VLOOKUP(H547,物料編碼!A:B,2,0)</f>
        <v>1300607015</v>
      </c>
      <c r="X547">
        <v>1300607</v>
      </c>
      <c r="Y547" t="str">
        <f>VLOOKUP(X547,物料編碼!D:G,4,0)</f>
        <v>帶皮腿扒</v>
      </c>
      <c r="Z547" t="str">
        <f>VLOOKUP(C547,客戶屬性1!A:C,2,0)</f>
        <v>新昌冻肉</v>
      </c>
      <c r="AA547">
        <f>IF(COUNTIF($O$1:O547,O547)=1,L547,0)</f>
        <v>0</v>
      </c>
    </row>
    <row r="548" customHeight="1" spans="1:27">
      <c r="A548" s="21" t="s">
        <v>1130</v>
      </c>
      <c r="B548" s="21" t="s">
        <v>45</v>
      </c>
      <c r="C548" s="21" t="s">
        <v>72</v>
      </c>
      <c r="D548" s="21" t="s">
        <v>73</v>
      </c>
      <c r="E548" s="21" t="s">
        <v>74</v>
      </c>
      <c r="F548" s="21" t="s">
        <v>49</v>
      </c>
      <c r="G548" s="21" t="s">
        <v>50</v>
      </c>
      <c r="H548" s="21" t="s">
        <v>190</v>
      </c>
      <c r="I548" s="26">
        <v>8</v>
      </c>
      <c r="J548" s="26">
        <v>96</v>
      </c>
      <c r="K548" s="21" t="s">
        <v>52</v>
      </c>
      <c r="L548" s="27">
        <v>1516.8</v>
      </c>
      <c r="M548" s="21"/>
      <c r="N548" s="21"/>
      <c r="O548" s="21" t="s">
        <v>1131</v>
      </c>
      <c r="P548" s="21" t="s">
        <v>54</v>
      </c>
      <c r="Q548" s="28">
        <v>46171</v>
      </c>
      <c r="R548" s="29">
        <v>46170.4901388889</v>
      </c>
      <c r="S548" s="21" t="s">
        <v>77</v>
      </c>
      <c r="T548" s="21"/>
      <c r="U548" s="21" t="s">
        <v>74</v>
      </c>
      <c r="V548" s="29">
        <v>46170.4900925926</v>
      </c>
      <c r="W548">
        <f>VLOOKUP(H548,物料編碼!A:B,2,0)</f>
        <v>1300609001</v>
      </c>
      <c r="X548">
        <v>1300609</v>
      </c>
      <c r="Y548" t="str">
        <f>VLOOKUP(X548,物料編碼!D:G,4,0)</f>
        <v>去皮上腿肉</v>
      </c>
      <c r="Z548" t="str">
        <f>VLOOKUP(C548,客戶屬性1!A:C,2,0)</f>
        <v>恒辉贸易公司</v>
      </c>
      <c r="AA548">
        <f>IF(COUNTIF($O$1:O548,O548)=1,L548,0)</f>
        <v>1516.8</v>
      </c>
    </row>
    <row r="549" customHeight="1" spans="1:27">
      <c r="A549" s="21" t="s">
        <v>1132</v>
      </c>
      <c r="B549" s="21" t="s">
        <v>45</v>
      </c>
      <c r="C549" s="21" t="s">
        <v>197</v>
      </c>
      <c r="D549" s="21" t="s">
        <v>198</v>
      </c>
      <c r="E549" s="21" t="s">
        <v>199</v>
      </c>
      <c r="F549" s="21" t="s">
        <v>49</v>
      </c>
      <c r="G549" s="21" t="s">
        <v>136</v>
      </c>
      <c r="H549" s="21" t="s">
        <v>239</v>
      </c>
      <c r="I549" s="26">
        <v>10</v>
      </c>
      <c r="J549" s="26">
        <v>100</v>
      </c>
      <c r="K549" s="21" t="s">
        <v>52</v>
      </c>
      <c r="L549" s="27">
        <v>2080</v>
      </c>
      <c r="M549" s="21"/>
      <c r="N549" s="21"/>
      <c r="O549" s="21" t="s">
        <v>1133</v>
      </c>
      <c r="P549" s="21" t="s">
        <v>54</v>
      </c>
      <c r="Q549" s="28">
        <v>46171</v>
      </c>
      <c r="R549" s="29">
        <v>46170.4788425926</v>
      </c>
      <c r="S549" s="21" t="s">
        <v>202</v>
      </c>
      <c r="T549" s="21"/>
      <c r="U549" s="21" t="s">
        <v>203</v>
      </c>
      <c r="V549" s="29">
        <v>46170.4787962963</v>
      </c>
      <c r="W549">
        <f>VLOOKUP(H549,物料編碼!A:B,2,0)</f>
        <v>1300904023</v>
      </c>
      <c r="X549">
        <v>1300904</v>
      </c>
      <c r="Y549" t="str">
        <f>VLOOKUP(X549,物料編碼!D:G,4,0)</f>
        <v>煙熏鴨胸</v>
      </c>
      <c r="Z549" t="str">
        <f>VLOOKUP(C549,客戶屬性1!A:C,2,0)</f>
        <v>信隆(亚洲)有限公司</v>
      </c>
      <c r="AA549">
        <f>IF(COUNTIF($O$1:O549,O549)=1,L549,0)</f>
        <v>2080</v>
      </c>
    </row>
    <row r="550" customHeight="1" spans="1:27">
      <c r="A550" s="21" t="s">
        <v>1134</v>
      </c>
      <c r="B550" s="21" t="s">
        <v>45</v>
      </c>
      <c r="C550" s="21" t="s">
        <v>216</v>
      </c>
      <c r="D550" s="21" t="s">
        <v>217</v>
      </c>
      <c r="E550" s="21" t="s">
        <v>218</v>
      </c>
      <c r="F550" s="21" t="s">
        <v>49</v>
      </c>
      <c r="G550" s="21" t="s">
        <v>68</v>
      </c>
      <c r="H550" s="21" t="s">
        <v>590</v>
      </c>
      <c r="I550" s="26">
        <v>2</v>
      </c>
      <c r="J550" s="26">
        <v>50</v>
      </c>
      <c r="K550" s="21" t="s">
        <v>52</v>
      </c>
      <c r="L550" s="27">
        <v>1300</v>
      </c>
      <c r="M550" s="21"/>
      <c r="N550" s="21"/>
      <c r="O550" s="21" t="s">
        <v>1135</v>
      </c>
      <c r="P550" s="21" t="s">
        <v>54</v>
      </c>
      <c r="Q550" s="28">
        <v>46170</v>
      </c>
      <c r="R550" s="29">
        <v>46170.4629398148</v>
      </c>
      <c r="S550" s="21" t="s">
        <v>221</v>
      </c>
      <c r="T550" s="21"/>
      <c r="U550" s="21" t="s">
        <v>222</v>
      </c>
      <c r="V550" s="29">
        <v>46170.4628819444</v>
      </c>
      <c r="W550">
        <f>VLOOKUP(H550,物料編碼!A:B,2,0)</f>
        <v>1300101040</v>
      </c>
      <c r="X550">
        <v>1300101</v>
      </c>
      <c r="Y550" t="str">
        <f>VLOOKUP(X550,物料編碼!D:G,4,0)</f>
        <v>一號肉</v>
      </c>
      <c r="Z550" t="str">
        <f>VLOOKUP(C550,客戶屬性1!A:C,2,0)</f>
        <v>天恒食品有限公司</v>
      </c>
      <c r="AA550">
        <f>IF(COUNTIF($O$1:O550,O550)=1,L550,0)</f>
        <v>1300</v>
      </c>
    </row>
    <row r="551" customHeight="1" spans="1:27">
      <c r="A551" s="21" t="s">
        <v>1136</v>
      </c>
      <c r="B551" s="21" t="s">
        <v>45</v>
      </c>
      <c r="C551" s="21" t="s">
        <v>65</v>
      </c>
      <c r="D551" s="21" t="s">
        <v>66</v>
      </c>
      <c r="E551" s="21" t="s">
        <v>67</v>
      </c>
      <c r="F551" s="21" t="s">
        <v>49</v>
      </c>
      <c r="G551" s="21" t="s">
        <v>68</v>
      </c>
      <c r="H551" s="21" t="s">
        <v>590</v>
      </c>
      <c r="I551" s="26">
        <v>5</v>
      </c>
      <c r="J551" s="26">
        <v>125</v>
      </c>
      <c r="K551" s="21" t="s">
        <v>52</v>
      </c>
      <c r="L551" s="27">
        <v>3250</v>
      </c>
      <c r="M551" s="21"/>
      <c r="N551" s="21"/>
      <c r="O551" s="21" t="s">
        <v>1137</v>
      </c>
      <c r="P551" s="21" t="s">
        <v>54</v>
      </c>
      <c r="Q551" s="28">
        <v>46170</v>
      </c>
      <c r="R551" s="29">
        <v>46170.3979976852</v>
      </c>
      <c r="S551" s="21" t="s">
        <v>70</v>
      </c>
      <c r="T551" s="21"/>
      <c r="U551" s="21" t="s">
        <v>67</v>
      </c>
      <c r="V551" s="29">
        <v>46170.3979513889</v>
      </c>
      <c r="W551">
        <f>VLOOKUP(H551,物料編碼!A:B,2,0)</f>
        <v>1300101040</v>
      </c>
      <c r="X551">
        <v>1300101</v>
      </c>
      <c r="Y551" t="str">
        <f>VLOOKUP(X551,物料編碼!D:G,4,0)</f>
        <v>一號肉</v>
      </c>
      <c r="Z551" t="str">
        <f>VLOOKUP(C551,客戶屬性1!A:C,2,0)</f>
        <v>万骏贸易公司</v>
      </c>
      <c r="AA551">
        <f>IF(COUNTIF($O$1:O551,O551)=1,L551,0)</f>
        <v>3250</v>
      </c>
    </row>
    <row r="552" customHeight="1" spans="1:27">
      <c r="A552" s="21" t="s">
        <v>1138</v>
      </c>
      <c r="B552" s="21" t="s">
        <v>45</v>
      </c>
      <c r="C552" s="21" t="s">
        <v>126</v>
      </c>
      <c r="D552" s="21" t="s">
        <v>127</v>
      </c>
      <c r="E552" s="21" t="s">
        <v>128</v>
      </c>
      <c r="F552" s="21" t="s">
        <v>49</v>
      </c>
      <c r="G552" s="21" t="s">
        <v>129</v>
      </c>
      <c r="H552" s="21" t="s">
        <v>1139</v>
      </c>
      <c r="I552" s="26">
        <v>1</v>
      </c>
      <c r="J552" s="30">
        <v>8</v>
      </c>
      <c r="K552" s="21" t="s">
        <v>1140</v>
      </c>
      <c r="L552" s="27">
        <v>230</v>
      </c>
      <c r="M552" s="21"/>
      <c r="N552" s="21"/>
      <c r="O552" s="21" t="s">
        <v>1141</v>
      </c>
      <c r="P552" s="21" t="s">
        <v>54</v>
      </c>
      <c r="Q552" s="28">
        <v>46170</v>
      </c>
      <c r="R552" s="29">
        <v>46170.3966666667</v>
      </c>
      <c r="S552" s="21" t="s">
        <v>131</v>
      </c>
      <c r="T552" s="21"/>
      <c r="U552" s="21" t="s">
        <v>127</v>
      </c>
      <c r="V552" s="29">
        <v>46170.3966203704</v>
      </c>
      <c r="W552" t="e">
        <f>VLOOKUP(H552,物料編碼!A:B,2,0)</f>
        <v>#N/A</v>
      </c>
      <c r="X552" t="e">
        <v>#N/A</v>
      </c>
      <c r="Y552" t="e">
        <f>VLOOKUP(X552,物料編碼!D:G,4,0)</f>
        <v>#N/A</v>
      </c>
      <c r="Z552" t="str">
        <f>VLOOKUP(C552,客戶屬性1!A:C,2,0)</f>
        <v>福源食品有限公司</v>
      </c>
      <c r="AA552">
        <f>IF(COUNTIF($O$1:O552,O552)=1,L552,0)</f>
        <v>230</v>
      </c>
    </row>
    <row r="553" customHeight="1" spans="1:27">
      <c r="A553" s="21" t="s">
        <v>1138</v>
      </c>
      <c r="B553" s="21" t="s">
        <v>45</v>
      </c>
      <c r="C553" s="21" t="s">
        <v>126</v>
      </c>
      <c r="D553" s="21" t="s">
        <v>127</v>
      </c>
      <c r="E553" s="21" t="s">
        <v>128</v>
      </c>
      <c r="F553" s="21" t="s">
        <v>49</v>
      </c>
      <c r="G553" s="21" t="s">
        <v>129</v>
      </c>
      <c r="H553" s="21" t="s">
        <v>1142</v>
      </c>
      <c r="I553" s="26">
        <v>1</v>
      </c>
      <c r="J553" s="30">
        <v>8</v>
      </c>
      <c r="K553" s="21" t="s">
        <v>1140</v>
      </c>
      <c r="L553" s="27">
        <v>230</v>
      </c>
      <c r="M553" s="21"/>
      <c r="N553" s="21"/>
      <c r="O553" s="21" t="s">
        <v>1141</v>
      </c>
      <c r="P553" s="21" t="s">
        <v>54</v>
      </c>
      <c r="Q553" s="28">
        <v>46170</v>
      </c>
      <c r="R553" s="29">
        <v>46170.3966666667</v>
      </c>
      <c r="S553" s="21" t="s">
        <v>131</v>
      </c>
      <c r="T553" s="21"/>
      <c r="U553" s="21" t="s">
        <v>127</v>
      </c>
      <c r="V553" s="29">
        <v>46170.3966203704</v>
      </c>
      <c r="W553" t="e">
        <f>VLOOKUP(H553,物料編碼!A:B,2,0)</f>
        <v>#N/A</v>
      </c>
      <c r="X553" t="e">
        <v>#N/A</v>
      </c>
      <c r="Y553" t="e">
        <f>VLOOKUP(X553,物料編碼!D:G,4,0)</f>
        <v>#N/A</v>
      </c>
      <c r="Z553" t="str">
        <f>VLOOKUP(C553,客戶屬性1!A:C,2,0)</f>
        <v>福源食品有限公司</v>
      </c>
      <c r="AA553">
        <f>IF(COUNTIF($O$1:O553,O553)=1,L553,0)</f>
        <v>0</v>
      </c>
    </row>
    <row r="554" customHeight="1" spans="1:27">
      <c r="A554" s="21" t="s">
        <v>1143</v>
      </c>
      <c r="B554" s="21" t="s">
        <v>45</v>
      </c>
      <c r="C554" s="21" t="s">
        <v>97</v>
      </c>
      <c r="D554" s="21" t="s">
        <v>98</v>
      </c>
      <c r="E554" s="21" t="s">
        <v>99</v>
      </c>
      <c r="F554" s="21" t="s">
        <v>49</v>
      </c>
      <c r="G554" s="21" t="s">
        <v>100</v>
      </c>
      <c r="H554" s="21" t="s">
        <v>63</v>
      </c>
      <c r="I554" s="26">
        <v>8</v>
      </c>
      <c r="J554" s="26">
        <v>200</v>
      </c>
      <c r="K554" s="21" t="s">
        <v>52</v>
      </c>
      <c r="L554" s="27">
        <v>6520</v>
      </c>
      <c r="M554" s="21"/>
      <c r="N554" s="21"/>
      <c r="O554" s="21" t="s">
        <v>1144</v>
      </c>
      <c r="P554" s="21" t="s">
        <v>54</v>
      </c>
      <c r="Q554" s="28">
        <v>46170</v>
      </c>
      <c r="R554" s="29">
        <v>46170.39625</v>
      </c>
      <c r="S554" s="21" t="s">
        <v>103</v>
      </c>
      <c r="T554" s="21"/>
      <c r="U554" s="21" t="s">
        <v>99</v>
      </c>
      <c r="V554" s="29">
        <v>46170.3961921296</v>
      </c>
      <c r="W554">
        <f>VLOOKUP(H554,物料編碼!A:B,2,0)</f>
        <v>1300109002</v>
      </c>
      <c r="X554">
        <v>1300109</v>
      </c>
      <c r="Y554" t="str">
        <f>VLOOKUP(X554,物料編碼!D:G,4,0)</f>
        <v>面精肉</v>
      </c>
      <c r="Z554" t="str">
        <f>VLOOKUP(C554,客戶屬性1!A:C,2,0)</f>
        <v>三明有限公司</v>
      </c>
      <c r="AA554">
        <f>IF(COUNTIF($O$1:O554,O554)=1,L554,0)</f>
        <v>6520</v>
      </c>
    </row>
    <row r="555" customHeight="1" spans="1:27">
      <c r="A555" s="21" t="s">
        <v>1145</v>
      </c>
      <c r="B555" s="21" t="s">
        <v>45</v>
      </c>
      <c r="C555" s="21" t="s">
        <v>46</v>
      </c>
      <c r="D555" s="21" t="s">
        <v>47</v>
      </c>
      <c r="E555" s="21" t="s">
        <v>48</v>
      </c>
      <c r="F555" s="21" t="s">
        <v>49</v>
      </c>
      <c r="G555" s="21" t="s">
        <v>50</v>
      </c>
      <c r="H555" s="21" t="s">
        <v>1146</v>
      </c>
      <c r="I555" s="26">
        <v>1</v>
      </c>
      <c r="J555" s="26">
        <v>10</v>
      </c>
      <c r="K555" s="21" t="s">
        <v>52</v>
      </c>
      <c r="L555" s="27">
        <v>132</v>
      </c>
      <c r="M555" s="21"/>
      <c r="N555" s="21"/>
      <c r="O555" s="21" t="s">
        <v>1147</v>
      </c>
      <c r="P555" s="21" t="s">
        <v>183</v>
      </c>
      <c r="Q555" s="28">
        <v>46170</v>
      </c>
      <c r="R555" s="29">
        <v>46170.3953472222</v>
      </c>
      <c r="S555" s="21" t="s">
        <v>55</v>
      </c>
      <c r="T555" s="21"/>
      <c r="U555" s="21" t="s">
        <v>47</v>
      </c>
      <c r="V555" s="29">
        <v>46170.3953009259</v>
      </c>
      <c r="W555">
        <f>VLOOKUP(H555,物料編碼!A:B,2,0)</f>
        <v>1300624104</v>
      </c>
      <c r="X555">
        <v>1300624</v>
      </c>
      <c r="Y555" t="str">
        <f>VLOOKUP(X555,物料編碼!D:G,4,0)</f>
        <v>琵琶腿</v>
      </c>
      <c r="Z555" t="str">
        <f>VLOOKUP(C555,客戶屬性1!A:C,2,0)</f>
        <v>明记冻肉</v>
      </c>
      <c r="AA555">
        <f>IF(COUNTIF($O$1:O555,O555)=1,L555,0)</f>
        <v>132</v>
      </c>
    </row>
    <row r="556" customHeight="1" spans="1:27">
      <c r="A556" s="21" t="s">
        <v>1148</v>
      </c>
      <c r="B556" s="21" t="s">
        <v>45</v>
      </c>
      <c r="C556" s="21" t="s">
        <v>46</v>
      </c>
      <c r="D556" s="21" t="s">
        <v>47</v>
      </c>
      <c r="E556" s="21" t="s">
        <v>48</v>
      </c>
      <c r="F556" s="21" t="s">
        <v>49</v>
      </c>
      <c r="G556" s="21" t="s">
        <v>50</v>
      </c>
      <c r="H556" s="21" t="s">
        <v>168</v>
      </c>
      <c r="I556" s="26">
        <v>2</v>
      </c>
      <c r="J556" s="26">
        <v>20</v>
      </c>
      <c r="K556" s="21" t="s">
        <v>52</v>
      </c>
      <c r="L556" s="27">
        <v>194</v>
      </c>
      <c r="M556" s="21"/>
      <c r="N556" s="21"/>
      <c r="O556" s="21" t="s">
        <v>1149</v>
      </c>
      <c r="P556" s="21" t="s">
        <v>54</v>
      </c>
      <c r="Q556" s="28">
        <v>46170</v>
      </c>
      <c r="R556" s="29">
        <v>46170.3881365741</v>
      </c>
      <c r="S556" s="21" t="s">
        <v>55</v>
      </c>
      <c r="T556" s="21"/>
      <c r="U556" s="21" t="s">
        <v>47</v>
      </c>
      <c r="V556" s="29">
        <v>46170.3880787037</v>
      </c>
      <c r="W556">
        <f>VLOOKUP(H556,物料編碼!A:B,2,0)</f>
        <v>1300627002</v>
      </c>
      <c r="X556">
        <v>1300627</v>
      </c>
      <c r="Y556" t="str">
        <f>VLOOKUP(X556,物料編碼!D:G,4,0)</f>
        <v>翅尖</v>
      </c>
      <c r="Z556" t="str">
        <f>VLOOKUP(C556,客戶屬性1!A:C,2,0)</f>
        <v>明记冻肉</v>
      </c>
      <c r="AA556">
        <f>IF(COUNTIF($O$1:O556,O556)=1,L556,0)</f>
        <v>194</v>
      </c>
    </row>
    <row r="557" customHeight="1" spans="1:27">
      <c r="A557" s="21" t="s">
        <v>1150</v>
      </c>
      <c r="B557" s="21" t="s">
        <v>45</v>
      </c>
      <c r="C557" s="21" t="s">
        <v>235</v>
      </c>
      <c r="D557" s="21" t="s">
        <v>236</v>
      </c>
      <c r="E557" s="21" t="s">
        <v>237</v>
      </c>
      <c r="F557" s="21" t="s">
        <v>49</v>
      </c>
      <c r="G557" s="21" t="s">
        <v>238</v>
      </c>
      <c r="H557" s="21" t="s">
        <v>190</v>
      </c>
      <c r="I557" s="26">
        <v>10</v>
      </c>
      <c r="J557" s="26">
        <v>120</v>
      </c>
      <c r="K557" s="21" t="s">
        <v>52</v>
      </c>
      <c r="L557" s="27">
        <v>1884</v>
      </c>
      <c r="M557" s="21"/>
      <c r="N557" s="21"/>
      <c r="O557" s="21" t="s">
        <v>1151</v>
      </c>
      <c r="P557" s="21" t="s">
        <v>54</v>
      </c>
      <c r="Q557" s="28">
        <v>46170</v>
      </c>
      <c r="R557" s="29">
        <v>46169.734837963</v>
      </c>
      <c r="S557" s="21" t="s">
        <v>241</v>
      </c>
      <c r="T557" s="21"/>
      <c r="U557" s="21" t="s">
        <v>237</v>
      </c>
      <c r="V557" s="29">
        <v>46169.7347800926</v>
      </c>
      <c r="W557">
        <f>VLOOKUP(H557,物料編碼!A:B,2,0)</f>
        <v>1300609001</v>
      </c>
      <c r="X557">
        <v>1300609</v>
      </c>
      <c r="Y557" t="str">
        <f>VLOOKUP(X557,物料編碼!D:G,4,0)</f>
        <v>去皮上腿肉</v>
      </c>
      <c r="Z557" t="str">
        <f>VLOOKUP(C557,客戶屬性1!A:C,2,0)</f>
        <v>联合林记食品有限公司</v>
      </c>
      <c r="AA557">
        <f>IF(COUNTIF($O$1:O557,O557)=1,L557,0)</f>
        <v>1884</v>
      </c>
    </row>
    <row r="558" customHeight="1" spans="1:27">
      <c r="A558" s="21" t="s">
        <v>1152</v>
      </c>
      <c r="B558" s="21" t="s">
        <v>45</v>
      </c>
      <c r="C558" s="21" t="s">
        <v>46</v>
      </c>
      <c r="D558" s="21" t="s">
        <v>47</v>
      </c>
      <c r="E558" s="21" t="s">
        <v>48</v>
      </c>
      <c r="F558" s="21" t="s">
        <v>49</v>
      </c>
      <c r="G558" s="21" t="s">
        <v>50</v>
      </c>
      <c r="H558" s="21" t="s">
        <v>168</v>
      </c>
      <c r="I558" s="26">
        <v>2</v>
      </c>
      <c r="J558" s="26">
        <v>20</v>
      </c>
      <c r="K558" s="21" t="s">
        <v>52</v>
      </c>
      <c r="L558" s="27">
        <v>194</v>
      </c>
      <c r="M558" s="21"/>
      <c r="N558" s="21"/>
      <c r="O558" s="21" t="s">
        <v>1153</v>
      </c>
      <c r="P558" s="21" t="s">
        <v>183</v>
      </c>
      <c r="Q558" s="28">
        <v>46170</v>
      </c>
      <c r="R558" s="29">
        <v>46169.7236689815</v>
      </c>
      <c r="S558" s="21" t="s">
        <v>55</v>
      </c>
      <c r="T558" s="21"/>
      <c r="U558" s="21" t="s">
        <v>47</v>
      </c>
      <c r="V558" s="29">
        <v>46169.7236226852</v>
      </c>
      <c r="W558">
        <f>VLOOKUP(H558,物料編碼!A:B,2,0)</f>
        <v>1300627002</v>
      </c>
      <c r="X558">
        <v>1300627</v>
      </c>
      <c r="Y558" t="str">
        <f>VLOOKUP(X558,物料編碼!D:G,4,0)</f>
        <v>翅尖</v>
      </c>
      <c r="Z558" t="str">
        <f>VLOOKUP(C558,客戶屬性1!A:C,2,0)</f>
        <v>明记冻肉</v>
      </c>
      <c r="AA558">
        <f>IF(COUNTIF($O$1:O558,O558)=1,L558,0)</f>
        <v>194</v>
      </c>
    </row>
    <row r="559" customHeight="1" spans="1:27">
      <c r="A559" s="21" t="s">
        <v>1154</v>
      </c>
      <c r="B559" s="21" t="s">
        <v>45</v>
      </c>
      <c r="C559" s="21" t="s">
        <v>72</v>
      </c>
      <c r="D559" s="21" t="s">
        <v>73</v>
      </c>
      <c r="E559" s="21" t="s">
        <v>74</v>
      </c>
      <c r="F559" s="21" t="s">
        <v>49</v>
      </c>
      <c r="G559" s="21" t="s">
        <v>50</v>
      </c>
      <c r="H559" s="21" t="s">
        <v>117</v>
      </c>
      <c r="I559" s="26">
        <v>3</v>
      </c>
      <c r="J559" s="26">
        <v>45</v>
      </c>
      <c r="K559" s="21" t="s">
        <v>52</v>
      </c>
      <c r="L559" s="27">
        <v>665.1</v>
      </c>
      <c r="M559" s="21"/>
      <c r="N559" s="21"/>
      <c r="O559" s="21" t="s">
        <v>1155</v>
      </c>
      <c r="P559" s="21" t="s">
        <v>54</v>
      </c>
      <c r="Q559" s="28">
        <v>46170</v>
      </c>
      <c r="R559" s="29">
        <v>46169.654837963</v>
      </c>
      <c r="S559" s="21" t="s">
        <v>81</v>
      </c>
      <c r="T559" s="21"/>
      <c r="U559" s="21" t="s">
        <v>82</v>
      </c>
      <c r="V559" s="29">
        <v>46169.6547800926</v>
      </c>
      <c r="W559">
        <f>VLOOKUP(H559,物料編碼!A:B,2,0)</f>
        <v>1300607015</v>
      </c>
      <c r="X559">
        <v>1300607</v>
      </c>
      <c r="Y559" t="str">
        <f>VLOOKUP(X559,物料編碼!D:G,4,0)</f>
        <v>帶皮腿扒</v>
      </c>
      <c r="Z559" t="str">
        <f>VLOOKUP(C559,客戶屬性1!A:C,2,0)</f>
        <v>恒辉贸易公司</v>
      </c>
      <c r="AA559">
        <f>IF(COUNTIF($O$1:O559,O559)=1,L559,0)</f>
        <v>665.1</v>
      </c>
    </row>
    <row r="560" customHeight="1" spans="1:27">
      <c r="A560" s="21" t="s">
        <v>1156</v>
      </c>
      <c r="B560" s="21" t="s">
        <v>45</v>
      </c>
      <c r="C560" s="21" t="s">
        <v>197</v>
      </c>
      <c r="D560" s="21" t="s">
        <v>198</v>
      </c>
      <c r="E560" s="21" t="s">
        <v>199</v>
      </c>
      <c r="F560" s="21" t="s">
        <v>49</v>
      </c>
      <c r="G560" s="21" t="s">
        <v>136</v>
      </c>
      <c r="H560" s="21" t="s">
        <v>161</v>
      </c>
      <c r="I560" s="26">
        <v>2</v>
      </c>
      <c r="J560" s="26">
        <v>40</v>
      </c>
      <c r="K560" s="21" t="s">
        <v>52</v>
      </c>
      <c r="L560" s="27">
        <v>3720</v>
      </c>
      <c r="M560" s="21"/>
      <c r="N560" s="21"/>
      <c r="O560" s="21" t="s">
        <v>1157</v>
      </c>
      <c r="P560" s="21" t="s">
        <v>54</v>
      </c>
      <c r="Q560" s="28">
        <v>46170</v>
      </c>
      <c r="R560" s="29">
        <v>46169.523125</v>
      </c>
      <c r="S560" s="21" t="s">
        <v>202</v>
      </c>
      <c r="T560" s="21"/>
      <c r="U560" s="21" t="s">
        <v>203</v>
      </c>
      <c r="V560" s="29">
        <v>46169.5230787037</v>
      </c>
      <c r="W560">
        <f>VLOOKUP(H560,物料編碼!A:B,2,0)</f>
        <v>1300501020</v>
      </c>
      <c r="X560">
        <v>1300501</v>
      </c>
      <c r="Y560" t="str">
        <f>VLOOKUP(X560,物料編碼!D:G,4,0)</f>
        <v>羊排</v>
      </c>
      <c r="Z560" t="str">
        <f>VLOOKUP(C560,客戶屬性1!A:C,2,0)</f>
        <v>信隆(亚洲)有限公司</v>
      </c>
      <c r="AA560">
        <f>IF(COUNTIF($O$1:O560,O560)=1,L560,0)</f>
        <v>3720</v>
      </c>
    </row>
    <row r="561" customHeight="1" spans="1:27">
      <c r="A561" s="21" t="s">
        <v>1158</v>
      </c>
      <c r="B561" s="21" t="s">
        <v>45</v>
      </c>
      <c r="C561" s="21" t="s">
        <v>65</v>
      </c>
      <c r="D561" s="21" t="s">
        <v>66</v>
      </c>
      <c r="E561" s="21" t="s">
        <v>67</v>
      </c>
      <c r="F561" s="21" t="s">
        <v>49</v>
      </c>
      <c r="G561" s="21" t="s">
        <v>68</v>
      </c>
      <c r="H561" s="21" t="s">
        <v>121</v>
      </c>
      <c r="I561" s="26">
        <v>4</v>
      </c>
      <c r="J561" s="26">
        <v>80</v>
      </c>
      <c r="K561" s="21" t="s">
        <v>52</v>
      </c>
      <c r="L561" s="27">
        <v>1872</v>
      </c>
      <c r="M561" s="21"/>
      <c r="N561" s="21"/>
      <c r="O561" s="21" t="s">
        <v>1159</v>
      </c>
      <c r="P561" s="21" t="s">
        <v>54</v>
      </c>
      <c r="Q561" s="28">
        <v>46169</v>
      </c>
      <c r="R561" s="29">
        <v>46169.4629861111</v>
      </c>
      <c r="S561" s="21" t="s">
        <v>70</v>
      </c>
      <c r="T561" s="21"/>
      <c r="U561" s="21" t="s">
        <v>67</v>
      </c>
      <c r="V561" s="29">
        <v>46169.4629282407</v>
      </c>
      <c r="W561">
        <f>VLOOKUP(H561,物料編碼!A:B,2,0)</f>
        <v>1300114011</v>
      </c>
      <c r="X561">
        <v>1300114</v>
      </c>
      <c r="Y561" t="str">
        <f>VLOOKUP(X561,物料編碼!D:G,4,0)</f>
        <v>熟食</v>
      </c>
      <c r="Z561" t="str">
        <f>VLOOKUP(C561,客戶屬性1!A:C,2,0)</f>
        <v>万骏贸易公司</v>
      </c>
      <c r="AA561">
        <f>IF(COUNTIF($O$1:O561,O561)=1,L561,0)</f>
        <v>1872</v>
      </c>
    </row>
    <row r="562" customHeight="1" spans="1:27">
      <c r="A562" s="21" t="s">
        <v>1160</v>
      </c>
      <c r="B562" s="21" t="s">
        <v>45</v>
      </c>
      <c r="C562" s="21" t="s">
        <v>668</v>
      </c>
      <c r="D562" s="21" t="s">
        <v>669</v>
      </c>
      <c r="E562" s="21" t="s">
        <v>670</v>
      </c>
      <c r="F562" s="21" t="s">
        <v>49</v>
      </c>
      <c r="G562" s="21" t="s">
        <v>50</v>
      </c>
      <c r="H562" s="21" t="s">
        <v>1161</v>
      </c>
      <c r="I562" s="26">
        <v>1</v>
      </c>
      <c r="J562" s="26">
        <v>10</v>
      </c>
      <c r="K562" s="21" t="s">
        <v>52</v>
      </c>
      <c r="L562" s="27">
        <v>950</v>
      </c>
      <c r="M562" s="21"/>
      <c r="N562" s="21"/>
      <c r="O562" s="21" t="s">
        <v>1162</v>
      </c>
      <c r="P562" s="21" t="s">
        <v>54</v>
      </c>
      <c r="Q562" s="28">
        <v>46169</v>
      </c>
      <c r="R562" s="29">
        <v>46169.4305092593</v>
      </c>
      <c r="S562" s="21" t="s">
        <v>673</v>
      </c>
      <c r="T562" s="21"/>
      <c r="U562" s="21" t="s">
        <v>669</v>
      </c>
      <c r="V562" s="29">
        <v>46169.430462963</v>
      </c>
      <c r="W562">
        <f>VLOOKUP(H562,物料編碼!A:B,2,0)</f>
        <v>1300913005</v>
      </c>
      <c r="X562">
        <v>1300913</v>
      </c>
      <c r="Y562" t="str">
        <f>VLOOKUP(X562,物料編碼!D:G,4,0)</f>
        <v>鴨舌</v>
      </c>
      <c r="Z562" t="str">
        <f>VLOOKUP(C562,客戶屬性1!A:C,2,0)</f>
        <v>皇品有限公司</v>
      </c>
      <c r="AA562">
        <f>IF(COUNTIF($O$1:O562,O562)=1,L562,0)</f>
        <v>950</v>
      </c>
    </row>
    <row r="563" customHeight="1" spans="1:27">
      <c r="A563" s="21" t="s">
        <v>1163</v>
      </c>
      <c r="B563" s="21" t="s">
        <v>45</v>
      </c>
      <c r="C563" s="21" t="s">
        <v>235</v>
      </c>
      <c r="D563" s="21" t="s">
        <v>236</v>
      </c>
      <c r="E563" s="21" t="s">
        <v>237</v>
      </c>
      <c r="F563" s="21" t="s">
        <v>49</v>
      </c>
      <c r="G563" s="21" t="s">
        <v>238</v>
      </c>
      <c r="H563" s="21" t="s">
        <v>190</v>
      </c>
      <c r="I563" s="26">
        <v>10</v>
      </c>
      <c r="J563" s="26">
        <v>120</v>
      </c>
      <c r="K563" s="21" t="s">
        <v>52</v>
      </c>
      <c r="L563" s="27">
        <v>1884</v>
      </c>
      <c r="M563" s="21"/>
      <c r="N563" s="21"/>
      <c r="O563" s="21" t="s">
        <v>1164</v>
      </c>
      <c r="P563" s="21" t="s">
        <v>54</v>
      </c>
      <c r="Q563" s="28">
        <v>46169</v>
      </c>
      <c r="R563" s="29">
        <v>46169.4247337963</v>
      </c>
      <c r="S563" s="21" t="s">
        <v>241</v>
      </c>
      <c r="T563" s="21"/>
      <c r="U563" s="21" t="s">
        <v>237</v>
      </c>
      <c r="V563" s="29">
        <v>46169.4246759259</v>
      </c>
      <c r="W563">
        <f>VLOOKUP(H563,物料編碼!A:B,2,0)</f>
        <v>1300609001</v>
      </c>
      <c r="X563">
        <v>1300609</v>
      </c>
      <c r="Y563" t="str">
        <f>VLOOKUP(X563,物料編碼!D:G,4,0)</f>
        <v>去皮上腿肉</v>
      </c>
      <c r="Z563" t="str">
        <f>VLOOKUP(C563,客戶屬性1!A:C,2,0)</f>
        <v>联合林记食品有限公司</v>
      </c>
      <c r="AA563">
        <f>IF(COUNTIF($O$1:O563,O563)=1,L563,0)</f>
        <v>1884</v>
      </c>
    </row>
    <row r="564" customHeight="1" spans="1:27">
      <c r="A564" s="21" t="s">
        <v>1165</v>
      </c>
      <c r="B564" s="21" t="s">
        <v>45</v>
      </c>
      <c r="C564" s="21" t="s">
        <v>97</v>
      </c>
      <c r="D564" s="21" t="s">
        <v>98</v>
      </c>
      <c r="E564" s="21" t="s">
        <v>99</v>
      </c>
      <c r="F564" s="21" t="s">
        <v>49</v>
      </c>
      <c r="G564" s="21" t="s">
        <v>100</v>
      </c>
      <c r="H564" s="21" t="s">
        <v>121</v>
      </c>
      <c r="I564" s="26">
        <v>1</v>
      </c>
      <c r="J564" s="26">
        <v>20</v>
      </c>
      <c r="K564" s="21" t="s">
        <v>52</v>
      </c>
      <c r="L564" s="27">
        <v>468</v>
      </c>
      <c r="M564" s="21"/>
      <c r="N564" s="21"/>
      <c r="O564" s="21" t="s">
        <v>1166</v>
      </c>
      <c r="P564" s="21" t="s">
        <v>54</v>
      </c>
      <c r="Q564" s="28">
        <v>46169</v>
      </c>
      <c r="R564" s="29">
        <v>46169.4092939815</v>
      </c>
      <c r="S564" s="21" t="s">
        <v>103</v>
      </c>
      <c r="T564" s="21"/>
      <c r="U564" s="21" t="s">
        <v>99</v>
      </c>
      <c r="V564" s="29">
        <v>46169.4092476852</v>
      </c>
      <c r="W564">
        <f>VLOOKUP(H564,物料編碼!A:B,2,0)</f>
        <v>1300114011</v>
      </c>
      <c r="X564">
        <v>1300114</v>
      </c>
      <c r="Y564" t="str">
        <f>VLOOKUP(X564,物料編碼!D:G,4,0)</f>
        <v>熟食</v>
      </c>
      <c r="Z564" t="str">
        <f>VLOOKUP(C564,客戶屬性1!A:C,2,0)</f>
        <v>三明有限公司</v>
      </c>
      <c r="AA564">
        <f>IF(COUNTIF($O$1:O564,O564)=1,L564,0)</f>
        <v>468</v>
      </c>
    </row>
    <row r="565" customHeight="1" spans="1:27">
      <c r="A565" s="21" t="s">
        <v>1167</v>
      </c>
      <c r="B565" s="21" t="s">
        <v>45</v>
      </c>
      <c r="C565" s="21" t="s">
        <v>97</v>
      </c>
      <c r="D565" s="21" t="s">
        <v>98</v>
      </c>
      <c r="E565" s="21" t="s">
        <v>99</v>
      </c>
      <c r="F565" s="21" t="s">
        <v>49</v>
      </c>
      <c r="G565" s="21" t="s">
        <v>100</v>
      </c>
      <c r="H565" s="21" t="s">
        <v>161</v>
      </c>
      <c r="I565" s="26">
        <v>1</v>
      </c>
      <c r="J565" s="26">
        <v>20</v>
      </c>
      <c r="K565" s="21" t="s">
        <v>52</v>
      </c>
      <c r="L565" s="27">
        <v>1860</v>
      </c>
      <c r="M565" s="21"/>
      <c r="N565" s="21"/>
      <c r="O565" s="21" t="s">
        <v>1168</v>
      </c>
      <c r="P565" s="21" t="s">
        <v>54</v>
      </c>
      <c r="Q565" s="28">
        <v>46169</v>
      </c>
      <c r="R565" s="29">
        <v>46169.4069328704</v>
      </c>
      <c r="S565" s="21" t="s">
        <v>103</v>
      </c>
      <c r="T565" s="21"/>
      <c r="U565" s="21" t="s">
        <v>99</v>
      </c>
      <c r="V565" s="29">
        <v>46169.4068865741</v>
      </c>
      <c r="W565">
        <f>VLOOKUP(H565,物料編碼!A:B,2,0)</f>
        <v>1300501020</v>
      </c>
      <c r="X565">
        <v>1300501</v>
      </c>
      <c r="Y565" t="str">
        <f>VLOOKUP(X565,物料編碼!D:G,4,0)</f>
        <v>羊排</v>
      </c>
      <c r="Z565" t="str">
        <f>VLOOKUP(C565,客戶屬性1!A:C,2,0)</f>
        <v>三明有限公司</v>
      </c>
      <c r="AA565">
        <f>IF(COUNTIF($O$1:O565,O565)=1,L565,0)</f>
        <v>1860</v>
      </c>
    </row>
    <row r="566" customHeight="1" spans="1:27">
      <c r="A566" s="21" t="s">
        <v>1169</v>
      </c>
      <c r="B566" s="21" t="s">
        <v>45</v>
      </c>
      <c r="C566" s="21" t="s">
        <v>126</v>
      </c>
      <c r="D566" s="21" t="s">
        <v>127</v>
      </c>
      <c r="E566" s="21" t="s">
        <v>128</v>
      </c>
      <c r="F566" s="21" t="s">
        <v>49</v>
      </c>
      <c r="G566" s="21" t="s">
        <v>129</v>
      </c>
      <c r="H566" s="21" t="s">
        <v>75</v>
      </c>
      <c r="I566" s="26">
        <v>5</v>
      </c>
      <c r="J566" s="26">
        <v>75</v>
      </c>
      <c r="K566" s="21" t="s">
        <v>52</v>
      </c>
      <c r="L566" s="27">
        <v>959.25</v>
      </c>
      <c r="M566" s="21"/>
      <c r="N566" s="21"/>
      <c r="O566" s="21" t="s">
        <v>1170</v>
      </c>
      <c r="P566" s="21" t="s">
        <v>54</v>
      </c>
      <c r="Q566" s="28">
        <v>46168</v>
      </c>
      <c r="R566" s="29">
        <v>46168.4889699074</v>
      </c>
      <c r="S566" s="21" t="s">
        <v>131</v>
      </c>
      <c r="T566" s="21"/>
      <c r="U566" s="21" t="s">
        <v>127</v>
      </c>
      <c r="V566" s="29">
        <v>46168.4889236111</v>
      </c>
      <c r="W566">
        <f>VLOOKUP(H566,物料編碼!A:B,2,0)</f>
        <v>1300603040</v>
      </c>
      <c r="X566">
        <v>1300603</v>
      </c>
      <c r="Y566" t="str">
        <f>VLOOKUP(X566,物料編碼!D:G,4,0)</f>
        <v>帶骨全腿</v>
      </c>
      <c r="Z566" t="str">
        <f>VLOOKUP(C566,客戶屬性1!A:C,2,0)</f>
        <v>福源食品有限公司</v>
      </c>
      <c r="AA566">
        <f>IF(COUNTIF($O$1:O566,O566)=1,L566,0)</f>
        <v>959.25</v>
      </c>
    </row>
    <row r="567" customHeight="1" spans="1:27">
      <c r="A567" s="21" t="s">
        <v>1171</v>
      </c>
      <c r="B567" s="21" t="s">
        <v>45</v>
      </c>
      <c r="C567" s="21" t="s">
        <v>72</v>
      </c>
      <c r="D567" s="21" t="s">
        <v>73</v>
      </c>
      <c r="E567" s="21" t="s">
        <v>74</v>
      </c>
      <c r="F567" s="21" t="s">
        <v>49</v>
      </c>
      <c r="G567" s="21" t="s">
        <v>50</v>
      </c>
      <c r="H567" s="21" t="s">
        <v>75</v>
      </c>
      <c r="I567" s="26">
        <v>1</v>
      </c>
      <c r="J567" s="26">
        <v>15</v>
      </c>
      <c r="K567" s="21" t="s">
        <v>52</v>
      </c>
      <c r="L567" s="27">
        <v>191.85</v>
      </c>
      <c r="M567" s="21"/>
      <c r="N567" s="21"/>
      <c r="O567" s="21" t="s">
        <v>1172</v>
      </c>
      <c r="P567" s="21" t="s">
        <v>54</v>
      </c>
      <c r="Q567" s="28">
        <v>46169</v>
      </c>
      <c r="R567" s="29">
        <v>46168.4807986111</v>
      </c>
      <c r="S567" s="21" t="s">
        <v>77</v>
      </c>
      <c r="T567" s="21"/>
      <c r="U567" s="21" t="s">
        <v>74</v>
      </c>
      <c r="V567" s="29">
        <v>46168.4807523148</v>
      </c>
      <c r="W567">
        <f>VLOOKUP(H567,物料編碼!A:B,2,0)</f>
        <v>1300603040</v>
      </c>
      <c r="X567">
        <v>1300603</v>
      </c>
      <c r="Y567" t="str">
        <f>VLOOKUP(X567,物料編碼!D:G,4,0)</f>
        <v>帶骨全腿</v>
      </c>
      <c r="Z567" t="str">
        <f>VLOOKUP(C567,客戶屬性1!A:C,2,0)</f>
        <v>恒辉贸易公司</v>
      </c>
      <c r="AA567">
        <f>IF(COUNTIF($O$1:O567,O567)=1,L567,0)</f>
        <v>191.85</v>
      </c>
    </row>
    <row r="568" customHeight="1" spans="1:27">
      <c r="A568" s="21" t="s">
        <v>1173</v>
      </c>
      <c r="B568" s="21" t="s">
        <v>45</v>
      </c>
      <c r="C568" s="21" t="s">
        <v>141</v>
      </c>
      <c r="D568" s="21" t="s">
        <v>142</v>
      </c>
      <c r="E568" s="21" t="s">
        <v>142</v>
      </c>
      <c r="F568" s="21" t="s">
        <v>143</v>
      </c>
      <c r="G568" s="21" t="s">
        <v>100</v>
      </c>
      <c r="H568" s="21" t="s">
        <v>149</v>
      </c>
      <c r="I568" s="26">
        <v>1</v>
      </c>
      <c r="J568" s="26">
        <v>12.8</v>
      </c>
      <c r="K568" s="21" t="s">
        <v>52</v>
      </c>
      <c r="L568" s="27">
        <v>2155.78</v>
      </c>
      <c r="M568" s="21"/>
      <c r="N568" s="21"/>
      <c r="O568" s="21" t="s">
        <v>1174</v>
      </c>
      <c r="P568" s="21" t="s">
        <v>54</v>
      </c>
      <c r="Q568" s="28">
        <v>46169</v>
      </c>
      <c r="R568" s="29">
        <v>46168.4645833333</v>
      </c>
      <c r="S568" s="21" t="s">
        <v>145</v>
      </c>
      <c r="T568" s="21"/>
      <c r="U568" s="21" t="s">
        <v>142</v>
      </c>
      <c r="V568" s="29">
        <v>46168.464537037</v>
      </c>
      <c r="W568">
        <f>VLOOKUP(H568,物料編碼!A:B,2,0)</f>
        <v>1300901004</v>
      </c>
      <c r="X568">
        <v>1300901</v>
      </c>
      <c r="Y568" t="str">
        <f>VLOOKUP(X568,物料編碼!D:G,4,0)</f>
        <v>整鴨</v>
      </c>
      <c r="Z568" t="str">
        <f>VLOOKUP(C568,客戶屬性1!A:C,2,0)</f>
        <v>新昌冻肉</v>
      </c>
      <c r="AA568">
        <f>IF(COUNTIF($O$1:O568,O568)=1,L568,0)</f>
        <v>2155.78</v>
      </c>
    </row>
    <row r="569" customHeight="1" spans="1:27">
      <c r="A569" s="21" t="s">
        <v>1173</v>
      </c>
      <c r="B569" s="21" t="s">
        <v>45</v>
      </c>
      <c r="C569" s="21" t="s">
        <v>141</v>
      </c>
      <c r="D569" s="21" t="s">
        <v>142</v>
      </c>
      <c r="E569" s="21" t="s">
        <v>142</v>
      </c>
      <c r="F569" s="21" t="s">
        <v>143</v>
      </c>
      <c r="G569" s="21" t="s">
        <v>100</v>
      </c>
      <c r="H569" s="21" t="s">
        <v>298</v>
      </c>
      <c r="I569" s="26">
        <v>1</v>
      </c>
      <c r="J569" s="26">
        <v>10</v>
      </c>
      <c r="K569" s="21" t="s">
        <v>52</v>
      </c>
      <c r="L569" s="27">
        <v>2155.78</v>
      </c>
      <c r="M569" s="21"/>
      <c r="N569" s="21"/>
      <c r="O569" s="21" t="s">
        <v>1174</v>
      </c>
      <c r="P569" s="21" t="s">
        <v>54</v>
      </c>
      <c r="Q569" s="28">
        <v>46169</v>
      </c>
      <c r="R569" s="29">
        <v>46168.4645833333</v>
      </c>
      <c r="S569" s="21" t="s">
        <v>145</v>
      </c>
      <c r="T569" s="21"/>
      <c r="U569" s="21" t="s">
        <v>142</v>
      </c>
      <c r="V569" s="29">
        <v>46168.464537037</v>
      </c>
      <c r="W569">
        <f>VLOOKUP(H569,物料編碼!A:B,2,0)</f>
        <v>1300111003</v>
      </c>
      <c r="X569">
        <v>1300111</v>
      </c>
      <c r="Y569" t="str">
        <f>VLOOKUP(X569,物料編碼!D:G,4,0)</f>
        <v>寸骨</v>
      </c>
      <c r="Z569" t="str">
        <f>VLOOKUP(C569,客戶屬性1!A:C,2,0)</f>
        <v>新昌冻肉</v>
      </c>
      <c r="AA569">
        <f>IF(COUNTIF($O$1:O569,O569)=1,L569,0)</f>
        <v>0</v>
      </c>
    </row>
    <row r="570" customHeight="1" spans="1:27">
      <c r="A570" s="21" t="s">
        <v>1173</v>
      </c>
      <c r="B570" s="21" t="s">
        <v>45</v>
      </c>
      <c r="C570" s="21" t="s">
        <v>141</v>
      </c>
      <c r="D570" s="21" t="s">
        <v>142</v>
      </c>
      <c r="E570" s="21" t="s">
        <v>142</v>
      </c>
      <c r="F570" s="21" t="s">
        <v>143</v>
      </c>
      <c r="G570" s="21" t="s">
        <v>100</v>
      </c>
      <c r="H570" s="21" t="s">
        <v>63</v>
      </c>
      <c r="I570" s="26">
        <v>1</v>
      </c>
      <c r="J570" s="26">
        <v>25</v>
      </c>
      <c r="K570" s="21" t="s">
        <v>52</v>
      </c>
      <c r="L570" s="27">
        <v>2155.78</v>
      </c>
      <c r="M570" s="21"/>
      <c r="N570" s="21"/>
      <c r="O570" s="21" t="s">
        <v>1174</v>
      </c>
      <c r="P570" s="21" t="s">
        <v>54</v>
      </c>
      <c r="Q570" s="28">
        <v>46169</v>
      </c>
      <c r="R570" s="29">
        <v>46168.4645833333</v>
      </c>
      <c r="S570" s="21" t="s">
        <v>145</v>
      </c>
      <c r="T570" s="21"/>
      <c r="U570" s="21" t="s">
        <v>142</v>
      </c>
      <c r="V570" s="29">
        <v>46168.464537037</v>
      </c>
      <c r="W570">
        <f>VLOOKUP(H570,物料編碼!A:B,2,0)</f>
        <v>1300109002</v>
      </c>
      <c r="X570">
        <v>1300109</v>
      </c>
      <c r="Y570" t="str">
        <f>VLOOKUP(X570,物料編碼!D:G,4,0)</f>
        <v>面精肉</v>
      </c>
      <c r="Z570" t="str">
        <f>VLOOKUP(C570,客戶屬性1!A:C,2,0)</f>
        <v>新昌冻肉</v>
      </c>
      <c r="AA570">
        <f>IF(COUNTIF($O$1:O570,O570)=1,L570,0)</f>
        <v>0</v>
      </c>
    </row>
    <row r="571" customHeight="1" spans="1:27">
      <c r="A571" s="21" t="s">
        <v>1173</v>
      </c>
      <c r="B571" s="21" t="s">
        <v>45</v>
      </c>
      <c r="C571" s="21" t="s">
        <v>141</v>
      </c>
      <c r="D571" s="21" t="s">
        <v>142</v>
      </c>
      <c r="E571" s="21" t="s">
        <v>142</v>
      </c>
      <c r="F571" s="21" t="s">
        <v>143</v>
      </c>
      <c r="G571" s="21" t="s">
        <v>100</v>
      </c>
      <c r="H571" s="21" t="s">
        <v>117</v>
      </c>
      <c r="I571" s="26">
        <v>3</v>
      </c>
      <c r="J571" s="26">
        <v>45</v>
      </c>
      <c r="K571" s="21" t="s">
        <v>52</v>
      </c>
      <c r="L571" s="27">
        <v>2155.78</v>
      </c>
      <c r="M571" s="21"/>
      <c r="N571" s="21"/>
      <c r="O571" s="21" t="s">
        <v>1174</v>
      </c>
      <c r="P571" s="21" t="s">
        <v>54</v>
      </c>
      <c r="Q571" s="28">
        <v>46169</v>
      </c>
      <c r="R571" s="29">
        <v>46168.4645833333</v>
      </c>
      <c r="S571" s="21" t="s">
        <v>145</v>
      </c>
      <c r="T571" s="21"/>
      <c r="U571" s="21" t="s">
        <v>142</v>
      </c>
      <c r="V571" s="29">
        <v>46168.464537037</v>
      </c>
      <c r="W571">
        <f>VLOOKUP(H571,物料編碼!A:B,2,0)</f>
        <v>1300607015</v>
      </c>
      <c r="X571">
        <v>1300607</v>
      </c>
      <c r="Y571" t="str">
        <f>VLOOKUP(X571,物料編碼!D:G,4,0)</f>
        <v>帶皮腿扒</v>
      </c>
      <c r="Z571" t="str">
        <f>VLOOKUP(C571,客戶屬性1!A:C,2,0)</f>
        <v>新昌冻肉</v>
      </c>
      <c r="AA571">
        <f>IF(COUNTIF($O$1:O571,O571)=1,L571,0)</f>
        <v>0</v>
      </c>
    </row>
    <row r="572" customHeight="1" spans="1:27">
      <c r="A572" s="21" t="s">
        <v>1175</v>
      </c>
      <c r="B572" s="21" t="s">
        <v>45</v>
      </c>
      <c r="C572" s="21" t="s">
        <v>126</v>
      </c>
      <c r="D572" s="21" t="s">
        <v>127</v>
      </c>
      <c r="E572" s="21" t="s">
        <v>128</v>
      </c>
      <c r="F572" s="21" t="s">
        <v>49</v>
      </c>
      <c r="G572" s="21" t="s">
        <v>129</v>
      </c>
      <c r="H572" s="21" t="s">
        <v>117</v>
      </c>
      <c r="I572" s="26">
        <v>20</v>
      </c>
      <c r="J572" s="26">
        <v>300</v>
      </c>
      <c r="K572" s="21" t="s">
        <v>52</v>
      </c>
      <c r="L572" s="27">
        <v>4434</v>
      </c>
      <c r="M572" s="21"/>
      <c r="N572" s="21"/>
      <c r="O572" s="21" t="s">
        <v>1176</v>
      </c>
      <c r="P572" s="21" t="s">
        <v>54</v>
      </c>
      <c r="Q572" s="28">
        <v>46168</v>
      </c>
      <c r="R572" s="29">
        <v>46168.4530902778</v>
      </c>
      <c r="S572" s="21" t="s">
        <v>131</v>
      </c>
      <c r="T572" s="21"/>
      <c r="U572" s="21" t="s">
        <v>127</v>
      </c>
      <c r="V572" s="29">
        <v>46168.4530439815</v>
      </c>
      <c r="W572">
        <f>VLOOKUP(H572,物料編碼!A:B,2,0)</f>
        <v>1300607015</v>
      </c>
      <c r="X572">
        <v>1300607</v>
      </c>
      <c r="Y572" t="str">
        <f>VLOOKUP(X572,物料編碼!D:G,4,0)</f>
        <v>帶皮腿扒</v>
      </c>
      <c r="Z572" t="str">
        <f>VLOOKUP(C572,客戶屬性1!A:C,2,0)</f>
        <v>福源食品有限公司</v>
      </c>
      <c r="AA572">
        <f>IF(COUNTIF($O$1:O572,O572)=1,L572,0)</f>
        <v>4434</v>
      </c>
    </row>
    <row r="573" customHeight="1" spans="1:27">
      <c r="A573" s="21" t="s">
        <v>1177</v>
      </c>
      <c r="B573" s="21" t="s">
        <v>45</v>
      </c>
      <c r="C573" s="21" t="s">
        <v>72</v>
      </c>
      <c r="D573" s="21" t="s">
        <v>73</v>
      </c>
      <c r="E573" s="21" t="s">
        <v>74</v>
      </c>
      <c r="F573" s="21" t="s">
        <v>49</v>
      </c>
      <c r="G573" s="21" t="s">
        <v>50</v>
      </c>
      <c r="H573" s="21" t="s">
        <v>190</v>
      </c>
      <c r="I573" s="26">
        <v>16</v>
      </c>
      <c r="J573" s="26">
        <v>192</v>
      </c>
      <c r="K573" s="21" t="s">
        <v>52</v>
      </c>
      <c r="L573" s="27">
        <v>3033.6</v>
      </c>
      <c r="M573" s="21"/>
      <c r="N573" s="21"/>
      <c r="O573" s="21" t="s">
        <v>1178</v>
      </c>
      <c r="P573" s="21" t="s">
        <v>54</v>
      </c>
      <c r="Q573" s="28">
        <v>46168</v>
      </c>
      <c r="R573" s="29">
        <v>46168.4041319444</v>
      </c>
      <c r="S573" s="21" t="s">
        <v>77</v>
      </c>
      <c r="T573" s="21"/>
      <c r="U573" s="21" t="s">
        <v>74</v>
      </c>
      <c r="V573" s="29">
        <v>46168.4040856482</v>
      </c>
      <c r="W573">
        <f>VLOOKUP(H573,物料編碼!A:B,2,0)</f>
        <v>1300609001</v>
      </c>
      <c r="X573">
        <v>1300609</v>
      </c>
      <c r="Y573" t="str">
        <f>VLOOKUP(X573,物料編碼!D:G,4,0)</f>
        <v>去皮上腿肉</v>
      </c>
      <c r="Z573" t="str">
        <f>VLOOKUP(C573,客戶屬性1!A:C,2,0)</f>
        <v>恒辉贸易公司</v>
      </c>
      <c r="AA573">
        <f>IF(COUNTIF($O$1:O573,O573)=1,L573,0)</f>
        <v>3033.6</v>
      </c>
    </row>
    <row r="574" customHeight="1" spans="1:27">
      <c r="A574" s="21" t="s">
        <v>1179</v>
      </c>
      <c r="B574" s="21" t="s">
        <v>45</v>
      </c>
      <c r="C574" s="21" t="s">
        <v>858</v>
      </c>
      <c r="D574" s="21" t="s">
        <v>859</v>
      </c>
      <c r="E574" s="21" t="s">
        <v>860</v>
      </c>
      <c r="F574" s="21" t="s">
        <v>49</v>
      </c>
      <c r="G574" s="21" t="s">
        <v>136</v>
      </c>
      <c r="H574" s="21" t="s">
        <v>75</v>
      </c>
      <c r="I574" s="26">
        <v>3</v>
      </c>
      <c r="J574" s="26">
        <v>45</v>
      </c>
      <c r="K574" s="21" t="s">
        <v>52</v>
      </c>
      <c r="L574" s="27">
        <v>565.65</v>
      </c>
      <c r="M574" s="21"/>
      <c r="N574" s="21"/>
      <c r="O574" s="21" t="s">
        <v>1180</v>
      </c>
      <c r="P574" s="21" t="s">
        <v>183</v>
      </c>
      <c r="Q574" s="28">
        <v>46168</v>
      </c>
      <c r="R574" s="29">
        <v>46168.3993865741</v>
      </c>
      <c r="S574" s="21" t="s">
        <v>863</v>
      </c>
      <c r="T574" s="21"/>
      <c r="U574" s="21" t="s">
        <v>859</v>
      </c>
      <c r="V574" s="29">
        <v>46168.3993402778</v>
      </c>
      <c r="W574">
        <f>VLOOKUP(H574,物料編碼!A:B,2,0)</f>
        <v>1300603040</v>
      </c>
      <c r="X574">
        <v>1300603</v>
      </c>
      <c r="Y574" t="str">
        <f>VLOOKUP(X574,物料編碼!D:G,4,0)</f>
        <v>帶骨全腿</v>
      </c>
      <c r="Z574" t="str">
        <f>VLOOKUP(C574,客戶屬性1!A:C,2,0)</f>
        <v>福伟集团有限公司</v>
      </c>
      <c r="AA574">
        <f>IF(COUNTIF($O$1:O574,O574)=1,L574,0)</f>
        <v>565.65</v>
      </c>
    </row>
    <row r="575" customHeight="1" spans="1:27">
      <c r="A575" s="21" t="s">
        <v>1181</v>
      </c>
      <c r="B575" s="21" t="s">
        <v>45</v>
      </c>
      <c r="C575" s="21" t="s">
        <v>57</v>
      </c>
      <c r="D575" s="21" t="s">
        <v>58</v>
      </c>
      <c r="E575" s="21" t="s">
        <v>59</v>
      </c>
      <c r="F575" s="21" t="s">
        <v>49</v>
      </c>
      <c r="G575" s="21" t="s">
        <v>50</v>
      </c>
      <c r="H575" s="21" t="s">
        <v>60</v>
      </c>
      <c r="I575" s="26">
        <v>20</v>
      </c>
      <c r="J575" s="26">
        <v>500</v>
      </c>
      <c r="K575" s="21" t="s">
        <v>52</v>
      </c>
      <c r="L575" s="27">
        <v>18400</v>
      </c>
      <c r="M575" s="21"/>
      <c r="N575" s="21"/>
      <c r="O575" s="21" t="s">
        <v>1182</v>
      </c>
      <c r="P575" s="21" t="s">
        <v>54</v>
      </c>
      <c r="Q575" s="28">
        <v>46169</v>
      </c>
      <c r="R575" s="29">
        <v>46168.3935763889</v>
      </c>
      <c r="S575" s="21" t="s">
        <v>62</v>
      </c>
      <c r="T575" s="21"/>
      <c r="U575" s="21" t="s">
        <v>59</v>
      </c>
      <c r="V575" s="29">
        <v>46168.3935185185</v>
      </c>
      <c r="W575">
        <f>VLOOKUP(H575,物料編碼!A:B,2,0)</f>
        <v>1300101043</v>
      </c>
      <c r="X575">
        <v>1300101</v>
      </c>
      <c r="Y575" t="str">
        <f>VLOOKUP(X575,物料編碼!D:G,4,0)</f>
        <v>一號肉</v>
      </c>
      <c r="Z575" t="str">
        <f>VLOOKUP(C575,客戶屬性1!A:C,2,0)</f>
        <v>翎凰冻肉有限公司</v>
      </c>
      <c r="AA575">
        <f>IF(COUNTIF($O$1:O575,O575)=1,L575,0)</f>
        <v>18400</v>
      </c>
    </row>
    <row r="576" customHeight="1" spans="1:27">
      <c r="A576" s="21" t="s">
        <v>1183</v>
      </c>
      <c r="B576" s="21" t="s">
        <v>45</v>
      </c>
      <c r="C576" s="21" t="s">
        <v>72</v>
      </c>
      <c r="D576" s="21" t="s">
        <v>73</v>
      </c>
      <c r="E576" s="21" t="s">
        <v>74</v>
      </c>
      <c r="F576" s="21" t="s">
        <v>49</v>
      </c>
      <c r="G576" s="21" t="s">
        <v>50</v>
      </c>
      <c r="H576" s="21" t="s">
        <v>63</v>
      </c>
      <c r="I576" s="26">
        <v>3</v>
      </c>
      <c r="J576" s="26">
        <v>75</v>
      </c>
      <c r="K576" s="21" t="s">
        <v>52</v>
      </c>
      <c r="L576" s="27">
        <v>2505</v>
      </c>
      <c r="M576" s="21"/>
      <c r="N576" s="21"/>
      <c r="O576" s="21" t="s">
        <v>1184</v>
      </c>
      <c r="P576" s="21" t="s">
        <v>54</v>
      </c>
      <c r="Q576" s="28">
        <v>46168</v>
      </c>
      <c r="R576" s="29">
        <v>46165.5113888889</v>
      </c>
      <c r="S576" s="21" t="s">
        <v>81</v>
      </c>
      <c r="T576" s="21"/>
      <c r="U576" s="21" t="s">
        <v>82</v>
      </c>
      <c r="V576" s="29">
        <v>46165.5113310185</v>
      </c>
      <c r="W576">
        <f>VLOOKUP(H576,物料編碼!A:B,2,0)</f>
        <v>1300109002</v>
      </c>
      <c r="X576">
        <v>1300109</v>
      </c>
      <c r="Y576" t="str">
        <f>VLOOKUP(X576,物料編碼!D:G,4,0)</f>
        <v>面精肉</v>
      </c>
      <c r="Z576" t="str">
        <f>VLOOKUP(C576,客戶屬性1!A:C,2,0)</f>
        <v>恒辉贸易公司</v>
      </c>
      <c r="AA576">
        <f>IF(COUNTIF($O$1:O576,O576)=1,L576,0)</f>
        <v>2505</v>
      </c>
    </row>
    <row r="577" customHeight="1" spans="1:27">
      <c r="A577" s="21" t="s">
        <v>1185</v>
      </c>
      <c r="B577" s="21" t="s">
        <v>45</v>
      </c>
      <c r="C577" s="21" t="s">
        <v>46</v>
      </c>
      <c r="D577" s="21" t="s">
        <v>47</v>
      </c>
      <c r="E577" s="21" t="s">
        <v>48</v>
      </c>
      <c r="F577" s="21" t="s">
        <v>49</v>
      </c>
      <c r="G577" s="21" t="s">
        <v>50</v>
      </c>
      <c r="H577" s="21" t="s">
        <v>63</v>
      </c>
      <c r="I577" s="26">
        <v>1</v>
      </c>
      <c r="J577" s="26">
        <v>25</v>
      </c>
      <c r="K577" s="21" t="s">
        <v>52</v>
      </c>
      <c r="L577" s="27">
        <v>835</v>
      </c>
      <c r="M577" s="21"/>
      <c r="N577" s="21"/>
      <c r="O577" s="21" t="s">
        <v>1186</v>
      </c>
      <c r="P577" s="21" t="s">
        <v>54</v>
      </c>
      <c r="Q577" s="28">
        <v>46165</v>
      </c>
      <c r="R577" s="29">
        <v>46165.4259259259</v>
      </c>
      <c r="S577" s="21" t="s">
        <v>55</v>
      </c>
      <c r="T577" s="21"/>
      <c r="U577" s="21" t="s">
        <v>47</v>
      </c>
      <c r="V577" s="29">
        <v>46165.4258796296</v>
      </c>
      <c r="W577">
        <f>VLOOKUP(H577,物料編碼!A:B,2,0)</f>
        <v>1300109002</v>
      </c>
      <c r="X577">
        <v>1300109</v>
      </c>
      <c r="Y577" t="str">
        <f>VLOOKUP(X577,物料編碼!D:G,4,0)</f>
        <v>面精肉</v>
      </c>
      <c r="Z577" t="str">
        <f>VLOOKUP(C577,客戶屬性1!A:C,2,0)</f>
        <v>明记冻肉</v>
      </c>
      <c r="AA577">
        <f>IF(COUNTIF($O$1:O577,O577)=1,L577,0)</f>
        <v>835</v>
      </c>
    </row>
    <row r="578" customHeight="1" spans="1:27">
      <c r="A578" s="21" t="s">
        <v>1187</v>
      </c>
      <c r="B578" s="21" t="s">
        <v>45</v>
      </c>
      <c r="C578" s="21" t="s">
        <v>126</v>
      </c>
      <c r="D578" s="21" t="s">
        <v>127</v>
      </c>
      <c r="E578" s="21" t="s">
        <v>128</v>
      </c>
      <c r="F578" s="21" t="s">
        <v>49</v>
      </c>
      <c r="G578" s="21" t="s">
        <v>129</v>
      </c>
      <c r="H578" s="21" t="s">
        <v>190</v>
      </c>
      <c r="I578" s="26">
        <v>30</v>
      </c>
      <c r="J578" s="26">
        <v>360</v>
      </c>
      <c r="K578" s="21" t="s">
        <v>52</v>
      </c>
      <c r="L578" s="27">
        <v>5664</v>
      </c>
      <c r="M578" s="21"/>
      <c r="N578" s="21"/>
      <c r="O578" s="21" t="s">
        <v>1188</v>
      </c>
      <c r="P578" s="21" t="s">
        <v>54</v>
      </c>
      <c r="Q578" s="28">
        <v>46165</v>
      </c>
      <c r="R578" s="29">
        <v>46165.3809027778</v>
      </c>
      <c r="S578" s="21" t="s">
        <v>131</v>
      </c>
      <c r="T578" s="21"/>
      <c r="U578" s="21" t="s">
        <v>127</v>
      </c>
      <c r="V578" s="29">
        <v>46165.3808680556</v>
      </c>
      <c r="W578">
        <f>VLOOKUP(H578,物料編碼!A:B,2,0)</f>
        <v>1300609001</v>
      </c>
      <c r="X578">
        <v>1300609</v>
      </c>
      <c r="Y578" t="str">
        <f>VLOOKUP(X578,物料編碼!D:G,4,0)</f>
        <v>去皮上腿肉</v>
      </c>
      <c r="Z578" t="str">
        <f>VLOOKUP(C578,客戶屬性1!A:C,2,0)</f>
        <v>福源食品有限公司</v>
      </c>
      <c r="AA578">
        <f>IF(COUNTIF($O$1:O578,O578)=1,L578,0)</f>
        <v>5664</v>
      </c>
    </row>
    <row r="579" customHeight="1" spans="1:27">
      <c r="A579" s="21" t="s">
        <v>1189</v>
      </c>
      <c r="B579" s="21" t="s">
        <v>45</v>
      </c>
      <c r="C579" s="21" t="s">
        <v>126</v>
      </c>
      <c r="D579" s="21" t="s">
        <v>127</v>
      </c>
      <c r="E579" s="21" t="s">
        <v>128</v>
      </c>
      <c r="F579" s="21" t="s">
        <v>49</v>
      </c>
      <c r="G579" s="21" t="s">
        <v>129</v>
      </c>
      <c r="H579" s="21" t="s">
        <v>190</v>
      </c>
      <c r="I579" s="26">
        <v>30</v>
      </c>
      <c r="J579" s="26">
        <v>360</v>
      </c>
      <c r="K579" s="21" t="s">
        <v>52</v>
      </c>
      <c r="L579" s="27">
        <v>5664</v>
      </c>
      <c r="M579" s="21"/>
      <c r="N579" s="21"/>
      <c r="O579" s="21" t="s">
        <v>1190</v>
      </c>
      <c r="P579" s="21" t="s">
        <v>183</v>
      </c>
      <c r="Q579" s="28">
        <v>46165</v>
      </c>
      <c r="R579" s="29">
        <v>46165.3808912037</v>
      </c>
      <c r="S579" s="21" t="s">
        <v>131</v>
      </c>
      <c r="T579" s="21"/>
      <c r="U579" s="21" t="s">
        <v>127</v>
      </c>
      <c r="V579" s="29">
        <v>46165.3808449074</v>
      </c>
      <c r="W579">
        <f>VLOOKUP(H579,物料編碼!A:B,2,0)</f>
        <v>1300609001</v>
      </c>
      <c r="X579">
        <v>1300609</v>
      </c>
      <c r="Y579" t="str">
        <f>VLOOKUP(X579,物料編碼!D:G,4,0)</f>
        <v>去皮上腿肉</v>
      </c>
      <c r="Z579" t="str">
        <f>VLOOKUP(C579,客戶屬性1!A:C,2,0)</f>
        <v>福源食品有限公司</v>
      </c>
      <c r="AA579">
        <f>IF(COUNTIF($O$1:O579,O579)=1,L579,0)</f>
        <v>5664</v>
      </c>
    </row>
    <row r="580" customHeight="1" spans="1:27">
      <c r="A580" s="21" t="s">
        <v>1191</v>
      </c>
      <c r="B580" s="21" t="s">
        <v>45</v>
      </c>
      <c r="C580" s="21" t="s">
        <v>72</v>
      </c>
      <c r="D580" s="21" t="s">
        <v>73</v>
      </c>
      <c r="E580" s="21" t="s">
        <v>74</v>
      </c>
      <c r="F580" s="21" t="s">
        <v>49</v>
      </c>
      <c r="G580" s="21" t="s">
        <v>50</v>
      </c>
      <c r="H580" s="21" t="s">
        <v>743</v>
      </c>
      <c r="I580" s="26">
        <v>1</v>
      </c>
      <c r="J580" s="26">
        <v>12</v>
      </c>
      <c r="K580" s="21" t="s">
        <v>52</v>
      </c>
      <c r="L580" s="27">
        <v>141.6</v>
      </c>
      <c r="M580" s="21"/>
      <c r="N580" s="21"/>
      <c r="O580" s="21" t="s">
        <v>1192</v>
      </c>
      <c r="P580" s="21" t="s">
        <v>183</v>
      </c>
      <c r="Q580" s="28">
        <v>46165</v>
      </c>
      <c r="R580" s="29">
        <v>46165.3613078704</v>
      </c>
      <c r="S580" s="21" t="s">
        <v>288</v>
      </c>
      <c r="T580" s="21"/>
      <c r="U580" s="21" t="s">
        <v>82</v>
      </c>
      <c r="V580" s="29">
        <v>46165.36125</v>
      </c>
      <c r="W580">
        <f>VLOOKUP(H580,物料編碼!A:B,2,0)</f>
        <v>1300612031</v>
      </c>
      <c r="X580">
        <v>1300612</v>
      </c>
      <c r="Y580" t="str">
        <f>VLOOKUP(X580,物料編碼!D:G,4,0)</f>
        <v>去皮胸肉</v>
      </c>
      <c r="Z580" t="str">
        <f>VLOOKUP(C580,客戶屬性1!A:C,2,0)</f>
        <v>恒辉贸易公司</v>
      </c>
      <c r="AA580">
        <f>IF(COUNTIF($O$1:O580,O580)=1,L580,0)</f>
        <v>141.6</v>
      </c>
    </row>
    <row r="581" customHeight="1" spans="1:27">
      <c r="A581" s="21" t="s">
        <v>1193</v>
      </c>
      <c r="B581" s="21" t="s">
        <v>45</v>
      </c>
      <c r="C581" s="21" t="s">
        <v>114</v>
      </c>
      <c r="D581" s="21" t="s">
        <v>115</v>
      </c>
      <c r="E581" s="21" t="s">
        <v>116</v>
      </c>
      <c r="F581" s="21" t="s">
        <v>49</v>
      </c>
      <c r="G581" s="21" t="s">
        <v>100</v>
      </c>
      <c r="H581" s="21" t="s">
        <v>168</v>
      </c>
      <c r="I581" s="26">
        <v>1</v>
      </c>
      <c r="J581" s="26">
        <v>10</v>
      </c>
      <c r="K581" s="21" t="s">
        <v>52</v>
      </c>
      <c r="L581" s="27">
        <v>97</v>
      </c>
      <c r="M581" s="21"/>
      <c r="N581" s="21"/>
      <c r="O581" s="21" t="s">
        <v>1194</v>
      </c>
      <c r="P581" s="21" t="s">
        <v>54</v>
      </c>
      <c r="Q581" s="28">
        <v>46165</v>
      </c>
      <c r="R581" s="29">
        <v>46164.5217824074</v>
      </c>
      <c r="S581" s="21" t="s">
        <v>119</v>
      </c>
      <c r="T581" s="21"/>
      <c r="U581" s="21" t="s">
        <v>115</v>
      </c>
      <c r="V581" s="29">
        <v>46164.5217361111</v>
      </c>
      <c r="W581">
        <f>VLOOKUP(H581,物料編碼!A:B,2,0)</f>
        <v>1300627002</v>
      </c>
      <c r="X581">
        <v>1300627</v>
      </c>
      <c r="Y581" t="str">
        <f>VLOOKUP(X581,物料編碼!D:G,4,0)</f>
        <v>翅尖</v>
      </c>
      <c r="Z581" t="str">
        <f>VLOOKUP(C581,客戶屬性1!A:C,2,0)</f>
        <v>骏利贸易公司</v>
      </c>
      <c r="AA581">
        <f>IF(COUNTIF($O$1:O581,O581)=1,L581,0)</f>
        <v>97</v>
      </c>
    </row>
    <row r="582" customHeight="1" spans="1:27">
      <c r="A582" s="21" t="s">
        <v>1195</v>
      </c>
      <c r="B582" s="21" t="s">
        <v>45</v>
      </c>
      <c r="C582" s="21" t="s">
        <v>72</v>
      </c>
      <c r="D582" s="21" t="s">
        <v>73</v>
      </c>
      <c r="E582" s="21" t="s">
        <v>74</v>
      </c>
      <c r="F582" s="21" t="s">
        <v>49</v>
      </c>
      <c r="G582" s="21" t="s">
        <v>50</v>
      </c>
      <c r="H582" s="21" t="s">
        <v>75</v>
      </c>
      <c r="I582" s="26">
        <v>1</v>
      </c>
      <c r="J582" s="26">
        <v>15</v>
      </c>
      <c r="K582" s="21" t="s">
        <v>52</v>
      </c>
      <c r="L582" s="27">
        <v>2405.55</v>
      </c>
      <c r="M582" s="21"/>
      <c r="N582" s="21"/>
      <c r="O582" s="21" t="s">
        <v>1196</v>
      </c>
      <c r="P582" s="21" t="s">
        <v>54</v>
      </c>
      <c r="Q582" s="28">
        <v>46165</v>
      </c>
      <c r="R582" s="29">
        <v>46164.5091435185</v>
      </c>
      <c r="S582" s="21" t="s">
        <v>77</v>
      </c>
      <c r="T582" s="21"/>
      <c r="U582" s="21" t="s">
        <v>74</v>
      </c>
      <c r="V582" s="29">
        <v>46164.5090972222</v>
      </c>
      <c r="W582">
        <f>VLOOKUP(H582,物料編碼!A:B,2,0)</f>
        <v>1300603040</v>
      </c>
      <c r="X582">
        <v>1300603</v>
      </c>
      <c r="Y582" t="str">
        <f>VLOOKUP(X582,物料編碼!D:G,4,0)</f>
        <v>帶骨全腿</v>
      </c>
      <c r="Z582" t="str">
        <f>VLOOKUP(C582,客戶屬性1!A:C,2,0)</f>
        <v>恒辉贸易公司</v>
      </c>
      <c r="AA582">
        <f>IF(COUNTIF($O$1:O582,O582)=1,L582,0)</f>
        <v>2405.55</v>
      </c>
    </row>
    <row r="583" customHeight="1" spans="1:27">
      <c r="A583" s="21" t="s">
        <v>1195</v>
      </c>
      <c r="B583" s="21" t="s">
        <v>45</v>
      </c>
      <c r="C583" s="21" t="s">
        <v>72</v>
      </c>
      <c r="D583" s="21" t="s">
        <v>73</v>
      </c>
      <c r="E583" s="21" t="s">
        <v>74</v>
      </c>
      <c r="F583" s="21" t="s">
        <v>49</v>
      </c>
      <c r="G583" s="21" t="s">
        <v>50</v>
      </c>
      <c r="H583" s="21" t="s">
        <v>78</v>
      </c>
      <c r="I583" s="26">
        <v>10</v>
      </c>
      <c r="J583" s="26">
        <v>150</v>
      </c>
      <c r="K583" s="21" t="s">
        <v>52</v>
      </c>
      <c r="L583" s="27">
        <v>2405.55</v>
      </c>
      <c r="M583" s="21"/>
      <c r="N583" s="21"/>
      <c r="O583" s="21" t="s">
        <v>1196</v>
      </c>
      <c r="P583" s="21" t="s">
        <v>54</v>
      </c>
      <c r="Q583" s="28">
        <v>46165</v>
      </c>
      <c r="R583" s="29">
        <v>46164.5091435185</v>
      </c>
      <c r="S583" s="21" t="s">
        <v>77</v>
      </c>
      <c r="T583" s="21"/>
      <c r="U583" s="21" t="s">
        <v>74</v>
      </c>
      <c r="V583" s="29">
        <v>46164.5090972222</v>
      </c>
      <c r="W583">
        <f>VLOOKUP(H583,物料編碼!A:B,2,0)</f>
        <v>1300607014</v>
      </c>
      <c r="X583">
        <v>1300607</v>
      </c>
      <c r="Y583" t="str">
        <f>VLOOKUP(X583,物料編碼!D:G,4,0)</f>
        <v>帶皮腿扒</v>
      </c>
      <c r="Z583" t="str">
        <f>VLOOKUP(C583,客戶屬性1!A:C,2,0)</f>
        <v>恒辉贸易公司</v>
      </c>
      <c r="AA583">
        <f>IF(COUNTIF($O$1:O583,O583)=1,L583,0)</f>
        <v>0</v>
      </c>
    </row>
    <row r="584" customHeight="1" spans="1:27">
      <c r="A584" s="21" t="s">
        <v>1197</v>
      </c>
      <c r="B584" s="21" t="s">
        <v>45</v>
      </c>
      <c r="C584" s="21" t="s">
        <v>141</v>
      </c>
      <c r="D584" s="21" t="s">
        <v>142</v>
      </c>
      <c r="E584" s="21" t="s">
        <v>142</v>
      </c>
      <c r="F584" s="21" t="s">
        <v>143</v>
      </c>
      <c r="G584" s="21" t="s">
        <v>100</v>
      </c>
      <c r="H584" s="21" t="s">
        <v>146</v>
      </c>
      <c r="I584" s="26">
        <v>2</v>
      </c>
      <c r="J584" s="26">
        <v>30</v>
      </c>
      <c r="K584" s="21" t="s">
        <v>52</v>
      </c>
      <c r="L584" s="27">
        <v>1987.2</v>
      </c>
      <c r="M584" s="21"/>
      <c r="N584" s="21"/>
      <c r="O584" s="21" t="s">
        <v>1198</v>
      </c>
      <c r="P584" s="21" t="s">
        <v>54</v>
      </c>
      <c r="Q584" s="28">
        <v>46168</v>
      </c>
      <c r="R584" s="29">
        <v>46164.4804513889</v>
      </c>
      <c r="S584" s="21" t="s">
        <v>145</v>
      </c>
      <c r="T584" s="21"/>
      <c r="U584" s="21" t="s">
        <v>142</v>
      </c>
      <c r="V584" s="29">
        <v>46164.4804050926</v>
      </c>
      <c r="W584">
        <f>VLOOKUP(H584,物料編碼!A:B,2,0)</f>
        <v>1300603041</v>
      </c>
      <c r="X584">
        <v>1300603</v>
      </c>
      <c r="Y584" t="str">
        <f>VLOOKUP(X584,物料編碼!D:G,4,0)</f>
        <v>帶骨全腿</v>
      </c>
      <c r="Z584" t="str">
        <f>VLOOKUP(C584,客戶屬性1!A:C,2,0)</f>
        <v>新昌冻肉</v>
      </c>
      <c r="AA584">
        <f>IF(COUNTIF($O$1:O584,O584)=1,L584,0)</f>
        <v>1987.2</v>
      </c>
    </row>
    <row r="585" customHeight="1" spans="1:27">
      <c r="A585" s="21" t="s">
        <v>1197</v>
      </c>
      <c r="B585" s="21" t="s">
        <v>45</v>
      </c>
      <c r="C585" s="21" t="s">
        <v>141</v>
      </c>
      <c r="D585" s="21" t="s">
        <v>142</v>
      </c>
      <c r="E585" s="21" t="s">
        <v>142</v>
      </c>
      <c r="F585" s="21" t="s">
        <v>143</v>
      </c>
      <c r="G585" s="21" t="s">
        <v>100</v>
      </c>
      <c r="H585" s="21" t="s">
        <v>60</v>
      </c>
      <c r="I585" s="26">
        <v>1</v>
      </c>
      <c r="J585" s="26">
        <v>25</v>
      </c>
      <c r="K585" s="21" t="s">
        <v>52</v>
      </c>
      <c r="L585" s="27">
        <v>1987.2</v>
      </c>
      <c r="M585" s="21"/>
      <c r="N585" s="21"/>
      <c r="O585" s="21" t="s">
        <v>1198</v>
      </c>
      <c r="P585" s="21" t="s">
        <v>54</v>
      </c>
      <c r="Q585" s="28">
        <v>46168</v>
      </c>
      <c r="R585" s="29">
        <v>46164.4804513889</v>
      </c>
      <c r="S585" s="21" t="s">
        <v>145</v>
      </c>
      <c r="T585" s="21"/>
      <c r="U585" s="21" t="s">
        <v>142</v>
      </c>
      <c r="V585" s="29">
        <v>46164.4804050926</v>
      </c>
      <c r="W585">
        <f>VLOOKUP(H585,物料編碼!A:B,2,0)</f>
        <v>1300101043</v>
      </c>
      <c r="X585">
        <v>1300101</v>
      </c>
      <c r="Y585" t="str">
        <f>VLOOKUP(X585,物料編碼!D:G,4,0)</f>
        <v>一號肉</v>
      </c>
      <c r="Z585" t="str">
        <f>VLOOKUP(C585,客戶屬性1!A:C,2,0)</f>
        <v>新昌冻肉</v>
      </c>
      <c r="AA585">
        <f>IF(COUNTIF($O$1:O585,O585)=1,L585,0)</f>
        <v>0</v>
      </c>
    </row>
    <row r="586" customHeight="1" spans="1:27">
      <c r="A586" s="21" t="s">
        <v>1197</v>
      </c>
      <c r="B586" s="21" t="s">
        <v>45</v>
      </c>
      <c r="C586" s="21" t="s">
        <v>141</v>
      </c>
      <c r="D586" s="21" t="s">
        <v>142</v>
      </c>
      <c r="E586" s="21" t="s">
        <v>142</v>
      </c>
      <c r="F586" s="21" t="s">
        <v>143</v>
      </c>
      <c r="G586" s="21" t="s">
        <v>100</v>
      </c>
      <c r="H586" s="21" t="s">
        <v>117</v>
      </c>
      <c r="I586" s="26">
        <v>3</v>
      </c>
      <c r="J586" s="26">
        <v>45</v>
      </c>
      <c r="K586" s="21" t="s">
        <v>52</v>
      </c>
      <c r="L586" s="27">
        <v>1987.2</v>
      </c>
      <c r="M586" s="21"/>
      <c r="N586" s="21"/>
      <c r="O586" s="21" t="s">
        <v>1198</v>
      </c>
      <c r="P586" s="21" t="s">
        <v>54</v>
      </c>
      <c r="Q586" s="28">
        <v>46168</v>
      </c>
      <c r="R586" s="29">
        <v>46164.4804513889</v>
      </c>
      <c r="S586" s="21" t="s">
        <v>145</v>
      </c>
      <c r="T586" s="21"/>
      <c r="U586" s="21" t="s">
        <v>142</v>
      </c>
      <c r="V586" s="29">
        <v>46164.4804050926</v>
      </c>
      <c r="W586">
        <f>VLOOKUP(H586,物料編碼!A:B,2,0)</f>
        <v>1300607015</v>
      </c>
      <c r="X586">
        <v>1300607</v>
      </c>
      <c r="Y586" t="str">
        <f>VLOOKUP(X586,物料編碼!D:G,4,0)</f>
        <v>帶皮腿扒</v>
      </c>
      <c r="Z586" t="str">
        <f>VLOOKUP(C586,客戶屬性1!A:C,2,0)</f>
        <v>新昌冻肉</v>
      </c>
      <c r="AA586">
        <f>IF(COUNTIF($O$1:O586,O586)=1,L586,0)</f>
        <v>0</v>
      </c>
    </row>
    <row r="587" customHeight="1" spans="1:27">
      <c r="A587" s="21" t="s">
        <v>1199</v>
      </c>
      <c r="B587" s="21" t="s">
        <v>45</v>
      </c>
      <c r="C587" s="21" t="s">
        <v>141</v>
      </c>
      <c r="D587" s="21" t="s">
        <v>142</v>
      </c>
      <c r="E587" s="21" t="s">
        <v>142</v>
      </c>
      <c r="F587" s="21" t="s">
        <v>143</v>
      </c>
      <c r="G587" s="21" t="s">
        <v>100</v>
      </c>
      <c r="H587" s="21" t="s">
        <v>146</v>
      </c>
      <c r="I587" s="26">
        <v>2</v>
      </c>
      <c r="J587" s="26">
        <v>30</v>
      </c>
      <c r="K587" s="21" t="s">
        <v>52</v>
      </c>
      <c r="L587" s="27">
        <v>2320.6</v>
      </c>
      <c r="M587" s="21"/>
      <c r="N587" s="21"/>
      <c r="O587" s="21" t="s">
        <v>1200</v>
      </c>
      <c r="P587" s="21" t="s">
        <v>54</v>
      </c>
      <c r="Q587" s="28">
        <v>46165</v>
      </c>
      <c r="R587" s="29">
        <v>46164.4791898148</v>
      </c>
      <c r="S587" s="21" t="s">
        <v>145</v>
      </c>
      <c r="T587" s="21"/>
      <c r="U587" s="21" t="s">
        <v>142</v>
      </c>
      <c r="V587" s="29">
        <v>46164.4791319444</v>
      </c>
      <c r="W587">
        <f>VLOOKUP(H587,物料編碼!A:B,2,0)</f>
        <v>1300603041</v>
      </c>
      <c r="X587">
        <v>1300603</v>
      </c>
      <c r="Y587" t="str">
        <f>VLOOKUP(X587,物料編碼!D:G,4,0)</f>
        <v>帶骨全腿</v>
      </c>
      <c r="Z587" t="str">
        <f>VLOOKUP(C587,客戶屬性1!A:C,2,0)</f>
        <v>新昌冻肉</v>
      </c>
      <c r="AA587">
        <f>IF(COUNTIF($O$1:O587,O587)=1,L587,0)</f>
        <v>2320.6</v>
      </c>
    </row>
    <row r="588" customHeight="1" spans="1:27">
      <c r="A588" s="21" t="s">
        <v>1199</v>
      </c>
      <c r="B588" s="21" t="s">
        <v>45</v>
      </c>
      <c r="C588" s="21" t="s">
        <v>141</v>
      </c>
      <c r="D588" s="21" t="s">
        <v>142</v>
      </c>
      <c r="E588" s="21" t="s">
        <v>142</v>
      </c>
      <c r="F588" s="21" t="s">
        <v>143</v>
      </c>
      <c r="G588" s="21" t="s">
        <v>100</v>
      </c>
      <c r="H588" s="21" t="s">
        <v>117</v>
      </c>
      <c r="I588" s="26">
        <v>5</v>
      </c>
      <c r="J588" s="26">
        <v>75</v>
      </c>
      <c r="K588" s="21" t="s">
        <v>52</v>
      </c>
      <c r="L588" s="27">
        <v>2320.6</v>
      </c>
      <c r="M588" s="21"/>
      <c r="N588" s="21"/>
      <c r="O588" s="21" t="s">
        <v>1200</v>
      </c>
      <c r="P588" s="21" t="s">
        <v>54</v>
      </c>
      <c r="Q588" s="28">
        <v>46165</v>
      </c>
      <c r="R588" s="29">
        <v>46164.4791898148</v>
      </c>
      <c r="S588" s="21" t="s">
        <v>145</v>
      </c>
      <c r="T588" s="21"/>
      <c r="U588" s="21" t="s">
        <v>142</v>
      </c>
      <c r="V588" s="29">
        <v>46164.4791319444</v>
      </c>
      <c r="W588">
        <f>VLOOKUP(H588,物料編碼!A:B,2,0)</f>
        <v>1300607015</v>
      </c>
      <c r="X588">
        <v>1300607</v>
      </c>
      <c r="Y588" t="str">
        <f>VLOOKUP(X588,物料編碼!D:G,4,0)</f>
        <v>帶皮腿扒</v>
      </c>
      <c r="Z588" t="str">
        <f>VLOOKUP(C588,客戶屬性1!A:C,2,0)</f>
        <v>新昌冻肉</v>
      </c>
      <c r="AA588">
        <f>IF(COUNTIF($O$1:O588,O588)=1,L588,0)</f>
        <v>0</v>
      </c>
    </row>
    <row r="589" customHeight="1" spans="1:27">
      <c r="A589" s="21" t="s">
        <v>1199</v>
      </c>
      <c r="B589" s="21" t="s">
        <v>45</v>
      </c>
      <c r="C589" s="21" t="s">
        <v>141</v>
      </c>
      <c r="D589" s="21" t="s">
        <v>142</v>
      </c>
      <c r="E589" s="21" t="s">
        <v>142</v>
      </c>
      <c r="F589" s="21" t="s">
        <v>143</v>
      </c>
      <c r="G589" s="21" t="s">
        <v>100</v>
      </c>
      <c r="H589" s="21" t="s">
        <v>63</v>
      </c>
      <c r="I589" s="26">
        <v>1</v>
      </c>
      <c r="J589" s="26">
        <v>25</v>
      </c>
      <c r="K589" s="21" t="s">
        <v>52</v>
      </c>
      <c r="L589" s="27">
        <v>2320.6</v>
      </c>
      <c r="M589" s="21"/>
      <c r="N589" s="21"/>
      <c r="O589" s="21" t="s">
        <v>1200</v>
      </c>
      <c r="P589" s="21" t="s">
        <v>54</v>
      </c>
      <c r="Q589" s="28">
        <v>46165</v>
      </c>
      <c r="R589" s="29">
        <v>46164.4791898148</v>
      </c>
      <c r="S589" s="21" t="s">
        <v>145</v>
      </c>
      <c r="T589" s="21"/>
      <c r="U589" s="21" t="s">
        <v>142</v>
      </c>
      <c r="V589" s="29">
        <v>46164.4791319444</v>
      </c>
      <c r="W589">
        <f>VLOOKUP(H589,物料編碼!A:B,2,0)</f>
        <v>1300109002</v>
      </c>
      <c r="X589">
        <v>1300109</v>
      </c>
      <c r="Y589" t="str">
        <f>VLOOKUP(X589,物料編碼!D:G,4,0)</f>
        <v>面精肉</v>
      </c>
      <c r="Z589" t="str">
        <f>VLOOKUP(C589,客戶屬性1!A:C,2,0)</f>
        <v>新昌冻肉</v>
      </c>
      <c r="AA589">
        <f>IF(COUNTIF($O$1:O589,O589)=1,L589,0)</f>
        <v>0</v>
      </c>
    </row>
    <row r="590" customHeight="1" spans="1:27">
      <c r="A590" s="21" t="s">
        <v>1201</v>
      </c>
      <c r="B590" s="21" t="s">
        <v>45</v>
      </c>
      <c r="C590" s="21" t="s">
        <v>114</v>
      </c>
      <c r="D590" s="21" t="s">
        <v>115</v>
      </c>
      <c r="E590" s="21" t="s">
        <v>116</v>
      </c>
      <c r="F590" s="21" t="s">
        <v>49</v>
      </c>
      <c r="G590" s="21" t="s">
        <v>100</v>
      </c>
      <c r="H590" s="21" t="s">
        <v>298</v>
      </c>
      <c r="I590" s="26">
        <v>1</v>
      </c>
      <c r="J590" s="26">
        <v>10</v>
      </c>
      <c r="K590" s="21" t="s">
        <v>52</v>
      </c>
      <c r="L590" s="27">
        <v>485</v>
      </c>
      <c r="M590" s="21"/>
      <c r="N590" s="21"/>
      <c r="O590" s="21" t="s">
        <v>1202</v>
      </c>
      <c r="P590" s="21" t="s">
        <v>54</v>
      </c>
      <c r="Q590" s="28">
        <v>46164</v>
      </c>
      <c r="R590" s="29">
        <v>46164.4490162037</v>
      </c>
      <c r="S590" s="21" t="s">
        <v>119</v>
      </c>
      <c r="T590" s="21"/>
      <c r="U590" s="21" t="s">
        <v>115</v>
      </c>
      <c r="V590" s="29">
        <v>46164.4489583333</v>
      </c>
      <c r="W590">
        <f>VLOOKUP(H590,物料編碼!A:B,2,0)</f>
        <v>1300111003</v>
      </c>
      <c r="X590">
        <v>1300111</v>
      </c>
      <c r="Y590" t="str">
        <f>VLOOKUP(X590,物料編碼!D:G,4,0)</f>
        <v>寸骨</v>
      </c>
      <c r="Z590" t="str">
        <f>VLOOKUP(C590,客戶屬性1!A:C,2,0)</f>
        <v>骏利贸易公司</v>
      </c>
      <c r="AA590">
        <f>IF(COUNTIF($O$1:O590,O590)=1,L590,0)</f>
        <v>485</v>
      </c>
    </row>
    <row r="591" customHeight="1" spans="1:27">
      <c r="A591" s="21" t="s">
        <v>1203</v>
      </c>
      <c r="B591" s="21" t="s">
        <v>45</v>
      </c>
      <c r="C591" s="21" t="s">
        <v>235</v>
      </c>
      <c r="D591" s="21" t="s">
        <v>236</v>
      </c>
      <c r="E591" s="21" t="s">
        <v>237</v>
      </c>
      <c r="F591" s="21" t="s">
        <v>49</v>
      </c>
      <c r="G591" s="21" t="s">
        <v>238</v>
      </c>
      <c r="H591" s="21" t="s">
        <v>190</v>
      </c>
      <c r="I591" s="26">
        <v>20</v>
      </c>
      <c r="J591" s="26">
        <v>240</v>
      </c>
      <c r="K591" s="21" t="s">
        <v>52</v>
      </c>
      <c r="L591" s="27">
        <v>3768</v>
      </c>
      <c r="M591" s="21"/>
      <c r="N591" s="21"/>
      <c r="O591" s="21" t="s">
        <v>1204</v>
      </c>
      <c r="P591" s="21" t="s">
        <v>54</v>
      </c>
      <c r="Q591" s="28">
        <v>46164</v>
      </c>
      <c r="R591" s="29">
        <v>46164.4351273148</v>
      </c>
      <c r="S591" s="21" t="s">
        <v>241</v>
      </c>
      <c r="T591" s="21"/>
      <c r="U591" s="21" t="s">
        <v>237</v>
      </c>
      <c r="V591" s="29">
        <v>46164.4350694444</v>
      </c>
      <c r="W591">
        <f>VLOOKUP(H591,物料編碼!A:B,2,0)</f>
        <v>1300609001</v>
      </c>
      <c r="X591">
        <v>1300609</v>
      </c>
      <c r="Y591" t="str">
        <f>VLOOKUP(X591,物料編碼!D:G,4,0)</f>
        <v>去皮上腿肉</v>
      </c>
      <c r="Z591" t="str">
        <f>VLOOKUP(C591,客戶屬性1!A:C,2,0)</f>
        <v>联合林记食品有限公司</v>
      </c>
      <c r="AA591">
        <f>IF(COUNTIF($O$1:O591,O591)=1,L591,0)</f>
        <v>3768</v>
      </c>
    </row>
    <row r="592" customHeight="1" spans="1:27">
      <c r="A592" s="21" t="s">
        <v>1205</v>
      </c>
      <c r="B592" s="21" t="s">
        <v>45</v>
      </c>
      <c r="C592" s="21" t="s">
        <v>46</v>
      </c>
      <c r="D592" s="21" t="s">
        <v>47</v>
      </c>
      <c r="E592" s="21" t="s">
        <v>48</v>
      </c>
      <c r="F592" s="21" t="s">
        <v>49</v>
      </c>
      <c r="G592" s="21" t="s">
        <v>50</v>
      </c>
      <c r="H592" s="21" t="s">
        <v>219</v>
      </c>
      <c r="I592" s="26">
        <v>1</v>
      </c>
      <c r="J592" s="26">
        <v>10</v>
      </c>
      <c r="K592" s="21" t="s">
        <v>52</v>
      </c>
      <c r="L592" s="27">
        <v>1040</v>
      </c>
      <c r="M592" s="21"/>
      <c r="N592" s="21"/>
      <c r="O592" s="21" t="s">
        <v>1206</v>
      </c>
      <c r="P592" s="21" t="s">
        <v>54</v>
      </c>
      <c r="Q592" s="28">
        <v>46164</v>
      </c>
      <c r="R592" s="29">
        <v>46164.4236689815</v>
      </c>
      <c r="S592" s="21" t="s">
        <v>55</v>
      </c>
      <c r="T592" s="21"/>
      <c r="U592" s="21" t="s">
        <v>47</v>
      </c>
      <c r="V592" s="29">
        <v>46164.4236111111</v>
      </c>
      <c r="W592">
        <f>VLOOKUP(H592,物料編碼!A:B,2,0)</f>
        <v>1300501022</v>
      </c>
      <c r="X592">
        <v>1300501</v>
      </c>
      <c r="Y592" t="str">
        <f>VLOOKUP(X592,物料編碼!D:G,4,0)</f>
        <v>羊排</v>
      </c>
      <c r="Z592" t="str">
        <f>VLOOKUP(C592,客戶屬性1!A:C,2,0)</f>
        <v>明记冻肉</v>
      </c>
      <c r="AA592">
        <f>IF(COUNTIF($O$1:O592,O592)=1,L592,0)</f>
        <v>1040</v>
      </c>
    </row>
    <row r="593" customHeight="1" spans="1:27">
      <c r="A593" s="21" t="s">
        <v>1207</v>
      </c>
      <c r="B593" s="21" t="s">
        <v>45</v>
      </c>
      <c r="C593" s="21" t="s">
        <v>1208</v>
      </c>
      <c r="D593" s="21" t="s">
        <v>1209</v>
      </c>
      <c r="E593" s="21" t="s">
        <v>1210</v>
      </c>
      <c r="F593" s="21" t="s">
        <v>49</v>
      </c>
      <c r="G593" s="21" t="s">
        <v>89</v>
      </c>
      <c r="H593" s="21" t="s">
        <v>190</v>
      </c>
      <c r="I593" s="26">
        <v>20</v>
      </c>
      <c r="J593" s="26">
        <v>240</v>
      </c>
      <c r="K593" s="21" t="s">
        <v>52</v>
      </c>
      <c r="L593" s="27">
        <v>3768</v>
      </c>
      <c r="M593" s="21"/>
      <c r="N593" s="21"/>
      <c r="O593" s="21" t="s">
        <v>1211</v>
      </c>
      <c r="P593" s="21" t="s">
        <v>54</v>
      </c>
      <c r="Q593" s="28">
        <v>46164</v>
      </c>
      <c r="R593" s="29">
        <v>46164.4145138889</v>
      </c>
      <c r="S593" s="21" t="s">
        <v>1212</v>
      </c>
      <c r="T593" s="21"/>
      <c r="U593" s="21" t="s">
        <v>1209</v>
      </c>
      <c r="V593" s="29">
        <v>46164.4144675926</v>
      </c>
      <c r="W593">
        <f>VLOOKUP(H593,物料編碼!A:B,2,0)</f>
        <v>1300609001</v>
      </c>
      <c r="X593">
        <v>1300609</v>
      </c>
      <c r="Y593" t="str">
        <f>VLOOKUP(X593,物料編碼!D:G,4,0)</f>
        <v>去皮上腿肉</v>
      </c>
      <c r="Z593" t="str">
        <f>VLOOKUP(C593,客戶屬性1!A:C,2,0)</f>
        <v>泰怡国际有限公司</v>
      </c>
      <c r="AA593">
        <f>IF(COUNTIF($O$1:O593,O593)=1,L593,0)</f>
        <v>3768</v>
      </c>
    </row>
    <row r="594" customHeight="1" spans="1:27">
      <c r="A594" s="21" t="s">
        <v>1213</v>
      </c>
      <c r="B594" s="21" t="s">
        <v>45</v>
      </c>
      <c r="C594" s="21" t="s">
        <v>682</v>
      </c>
      <c r="D594" s="21" t="s">
        <v>683</v>
      </c>
      <c r="E594" s="21" t="s">
        <v>684</v>
      </c>
      <c r="F594" s="21" t="s">
        <v>49</v>
      </c>
      <c r="G594" s="21" t="s">
        <v>307</v>
      </c>
      <c r="H594" s="21" t="s">
        <v>267</v>
      </c>
      <c r="I594" s="26">
        <v>3</v>
      </c>
      <c r="J594" s="26">
        <v>60</v>
      </c>
      <c r="K594" s="21" t="s">
        <v>52</v>
      </c>
      <c r="L594" s="27">
        <v>3540</v>
      </c>
      <c r="M594" s="21"/>
      <c r="N594" s="21"/>
      <c r="O594" s="21" t="s">
        <v>1214</v>
      </c>
      <c r="P594" s="21" t="s">
        <v>54</v>
      </c>
      <c r="Q594" s="28">
        <v>46164</v>
      </c>
      <c r="R594" s="29">
        <v>46164.4081481481</v>
      </c>
      <c r="S594" s="21" t="s">
        <v>686</v>
      </c>
      <c r="T594" s="21"/>
      <c r="U594" s="21" t="s">
        <v>683</v>
      </c>
      <c r="V594" s="29">
        <v>46164.4080902778</v>
      </c>
      <c r="W594">
        <f>VLOOKUP(H594,物料編碼!A:B,2,0)</f>
        <v>1300511002</v>
      </c>
      <c r="X594">
        <v>1300511</v>
      </c>
      <c r="Y594" t="str">
        <f>VLOOKUP(X594,物料編碼!D:G,4,0)</f>
        <v>羊卷肉</v>
      </c>
      <c r="Z594" t="str">
        <f>VLOOKUP(C594,客戶屬性1!A:C,2,0)</f>
        <v>姚氏食品有限公司</v>
      </c>
      <c r="AA594">
        <f>IF(COUNTIF($O$1:O594,O594)=1,L594,0)</f>
        <v>3540</v>
      </c>
    </row>
    <row r="595" customHeight="1" spans="1:27">
      <c r="A595" s="21" t="s">
        <v>1215</v>
      </c>
      <c r="B595" s="21" t="s">
        <v>45</v>
      </c>
      <c r="C595" s="21" t="s">
        <v>858</v>
      </c>
      <c r="D595" s="21" t="s">
        <v>859</v>
      </c>
      <c r="E595" s="21" t="s">
        <v>860</v>
      </c>
      <c r="F595" s="21" t="s">
        <v>49</v>
      </c>
      <c r="G595" s="21" t="s">
        <v>136</v>
      </c>
      <c r="H595" s="21" t="s">
        <v>861</v>
      </c>
      <c r="I595" s="26">
        <v>1</v>
      </c>
      <c r="J595" s="26">
        <v>10</v>
      </c>
      <c r="K595" s="21" t="s">
        <v>52</v>
      </c>
      <c r="L595" s="27">
        <v>368</v>
      </c>
      <c r="M595" s="21"/>
      <c r="N595" s="21"/>
      <c r="O595" s="21" t="s">
        <v>1216</v>
      </c>
      <c r="P595" s="21" t="s">
        <v>54</v>
      </c>
      <c r="Q595" s="28">
        <v>46164</v>
      </c>
      <c r="R595" s="29">
        <v>46164.406400463</v>
      </c>
      <c r="S595" s="21" t="s">
        <v>863</v>
      </c>
      <c r="T595" s="21"/>
      <c r="U595" s="21" t="s">
        <v>859</v>
      </c>
      <c r="V595" s="29">
        <v>46164.4063194444</v>
      </c>
      <c r="W595">
        <f>VLOOKUP(H595,物料編碼!A:B,2,0)</f>
        <v>1800108098</v>
      </c>
      <c r="X595">
        <v>1800108</v>
      </c>
      <c r="Y595" t="str">
        <f>VLOOKUP(X595,物料編碼!D:G,4,0)</f>
        <v>魚.其他</v>
      </c>
      <c r="Z595" t="str">
        <f>VLOOKUP(C595,客戶屬性1!A:C,2,0)</f>
        <v>福伟集团有限公司</v>
      </c>
      <c r="AA595">
        <f>IF(COUNTIF($O$1:O595,O595)=1,L595,0)</f>
        <v>368</v>
      </c>
    </row>
    <row r="596" customHeight="1" spans="1:27">
      <c r="A596" s="21" t="s">
        <v>1217</v>
      </c>
      <c r="B596" s="21" t="s">
        <v>45</v>
      </c>
      <c r="C596" s="21" t="s">
        <v>1218</v>
      </c>
      <c r="D596" s="21" t="s">
        <v>1219</v>
      </c>
      <c r="E596" s="21" t="s">
        <v>1220</v>
      </c>
      <c r="F596" s="21" t="s">
        <v>49</v>
      </c>
      <c r="G596" s="21" t="s">
        <v>541</v>
      </c>
      <c r="H596" s="21" t="s">
        <v>1019</v>
      </c>
      <c r="I596" s="26">
        <v>2</v>
      </c>
      <c r="J596" s="26">
        <v>20</v>
      </c>
      <c r="K596" s="21" t="s">
        <v>52</v>
      </c>
      <c r="L596" s="27">
        <v>660</v>
      </c>
      <c r="M596" s="21"/>
      <c r="N596" s="21"/>
      <c r="O596" s="21" t="s">
        <v>1221</v>
      </c>
      <c r="P596" s="21" t="s">
        <v>183</v>
      </c>
      <c r="Q596" s="28">
        <v>46164</v>
      </c>
      <c r="R596" s="29">
        <v>46163.846412037</v>
      </c>
      <c r="S596" s="21" t="s">
        <v>1222</v>
      </c>
      <c r="T596" s="21"/>
      <c r="U596" s="21" t="s">
        <v>1219</v>
      </c>
      <c r="V596" s="29">
        <v>46163.8463541667</v>
      </c>
      <c r="W596">
        <f>VLOOKUP(H596,物料編碼!A:B,2,0)</f>
        <v>1800108095</v>
      </c>
      <c r="X596">
        <v>1800108</v>
      </c>
      <c r="Y596" t="str">
        <f>VLOOKUP(X596,物料編碼!D:G,4,0)</f>
        <v>魚.其他</v>
      </c>
      <c r="Z596" t="str">
        <f>VLOOKUP(C596,客戶屬性1!A:C,2,0)</f>
        <v>新华冻肉超级市场(葵芳)</v>
      </c>
      <c r="AA596">
        <f>IF(COUNTIF($O$1:O596,O596)=1,L596,0)</f>
        <v>660</v>
      </c>
    </row>
    <row r="597" customHeight="1" spans="1:27">
      <c r="A597" s="21" t="s">
        <v>1223</v>
      </c>
      <c r="B597" s="21" t="s">
        <v>45</v>
      </c>
      <c r="C597" s="21" t="s">
        <v>72</v>
      </c>
      <c r="D597" s="21" t="s">
        <v>73</v>
      </c>
      <c r="E597" s="21" t="s">
        <v>74</v>
      </c>
      <c r="F597" s="21" t="s">
        <v>49</v>
      </c>
      <c r="G597" s="21" t="s">
        <v>50</v>
      </c>
      <c r="H597" s="21" t="s">
        <v>838</v>
      </c>
      <c r="I597" s="26">
        <v>1</v>
      </c>
      <c r="J597" s="26">
        <v>10</v>
      </c>
      <c r="K597" s="21" t="s">
        <v>52</v>
      </c>
      <c r="L597" s="27">
        <v>1530.82</v>
      </c>
      <c r="M597" s="21"/>
      <c r="N597" s="21"/>
      <c r="O597" s="21" t="s">
        <v>1224</v>
      </c>
      <c r="P597" s="21" t="s">
        <v>54</v>
      </c>
      <c r="Q597" s="28">
        <v>46164</v>
      </c>
      <c r="R597" s="29">
        <v>46163.7270023148</v>
      </c>
      <c r="S597" s="21" t="s">
        <v>81</v>
      </c>
      <c r="T597" s="21"/>
      <c r="U597" s="21" t="s">
        <v>82</v>
      </c>
      <c r="V597" s="29">
        <v>46163.7269444444</v>
      </c>
      <c r="W597">
        <f>VLOOKUP(H597,物料編碼!A:B,2,0)</f>
        <v>1300902002</v>
      </c>
      <c r="X597">
        <v>1300902</v>
      </c>
      <c r="Y597" t="str">
        <f>VLOOKUP(X597,物料編碼!D:G,4,0)</f>
        <v>帶骨整腿</v>
      </c>
      <c r="Z597" t="str">
        <f>VLOOKUP(C597,客戶屬性1!A:C,2,0)</f>
        <v>恒辉贸易公司</v>
      </c>
      <c r="AA597">
        <f>IF(COUNTIF($O$1:O597,O597)=1,L597,0)</f>
        <v>1530.82</v>
      </c>
    </row>
    <row r="598" customHeight="1" spans="1:27">
      <c r="A598" s="21" t="s">
        <v>1223</v>
      </c>
      <c r="B598" s="21" t="s">
        <v>45</v>
      </c>
      <c r="C598" s="21" t="s">
        <v>72</v>
      </c>
      <c r="D598" s="21" t="s">
        <v>73</v>
      </c>
      <c r="E598" s="21" t="s">
        <v>74</v>
      </c>
      <c r="F598" s="21" t="s">
        <v>49</v>
      </c>
      <c r="G598" s="21" t="s">
        <v>50</v>
      </c>
      <c r="H598" s="21" t="s">
        <v>362</v>
      </c>
      <c r="I598" s="26">
        <v>2</v>
      </c>
      <c r="J598" s="26">
        <v>27.2</v>
      </c>
      <c r="K598" s="21" t="s">
        <v>52</v>
      </c>
      <c r="L598" s="27">
        <v>1530.82</v>
      </c>
      <c r="M598" s="21"/>
      <c r="N598" s="21"/>
      <c r="O598" s="21" t="s">
        <v>1224</v>
      </c>
      <c r="P598" s="21" t="s">
        <v>54</v>
      </c>
      <c r="Q598" s="28">
        <v>46164</v>
      </c>
      <c r="R598" s="29">
        <v>46163.7270023148</v>
      </c>
      <c r="S598" s="21" t="s">
        <v>81</v>
      </c>
      <c r="T598" s="21"/>
      <c r="U598" s="21" t="s">
        <v>82</v>
      </c>
      <c r="V598" s="29">
        <v>46163.7269444444</v>
      </c>
      <c r="W598">
        <f>VLOOKUP(H598,物料編碼!A:B,2,0)</f>
        <v>1300901005</v>
      </c>
      <c r="X598">
        <v>1300901</v>
      </c>
      <c r="Y598" t="str">
        <f>VLOOKUP(X598,物料編碼!D:G,4,0)</f>
        <v>整鴨</v>
      </c>
      <c r="Z598" t="str">
        <f>VLOOKUP(C598,客戶屬性1!A:C,2,0)</f>
        <v>恒辉贸易公司</v>
      </c>
      <c r="AA598">
        <f>IF(COUNTIF($O$1:O598,O598)=1,L598,0)</f>
        <v>0</v>
      </c>
    </row>
    <row r="599" customHeight="1" spans="1:27">
      <c r="A599" s="21" t="s">
        <v>1223</v>
      </c>
      <c r="B599" s="21" t="s">
        <v>45</v>
      </c>
      <c r="C599" s="21" t="s">
        <v>72</v>
      </c>
      <c r="D599" s="21" t="s">
        <v>73</v>
      </c>
      <c r="E599" s="21" t="s">
        <v>74</v>
      </c>
      <c r="F599" s="21" t="s">
        <v>49</v>
      </c>
      <c r="G599" s="21" t="s">
        <v>50</v>
      </c>
      <c r="H599" s="21" t="s">
        <v>117</v>
      </c>
      <c r="I599" s="26">
        <v>5</v>
      </c>
      <c r="J599" s="26">
        <v>75</v>
      </c>
      <c r="K599" s="21" t="s">
        <v>52</v>
      </c>
      <c r="L599" s="27">
        <v>1530.82</v>
      </c>
      <c r="M599" s="21"/>
      <c r="N599" s="21"/>
      <c r="O599" s="21" t="s">
        <v>1224</v>
      </c>
      <c r="P599" s="21" t="s">
        <v>54</v>
      </c>
      <c r="Q599" s="28">
        <v>46164</v>
      </c>
      <c r="R599" s="29">
        <v>46163.7270023148</v>
      </c>
      <c r="S599" s="21" t="s">
        <v>81</v>
      </c>
      <c r="T599" s="21"/>
      <c r="U599" s="21" t="s">
        <v>82</v>
      </c>
      <c r="V599" s="29">
        <v>46163.7269444444</v>
      </c>
      <c r="W599">
        <f>VLOOKUP(H599,物料編碼!A:B,2,0)</f>
        <v>1300607015</v>
      </c>
      <c r="X599">
        <v>1300607</v>
      </c>
      <c r="Y599" t="str">
        <f>VLOOKUP(X599,物料編碼!D:G,4,0)</f>
        <v>帶皮腿扒</v>
      </c>
      <c r="Z599" t="str">
        <f>VLOOKUP(C599,客戶屬性1!A:C,2,0)</f>
        <v>恒辉贸易公司</v>
      </c>
      <c r="AA599">
        <f>IF(COUNTIF($O$1:O599,O599)=1,L599,0)</f>
        <v>0</v>
      </c>
    </row>
    <row r="600" customHeight="1" spans="1:27">
      <c r="A600" s="21" t="s">
        <v>1225</v>
      </c>
      <c r="B600" s="21" t="s">
        <v>45</v>
      </c>
      <c r="C600" s="21" t="s">
        <v>538</v>
      </c>
      <c r="D600" s="21" t="s">
        <v>539</v>
      </c>
      <c r="E600" s="21" t="s">
        <v>540</v>
      </c>
      <c r="F600" s="21" t="s">
        <v>49</v>
      </c>
      <c r="G600" s="21" t="s">
        <v>541</v>
      </c>
      <c r="H600" s="21" t="s">
        <v>63</v>
      </c>
      <c r="I600" s="26">
        <v>2</v>
      </c>
      <c r="J600" s="26">
        <v>50</v>
      </c>
      <c r="K600" s="21" t="s">
        <v>52</v>
      </c>
      <c r="L600" s="27">
        <v>1630</v>
      </c>
      <c r="M600" s="21"/>
      <c r="N600" s="21"/>
      <c r="O600" s="21" t="s">
        <v>1226</v>
      </c>
      <c r="P600" s="21" t="s">
        <v>54</v>
      </c>
      <c r="Q600" s="28">
        <v>46168</v>
      </c>
      <c r="R600" s="29">
        <v>46163.6826967593</v>
      </c>
      <c r="S600" s="21" t="s">
        <v>543</v>
      </c>
      <c r="T600" s="21"/>
      <c r="U600" s="21" t="s">
        <v>539</v>
      </c>
      <c r="V600" s="29">
        <v>46163.682650463</v>
      </c>
      <c r="W600">
        <f>VLOOKUP(H600,物料編碼!A:B,2,0)</f>
        <v>1300109002</v>
      </c>
      <c r="X600">
        <v>1300109</v>
      </c>
      <c r="Y600" t="str">
        <f>VLOOKUP(X600,物料編碼!D:G,4,0)</f>
        <v>面精肉</v>
      </c>
      <c r="Z600" t="str">
        <f>VLOOKUP(C600,客戶屬性1!A:C,2,0)</f>
        <v>诚信冻肉有限公司</v>
      </c>
      <c r="AA600">
        <f>IF(COUNTIF($O$1:O600,O600)=1,L600,0)</f>
        <v>1630</v>
      </c>
    </row>
    <row r="601" customHeight="1" spans="1:27">
      <c r="A601" s="21" t="s">
        <v>1227</v>
      </c>
      <c r="B601" s="21" t="s">
        <v>45</v>
      </c>
      <c r="C601" s="21" t="s">
        <v>538</v>
      </c>
      <c r="D601" s="21" t="s">
        <v>539</v>
      </c>
      <c r="E601" s="21" t="s">
        <v>540</v>
      </c>
      <c r="F601" s="21" t="s">
        <v>49</v>
      </c>
      <c r="G601" s="21" t="s">
        <v>541</v>
      </c>
      <c r="H601" s="21" t="s">
        <v>63</v>
      </c>
      <c r="I601" s="26">
        <v>4</v>
      </c>
      <c r="J601" s="26">
        <v>100</v>
      </c>
      <c r="K601" s="21" t="s">
        <v>52</v>
      </c>
      <c r="L601" s="27">
        <v>3260</v>
      </c>
      <c r="M601" s="21"/>
      <c r="N601" s="21"/>
      <c r="O601" s="21" t="s">
        <v>1228</v>
      </c>
      <c r="P601" s="21" t="s">
        <v>54</v>
      </c>
      <c r="Q601" s="28">
        <v>46165</v>
      </c>
      <c r="R601" s="29">
        <v>46163.6804166667</v>
      </c>
      <c r="S601" s="21" t="s">
        <v>543</v>
      </c>
      <c r="T601" s="21"/>
      <c r="U601" s="21" t="s">
        <v>539</v>
      </c>
      <c r="V601" s="29">
        <v>46163.6803703704</v>
      </c>
      <c r="W601">
        <f>VLOOKUP(H601,物料編碼!A:B,2,0)</f>
        <v>1300109002</v>
      </c>
      <c r="X601">
        <v>1300109</v>
      </c>
      <c r="Y601" t="str">
        <f>VLOOKUP(X601,物料編碼!D:G,4,0)</f>
        <v>面精肉</v>
      </c>
      <c r="Z601" t="str">
        <f>VLOOKUP(C601,客戶屬性1!A:C,2,0)</f>
        <v>诚信冻肉有限公司</v>
      </c>
      <c r="AA601">
        <f>IF(COUNTIF($O$1:O601,O601)=1,L601,0)</f>
        <v>3260</v>
      </c>
    </row>
    <row r="602" customHeight="1" spans="1:27">
      <c r="A602" s="21" t="s">
        <v>1229</v>
      </c>
      <c r="B602" s="21" t="s">
        <v>45</v>
      </c>
      <c r="C602" s="21" t="s">
        <v>538</v>
      </c>
      <c r="D602" s="21" t="s">
        <v>539</v>
      </c>
      <c r="E602" s="21" t="s">
        <v>540</v>
      </c>
      <c r="F602" s="21" t="s">
        <v>49</v>
      </c>
      <c r="G602" s="21" t="s">
        <v>541</v>
      </c>
      <c r="H602" s="21" t="s">
        <v>63</v>
      </c>
      <c r="I602" s="26">
        <v>1</v>
      </c>
      <c r="J602" s="26">
        <v>25</v>
      </c>
      <c r="K602" s="21" t="s">
        <v>52</v>
      </c>
      <c r="L602" s="27">
        <v>815</v>
      </c>
      <c r="M602" s="21"/>
      <c r="N602" s="21"/>
      <c r="O602" s="21" t="s">
        <v>1230</v>
      </c>
      <c r="P602" s="21" t="s">
        <v>54</v>
      </c>
      <c r="Q602" s="28">
        <v>46164</v>
      </c>
      <c r="R602" s="29">
        <v>46163.6789236111</v>
      </c>
      <c r="S602" s="21" t="s">
        <v>543</v>
      </c>
      <c r="T602" s="21"/>
      <c r="U602" s="21" t="s">
        <v>539</v>
      </c>
      <c r="V602" s="29">
        <v>46163.6788773148</v>
      </c>
      <c r="W602">
        <f>VLOOKUP(H602,物料編碼!A:B,2,0)</f>
        <v>1300109002</v>
      </c>
      <c r="X602">
        <v>1300109</v>
      </c>
      <c r="Y602" t="str">
        <f>VLOOKUP(X602,物料編碼!D:G,4,0)</f>
        <v>面精肉</v>
      </c>
      <c r="Z602" t="str">
        <f>VLOOKUP(C602,客戶屬性1!A:C,2,0)</f>
        <v>诚信冻肉有限公司</v>
      </c>
      <c r="AA602">
        <f>IF(COUNTIF($O$1:O602,O602)=1,L602,0)</f>
        <v>815</v>
      </c>
    </row>
    <row r="603" customHeight="1" spans="1:27">
      <c r="A603" s="21" t="s">
        <v>1231</v>
      </c>
      <c r="B603" s="21" t="s">
        <v>45</v>
      </c>
      <c r="C603" s="21" t="s">
        <v>825</v>
      </c>
      <c r="D603" s="21" t="s">
        <v>826</v>
      </c>
      <c r="E603" s="21" t="s">
        <v>827</v>
      </c>
      <c r="F603" s="21" t="s">
        <v>49</v>
      </c>
      <c r="G603" s="21" t="s">
        <v>136</v>
      </c>
      <c r="H603" s="21" t="s">
        <v>63</v>
      </c>
      <c r="I603" s="26">
        <v>2</v>
      </c>
      <c r="J603" s="26">
        <v>50</v>
      </c>
      <c r="K603" s="21" t="s">
        <v>52</v>
      </c>
      <c r="L603" s="27">
        <v>1630</v>
      </c>
      <c r="M603" s="21"/>
      <c r="N603" s="21"/>
      <c r="O603" s="21" t="s">
        <v>1232</v>
      </c>
      <c r="P603" s="21" t="s">
        <v>54</v>
      </c>
      <c r="Q603" s="28">
        <v>46164</v>
      </c>
      <c r="R603" s="29">
        <v>46163.6487847222</v>
      </c>
      <c r="S603" s="21" t="s">
        <v>829</v>
      </c>
      <c r="T603" s="21"/>
      <c r="U603" s="21" t="s">
        <v>826</v>
      </c>
      <c r="V603" s="29">
        <v>46163.64875</v>
      </c>
      <c r="W603">
        <f>VLOOKUP(H603,物料編碼!A:B,2,0)</f>
        <v>1300109002</v>
      </c>
      <c r="X603">
        <v>1300109</v>
      </c>
      <c r="Y603" t="str">
        <f>VLOOKUP(X603,物料編碼!D:G,4,0)</f>
        <v>面精肉</v>
      </c>
      <c r="Z603" t="str">
        <f>VLOOKUP(C603,客戶屬性1!A:C,2,0)</f>
        <v>鸿兴食品供应有限公司</v>
      </c>
      <c r="AA603">
        <f>IF(COUNTIF($O$1:O603,O603)=1,L603,0)</f>
        <v>1630</v>
      </c>
    </row>
    <row r="604" customHeight="1" spans="1:27">
      <c r="A604" s="21" t="s">
        <v>1233</v>
      </c>
      <c r="B604" s="21" t="s">
        <v>45</v>
      </c>
      <c r="C604" s="21" t="s">
        <v>72</v>
      </c>
      <c r="D604" s="21" t="s">
        <v>73</v>
      </c>
      <c r="E604" s="21" t="s">
        <v>74</v>
      </c>
      <c r="F604" s="21" t="s">
        <v>49</v>
      </c>
      <c r="G604" s="21" t="s">
        <v>50</v>
      </c>
      <c r="H604" s="21" t="s">
        <v>808</v>
      </c>
      <c r="I604" s="26">
        <v>5</v>
      </c>
      <c r="J604" s="26">
        <v>50</v>
      </c>
      <c r="K604" s="21" t="s">
        <v>52</v>
      </c>
      <c r="L604" s="27">
        <v>600</v>
      </c>
      <c r="M604" s="21"/>
      <c r="N604" s="21"/>
      <c r="O604" s="21" t="s">
        <v>1234</v>
      </c>
      <c r="P604" s="21" t="s">
        <v>54</v>
      </c>
      <c r="Q604" s="28">
        <v>46164</v>
      </c>
      <c r="R604" s="29">
        <v>46163.6314699074</v>
      </c>
      <c r="S604" s="21" t="s">
        <v>81</v>
      </c>
      <c r="T604" s="21"/>
      <c r="U604" s="21" t="s">
        <v>82</v>
      </c>
      <c r="V604" s="29">
        <v>46163.6314236111</v>
      </c>
      <c r="W604">
        <f>VLOOKUP(H604,物料編碼!A:B,2,0)</f>
        <v>1300613017</v>
      </c>
      <c r="X604">
        <v>1300613</v>
      </c>
      <c r="Y604" t="str">
        <f>VLOOKUP(X604,物料編碼!D:G,4,0)</f>
        <v>小胸肉</v>
      </c>
      <c r="Z604" t="str">
        <f>VLOOKUP(C604,客戶屬性1!A:C,2,0)</f>
        <v>恒辉贸易公司</v>
      </c>
      <c r="AA604">
        <f>IF(COUNTIF($O$1:O604,O604)=1,L604,0)</f>
        <v>600</v>
      </c>
    </row>
    <row r="605" customHeight="1" spans="1:27">
      <c r="A605" s="21" t="s">
        <v>1235</v>
      </c>
      <c r="B605" s="21" t="s">
        <v>45</v>
      </c>
      <c r="C605" s="21" t="s">
        <v>1064</v>
      </c>
      <c r="D605" s="21" t="s">
        <v>1065</v>
      </c>
      <c r="E605" s="21" t="s">
        <v>1066</v>
      </c>
      <c r="F605" s="21" t="s">
        <v>49</v>
      </c>
      <c r="G605" s="21" t="s">
        <v>89</v>
      </c>
      <c r="H605" s="21" t="s">
        <v>781</v>
      </c>
      <c r="I605" s="26">
        <v>3</v>
      </c>
      <c r="J605" s="26">
        <v>30</v>
      </c>
      <c r="K605" s="21" t="s">
        <v>52</v>
      </c>
      <c r="L605" s="27">
        <v>630</v>
      </c>
      <c r="M605" s="21"/>
      <c r="N605" s="21"/>
      <c r="O605" s="21" t="s">
        <v>1236</v>
      </c>
      <c r="P605" s="21" t="s">
        <v>54</v>
      </c>
      <c r="Q605" s="28">
        <v>46165</v>
      </c>
      <c r="R605" s="29">
        <v>46163.5923726852</v>
      </c>
      <c r="S605" s="21" t="s">
        <v>1068</v>
      </c>
      <c r="T605" s="21"/>
      <c r="U605" s="21" t="s">
        <v>1065</v>
      </c>
      <c r="V605" s="29">
        <v>46163.592337963</v>
      </c>
      <c r="W605">
        <f>VLOOKUP(H605,物料編碼!A:B,2,0)</f>
        <v>1300904022</v>
      </c>
      <c r="X605">
        <v>1300904</v>
      </c>
      <c r="Y605" t="str">
        <f>VLOOKUP(X605,物料編碼!D:G,4,0)</f>
        <v>煙熏鴨胸</v>
      </c>
      <c r="Z605" t="str">
        <f>VLOOKUP(C605,客戶屬性1!A:C,2,0)</f>
        <v>明兴食品有限公司(元朗)</v>
      </c>
      <c r="AA605">
        <f>IF(COUNTIF($O$1:O605,O605)=1,L605,0)</f>
        <v>630</v>
      </c>
    </row>
    <row r="606" customHeight="1" spans="1:27">
      <c r="A606" s="21" t="s">
        <v>1237</v>
      </c>
      <c r="B606" s="21" t="s">
        <v>45</v>
      </c>
      <c r="C606" s="21" t="s">
        <v>1064</v>
      </c>
      <c r="D606" s="21" t="s">
        <v>1065</v>
      </c>
      <c r="E606" s="21" t="s">
        <v>1066</v>
      </c>
      <c r="F606" s="21" t="s">
        <v>49</v>
      </c>
      <c r="G606" s="21" t="s">
        <v>89</v>
      </c>
      <c r="H606" s="21" t="s">
        <v>63</v>
      </c>
      <c r="I606" s="26">
        <v>5</v>
      </c>
      <c r="J606" s="26">
        <v>125</v>
      </c>
      <c r="K606" s="21" t="s">
        <v>52</v>
      </c>
      <c r="L606" s="27">
        <v>4075</v>
      </c>
      <c r="M606" s="21"/>
      <c r="N606" s="21"/>
      <c r="O606" s="21" t="s">
        <v>1238</v>
      </c>
      <c r="P606" s="21" t="s">
        <v>54</v>
      </c>
      <c r="Q606" s="28">
        <v>46165</v>
      </c>
      <c r="R606" s="29">
        <v>46163.5874189815</v>
      </c>
      <c r="S606" s="21" t="s">
        <v>1068</v>
      </c>
      <c r="T606" s="21"/>
      <c r="U606" s="21" t="s">
        <v>1065</v>
      </c>
      <c r="V606" s="29">
        <v>46163.5873726852</v>
      </c>
      <c r="W606">
        <f>VLOOKUP(H606,物料編碼!A:B,2,0)</f>
        <v>1300109002</v>
      </c>
      <c r="X606">
        <v>1300109</v>
      </c>
      <c r="Y606" t="str">
        <f>VLOOKUP(X606,物料編碼!D:G,4,0)</f>
        <v>面精肉</v>
      </c>
      <c r="Z606" t="str">
        <f>VLOOKUP(C606,客戶屬性1!A:C,2,0)</f>
        <v>明兴食品有限公司(元朗)</v>
      </c>
      <c r="AA606">
        <f>IF(COUNTIF($O$1:O606,O606)=1,L606,0)</f>
        <v>4075</v>
      </c>
    </row>
    <row r="607" customHeight="1" spans="1:27">
      <c r="A607" s="21" t="s">
        <v>1239</v>
      </c>
      <c r="B607" s="21" t="s">
        <v>45</v>
      </c>
      <c r="C607" s="21" t="s">
        <v>197</v>
      </c>
      <c r="D607" s="21" t="s">
        <v>198</v>
      </c>
      <c r="E607" s="21" t="s">
        <v>199</v>
      </c>
      <c r="F607" s="21" t="s">
        <v>49</v>
      </c>
      <c r="G607" s="21" t="s">
        <v>136</v>
      </c>
      <c r="H607" s="21" t="s">
        <v>63</v>
      </c>
      <c r="I607" s="26">
        <v>8</v>
      </c>
      <c r="J607" s="26">
        <v>200</v>
      </c>
      <c r="K607" s="21" t="s">
        <v>52</v>
      </c>
      <c r="L607" s="27">
        <v>6520</v>
      </c>
      <c r="M607" s="21"/>
      <c r="N607" s="21"/>
      <c r="O607" s="21" t="s">
        <v>1240</v>
      </c>
      <c r="P607" s="21" t="s">
        <v>54</v>
      </c>
      <c r="Q607" s="28">
        <v>46164</v>
      </c>
      <c r="R607" s="29">
        <v>46163.4777199074</v>
      </c>
      <c r="S607" s="21" t="s">
        <v>202</v>
      </c>
      <c r="T607" s="21"/>
      <c r="U607" s="21" t="s">
        <v>203</v>
      </c>
      <c r="V607" s="29">
        <v>46163.4776736111</v>
      </c>
      <c r="W607">
        <f>VLOOKUP(H607,物料編碼!A:B,2,0)</f>
        <v>1300109002</v>
      </c>
      <c r="X607">
        <v>1300109</v>
      </c>
      <c r="Y607" t="str">
        <f>VLOOKUP(X607,物料編碼!D:G,4,0)</f>
        <v>面精肉</v>
      </c>
      <c r="Z607" t="str">
        <f>VLOOKUP(C607,客戶屬性1!A:C,2,0)</f>
        <v>信隆(亚洲)有限公司</v>
      </c>
      <c r="AA607">
        <f>IF(COUNTIF($O$1:O607,O607)=1,L607,0)</f>
        <v>6520</v>
      </c>
    </row>
    <row r="608" customHeight="1" spans="1:27">
      <c r="A608" s="21" t="s">
        <v>1241</v>
      </c>
      <c r="B608" s="21" t="s">
        <v>45</v>
      </c>
      <c r="C608" s="21" t="s">
        <v>46</v>
      </c>
      <c r="D608" s="21" t="s">
        <v>47</v>
      </c>
      <c r="E608" s="21" t="s">
        <v>48</v>
      </c>
      <c r="F608" s="21" t="s">
        <v>49</v>
      </c>
      <c r="G608" s="21" t="s">
        <v>50</v>
      </c>
      <c r="H608" s="21" t="s">
        <v>219</v>
      </c>
      <c r="I608" s="26">
        <v>1</v>
      </c>
      <c r="J608" s="26">
        <v>10</v>
      </c>
      <c r="K608" s="21" t="s">
        <v>52</v>
      </c>
      <c r="L608" s="27">
        <v>1040</v>
      </c>
      <c r="M608" s="21"/>
      <c r="N608" s="21"/>
      <c r="O608" s="21" t="s">
        <v>1242</v>
      </c>
      <c r="P608" s="21" t="s">
        <v>54</v>
      </c>
      <c r="Q608" s="28">
        <v>46163</v>
      </c>
      <c r="R608" s="29">
        <v>46163.433599537</v>
      </c>
      <c r="S608" s="21" t="s">
        <v>55</v>
      </c>
      <c r="T608" s="21"/>
      <c r="U608" s="21" t="s">
        <v>47</v>
      </c>
      <c r="V608" s="29">
        <v>46163.4335416667</v>
      </c>
      <c r="W608">
        <f>VLOOKUP(H608,物料編碼!A:B,2,0)</f>
        <v>1300501022</v>
      </c>
      <c r="X608">
        <v>1300501</v>
      </c>
      <c r="Y608" t="str">
        <f>VLOOKUP(X608,物料編碼!D:G,4,0)</f>
        <v>羊排</v>
      </c>
      <c r="Z608" t="str">
        <f>VLOOKUP(C608,客戶屬性1!A:C,2,0)</f>
        <v>明记冻肉</v>
      </c>
      <c r="AA608">
        <f>IF(COUNTIF($O$1:O608,O608)=1,L608,0)</f>
        <v>1040</v>
      </c>
    </row>
    <row r="609" customHeight="1" spans="1:27">
      <c r="A609" s="21" t="s">
        <v>1243</v>
      </c>
      <c r="B609" s="21" t="s">
        <v>45</v>
      </c>
      <c r="C609" s="21" t="s">
        <v>668</v>
      </c>
      <c r="D609" s="21" t="s">
        <v>669</v>
      </c>
      <c r="E609" s="21" t="s">
        <v>670</v>
      </c>
      <c r="F609" s="21" t="s">
        <v>49</v>
      </c>
      <c r="G609" s="21" t="s">
        <v>50</v>
      </c>
      <c r="H609" s="21" t="s">
        <v>63</v>
      </c>
      <c r="I609" s="26">
        <v>1</v>
      </c>
      <c r="J609" s="26">
        <v>25</v>
      </c>
      <c r="K609" s="21" t="s">
        <v>52</v>
      </c>
      <c r="L609" s="27">
        <v>815</v>
      </c>
      <c r="M609" s="21"/>
      <c r="N609" s="21"/>
      <c r="O609" s="21" t="s">
        <v>1244</v>
      </c>
      <c r="P609" s="21" t="s">
        <v>54</v>
      </c>
      <c r="Q609" s="28">
        <v>46163</v>
      </c>
      <c r="R609" s="29">
        <v>46163.4172569444</v>
      </c>
      <c r="S609" s="21" t="s">
        <v>673</v>
      </c>
      <c r="T609" s="21"/>
      <c r="U609" s="21" t="s">
        <v>669</v>
      </c>
      <c r="V609" s="29">
        <v>46163.4172222222</v>
      </c>
      <c r="W609">
        <f>VLOOKUP(H609,物料編碼!A:B,2,0)</f>
        <v>1300109002</v>
      </c>
      <c r="X609">
        <v>1300109</v>
      </c>
      <c r="Y609" t="str">
        <f>VLOOKUP(X609,物料編碼!D:G,4,0)</f>
        <v>面精肉</v>
      </c>
      <c r="Z609" t="str">
        <f>VLOOKUP(C609,客戶屬性1!A:C,2,0)</f>
        <v>皇品有限公司</v>
      </c>
      <c r="AA609">
        <f>IF(COUNTIF($O$1:O609,O609)=1,L609,0)</f>
        <v>815</v>
      </c>
    </row>
    <row r="610" customHeight="1" spans="1:27">
      <c r="A610" s="21" t="s">
        <v>1245</v>
      </c>
      <c r="B610" s="21" t="s">
        <v>45</v>
      </c>
      <c r="C610" s="21" t="s">
        <v>383</v>
      </c>
      <c r="D610" s="21" t="s">
        <v>384</v>
      </c>
      <c r="E610" s="21" t="s">
        <v>385</v>
      </c>
      <c r="F610" s="21" t="s">
        <v>49</v>
      </c>
      <c r="G610" s="21" t="s">
        <v>50</v>
      </c>
      <c r="H610" s="21" t="s">
        <v>328</v>
      </c>
      <c r="I610" s="26">
        <v>5</v>
      </c>
      <c r="J610" s="26">
        <v>75</v>
      </c>
      <c r="K610" s="21" t="s">
        <v>52</v>
      </c>
      <c r="L610" s="27">
        <v>1107.75</v>
      </c>
      <c r="M610" s="21"/>
      <c r="N610" s="21"/>
      <c r="O610" s="21" t="s">
        <v>1246</v>
      </c>
      <c r="P610" s="21" t="s">
        <v>54</v>
      </c>
      <c r="Q610" s="28">
        <v>46163</v>
      </c>
      <c r="R610" s="29">
        <v>46163.4150231481</v>
      </c>
      <c r="S610" s="21" t="s">
        <v>387</v>
      </c>
      <c r="T610" s="21"/>
      <c r="U610" s="21" t="s">
        <v>384</v>
      </c>
      <c r="V610" s="29">
        <v>46163.4149884259</v>
      </c>
      <c r="W610">
        <f>VLOOKUP(H610,物料編碼!A:B,2,0)</f>
        <v>1300603038</v>
      </c>
      <c r="X610">
        <v>1300603</v>
      </c>
      <c r="Y610" t="str">
        <f>VLOOKUP(X610,物料編碼!D:G,4,0)</f>
        <v>帶骨全腿</v>
      </c>
      <c r="Z610" t="str">
        <f>VLOOKUP(C610,客戶屬性1!A:C,2,0)</f>
        <v>新协兴冻肉食品公司</v>
      </c>
      <c r="AA610">
        <f>IF(COUNTIF($O$1:O610,O610)=1,L610,0)</f>
        <v>1107.75</v>
      </c>
    </row>
    <row r="611" customHeight="1" spans="1:27">
      <c r="A611" s="21" t="s">
        <v>1247</v>
      </c>
      <c r="B611" s="21" t="s">
        <v>45</v>
      </c>
      <c r="C611" s="21" t="s">
        <v>390</v>
      </c>
      <c r="D611" s="21" t="s">
        <v>391</v>
      </c>
      <c r="E611" s="21" t="s">
        <v>392</v>
      </c>
      <c r="F611" s="21" t="s">
        <v>49</v>
      </c>
      <c r="G611" s="21" t="s">
        <v>89</v>
      </c>
      <c r="H611" s="21" t="s">
        <v>161</v>
      </c>
      <c r="I611" s="26">
        <v>5</v>
      </c>
      <c r="J611" s="26">
        <v>100</v>
      </c>
      <c r="K611" s="21" t="s">
        <v>52</v>
      </c>
      <c r="L611" s="27">
        <v>9600</v>
      </c>
      <c r="M611" s="21"/>
      <c r="N611" s="21"/>
      <c r="O611" s="21" t="s">
        <v>1248</v>
      </c>
      <c r="P611" s="21" t="s">
        <v>54</v>
      </c>
      <c r="Q611" s="28">
        <v>46168</v>
      </c>
      <c r="R611" s="29">
        <v>46163.3888310185</v>
      </c>
      <c r="S611" s="21" t="s">
        <v>395</v>
      </c>
      <c r="T611" s="21"/>
      <c r="U611" s="21" t="s">
        <v>392</v>
      </c>
      <c r="V611" s="29">
        <v>46163.3887962963</v>
      </c>
      <c r="W611">
        <f>VLOOKUP(H611,物料編碼!A:B,2,0)</f>
        <v>1300501020</v>
      </c>
      <c r="X611">
        <v>1300501</v>
      </c>
      <c r="Y611" t="str">
        <f>VLOOKUP(X611,物料編碼!D:G,4,0)</f>
        <v>羊排</v>
      </c>
      <c r="Z611" t="str">
        <f>VLOOKUP(C611,客戶屬性1!A:C,2,0)</f>
        <v>美亚食品贸易有限公司</v>
      </c>
      <c r="AA611">
        <f>IF(COUNTIF($O$1:O611,O611)=1,L611,0)</f>
        <v>9600</v>
      </c>
    </row>
    <row r="612" customHeight="1" spans="1:27">
      <c r="A612" s="21" t="s">
        <v>1249</v>
      </c>
      <c r="B612" s="21" t="s">
        <v>45</v>
      </c>
      <c r="C612" s="21" t="s">
        <v>126</v>
      </c>
      <c r="D612" s="21" t="s">
        <v>127</v>
      </c>
      <c r="E612" s="21" t="s">
        <v>128</v>
      </c>
      <c r="F612" s="21" t="s">
        <v>49</v>
      </c>
      <c r="G612" s="21" t="s">
        <v>129</v>
      </c>
      <c r="H612" s="21" t="s">
        <v>117</v>
      </c>
      <c r="I612" s="26">
        <v>20</v>
      </c>
      <c r="J612" s="26">
        <v>300</v>
      </c>
      <c r="K612" s="21" t="s">
        <v>52</v>
      </c>
      <c r="L612" s="27">
        <v>11049</v>
      </c>
      <c r="M612" s="21"/>
      <c r="N612" s="21"/>
      <c r="O612" s="21" t="s">
        <v>1250</v>
      </c>
      <c r="P612" s="21" t="s">
        <v>54</v>
      </c>
      <c r="Q612" s="28">
        <v>46163</v>
      </c>
      <c r="R612" s="29">
        <v>46163.3772453704</v>
      </c>
      <c r="S612" s="21" t="s">
        <v>131</v>
      </c>
      <c r="T612" s="21"/>
      <c r="U612" s="21" t="s">
        <v>127</v>
      </c>
      <c r="V612" s="29">
        <v>46163.3771875</v>
      </c>
      <c r="W612">
        <f>VLOOKUP(H612,物料編碼!A:B,2,0)</f>
        <v>1300607015</v>
      </c>
      <c r="X612">
        <v>1300607</v>
      </c>
      <c r="Y612" t="str">
        <f>VLOOKUP(X612,物料編碼!D:G,4,0)</f>
        <v>帶皮腿扒</v>
      </c>
      <c r="Z612" t="str">
        <f>VLOOKUP(C612,客戶屬性1!A:C,2,0)</f>
        <v>福源食品有限公司</v>
      </c>
      <c r="AA612">
        <f>IF(COUNTIF($O$1:O612,O612)=1,L612,0)</f>
        <v>11049</v>
      </c>
    </row>
    <row r="613" customHeight="1" spans="1:27">
      <c r="A613" s="21" t="s">
        <v>1249</v>
      </c>
      <c r="B613" s="21" t="s">
        <v>45</v>
      </c>
      <c r="C613" s="21" t="s">
        <v>126</v>
      </c>
      <c r="D613" s="21" t="s">
        <v>127</v>
      </c>
      <c r="E613" s="21" t="s">
        <v>128</v>
      </c>
      <c r="F613" s="21" t="s">
        <v>49</v>
      </c>
      <c r="G613" s="21" t="s">
        <v>129</v>
      </c>
      <c r="H613" s="21" t="s">
        <v>75</v>
      </c>
      <c r="I613" s="26">
        <v>20</v>
      </c>
      <c r="J613" s="26">
        <v>300</v>
      </c>
      <c r="K613" s="21" t="s">
        <v>52</v>
      </c>
      <c r="L613" s="27">
        <v>11049</v>
      </c>
      <c r="M613" s="21"/>
      <c r="N613" s="21"/>
      <c r="O613" s="21" t="s">
        <v>1250</v>
      </c>
      <c r="P613" s="21" t="s">
        <v>54</v>
      </c>
      <c r="Q613" s="28">
        <v>46163</v>
      </c>
      <c r="R613" s="29">
        <v>46163.3772453704</v>
      </c>
      <c r="S613" s="21" t="s">
        <v>131</v>
      </c>
      <c r="T613" s="21"/>
      <c r="U613" s="21" t="s">
        <v>127</v>
      </c>
      <c r="V613" s="29">
        <v>46163.3771875</v>
      </c>
      <c r="W613">
        <f>VLOOKUP(H613,物料編碼!A:B,2,0)</f>
        <v>1300603040</v>
      </c>
      <c r="X613">
        <v>1300603</v>
      </c>
      <c r="Y613" t="str">
        <f>VLOOKUP(X613,物料編碼!D:G,4,0)</f>
        <v>帶骨全腿</v>
      </c>
      <c r="Z613" t="str">
        <f>VLOOKUP(C613,客戶屬性1!A:C,2,0)</f>
        <v>福源食品有限公司</v>
      </c>
      <c r="AA613">
        <f>IF(COUNTIF($O$1:O613,O613)=1,L613,0)</f>
        <v>0</v>
      </c>
    </row>
    <row r="614" customHeight="1" spans="1:27">
      <c r="A614" s="21" t="s">
        <v>1249</v>
      </c>
      <c r="B614" s="21" t="s">
        <v>45</v>
      </c>
      <c r="C614" s="21" t="s">
        <v>126</v>
      </c>
      <c r="D614" s="21" t="s">
        <v>127</v>
      </c>
      <c r="E614" s="21" t="s">
        <v>128</v>
      </c>
      <c r="F614" s="21" t="s">
        <v>49</v>
      </c>
      <c r="G614" s="21" t="s">
        <v>129</v>
      </c>
      <c r="H614" s="21" t="s">
        <v>190</v>
      </c>
      <c r="I614" s="26">
        <v>15</v>
      </c>
      <c r="J614" s="26">
        <v>180</v>
      </c>
      <c r="K614" s="21" t="s">
        <v>52</v>
      </c>
      <c r="L614" s="27">
        <v>11049</v>
      </c>
      <c r="M614" s="21"/>
      <c r="N614" s="21"/>
      <c r="O614" s="21" t="s">
        <v>1250</v>
      </c>
      <c r="P614" s="21" t="s">
        <v>54</v>
      </c>
      <c r="Q614" s="28">
        <v>46163</v>
      </c>
      <c r="R614" s="29">
        <v>46163.3772453704</v>
      </c>
      <c r="S614" s="21" t="s">
        <v>131</v>
      </c>
      <c r="T614" s="21"/>
      <c r="U614" s="21" t="s">
        <v>127</v>
      </c>
      <c r="V614" s="29">
        <v>46163.3771875</v>
      </c>
      <c r="W614">
        <f>VLOOKUP(H614,物料編碼!A:B,2,0)</f>
        <v>1300609001</v>
      </c>
      <c r="X614">
        <v>1300609</v>
      </c>
      <c r="Y614" t="str">
        <f>VLOOKUP(X614,物料編碼!D:G,4,0)</f>
        <v>去皮上腿肉</v>
      </c>
      <c r="Z614" t="str">
        <f>VLOOKUP(C614,客戶屬性1!A:C,2,0)</f>
        <v>福源食品有限公司</v>
      </c>
      <c r="AA614">
        <f>IF(COUNTIF($O$1:O614,O614)=1,L614,0)</f>
        <v>0</v>
      </c>
    </row>
    <row r="615" customHeight="1" spans="1:27">
      <c r="A615" s="21" t="s">
        <v>1251</v>
      </c>
      <c r="B615" s="21" t="s">
        <v>45</v>
      </c>
      <c r="C615" s="21" t="s">
        <v>825</v>
      </c>
      <c r="D615" s="21" t="s">
        <v>826</v>
      </c>
      <c r="E615" s="21" t="s">
        <v>827</v>
      </c>
      <c r="F615" s="21" t="s">
        <v>49</v>
      </c>
      <c r="G615" s="21" t="s">
        <v>136</v>
      </c>
      <c r="H615" s="21" t="s">
        <v>111</v>
      </c>
      <c r="I615" s="26">
        <v>2</v>
      </c>
      <c r="J615" s="27">
        <v>64</v>
      </c>
      <c r="K615" s="21" t="s">
        <v>112</v>
      </c>
      <c r="L615" s="27">
        <v>441.6</v>
      </c>
      <c r="M615" s="21"/>
      <c r="N615" s="21"/>
      <c r="O615" s="21" t="s">
        <v>1252</v>
      </c>
      <c r="P615" s="21" t="s">
        <v>54</v>
      </c>
      <c r="Q615" s="28">
        <v>46163</v>
      </c>
      <c r="R615" s="29">
        <v>46162.6462152778</v>
      </c>
      <c r="S615" s="21" t="s">
        <v>829</v>
      </c>
      <c r="T615" s="21"/>
      <c r="U615" s="21" t="s">
        <v>826</v>
      </c>
      <c r="V615" s="29">
        <v>46162.6461574074</v>
      </c>
      <c r="W615">
        <f>VLOOKUP(H615,物料編碼!A:B,2,0)</f>
        <v>1310501001</v>
      </c>
      <c r="X615">
        <v>1310501</v>
      </c>
      <c r="Y615" t="str">
        <f>VLOOKUP(X615,物料編碼!D:G,4,0)</f>
        <v>腸類.雞肉腸</v>
      </c>
      <c r="Z615" t="str">
        <f>VLOOKUP(C615,客戶屬性1!A:C,2,0)</f>
        <v>鸿兴食品供应有限公司</v>
      </c>
      <c r="AA615">
        <f>IF(COUNTIF($O$1:O615,O615)=1,L615,0)</f>
        <v>441.6</v>
      </c>
    </row>
    <row r="616" customHeight="1" spans="1:27">
      <c r="A616" s="21" t="s">
        <v>1253</v>
      </c>
      <c r="B616" s="21" t="s">
        <v>45</v>
      </c>
      <c r="C616" s="21" t="s">
        <v>668</v>
      </c>
      <c r="D616" s="21" t="s">
        <v>669</v>
      </c>
      <c r="E616" s="21" t="s">
        <v>670</v>
      </c>
      <c r="F616" s="21" t="s">
        <v>49</v>
      </c>
      <c r="G616" s="21" t="s">
        <v>50</v>
      </c>
      <c r="H616" s="21" t="s">
        <v>890</v>
      </c>
      <c r="I616" s="26">
        <v>1</v>
      </c>
      <c r="J616" s="26">
        <v>15</v>
      </c>
      <c r="K616" s="21" t="s">
        <v>52</v>
      </c>
      <c r="L616" s="27">
        <v>211.65</v>
      </c>
      <c r="M616" s="21"/>
      <c r="N616" s="21"/>
      <c r="O616" s="21" t="s">
        <v>1254</v>
      </c>
      <c r="P616" s="21" t="s">
        <v>54</v>
      </c>
      <c r="Q616" s="28">
        <v>46163</v>
      </c>
      <c r="R616" s="29">
        <v>46162.6263657407</v>
      </c>
      <c r="S616" s="21" t="s">
        <v>673</v>
      </c>
      <c r="T616" s="21"/>
      <c r="U616" s="21" t="s">
        <v>669</v>
      </c>
      <c r="V616" s="29">
        <v>46162.6263310185</v>
      </c>
      <c r="W616">
        <f>VLOOKUP(H616,物料編碼!A:B,2,0)</f>
        <v>1300603106</v>
      </c>
      <c r="X616">
        <v>1300603</v>
      </c>
      <c r="Y616" t="str">
        <f>VLOOKUP(X616,物料編碼!D:G,4,0)</f>
        <v>帶骨全腿</v>
      </c>
      <c r="Z616" t="str">
        <f>VLOOKUP(C616,客戶屬性1!A:C,2,0)</f>
        <v>皇品有限公司</v>
      </c>
      <c r="AA616">
        <f>IF(COUNTIF($O$1:O616,O616)=1,L616,0)</f>
        <v>211.65</v>
      </c>
    </row>
    <row r="617" customHeight="1" spans="1:27">
      <c r="A617" s="21" t="s">
        <v>1255</v>
      </c>
      <c r="B617" s="21" t="s">
        <v>45</v>
      </c>
      <c r="C617" s="21" t="s">
        <v>668</v>
      </c>
      <c r="D617" s="21" t="s">
        <v>669</v>
      </c>
      <c r="E617" s="21" t="s">
        <v>670</v>
      </c>
      <c r="F617" s="21" t="s">
        <v>49</v>
      </c>
      <c r="G617" s="21" t="s">
        <v>50</v>
      </c>
      <c r="H617" s="21" t="s">
        <v>117</v>
      </c>
      <c r="I617" s="26">
        <v>4</v>
      </c>
      <c r="J617" s="26">
        <v>60</v>
      </c>
      <c r="K617" s="21" t="s">
        <v>52</v>
      </c>
      <c r="L617" s="27">
        <v>886.8</v>
      </c>
      <c r="M617" s="21"/>
      <c r="N617" s="21"/>
      <c r="O617" s="21" t="s">
        <v>1256</v>
      </c>
      <c r="P617" s="21" t="s">
        <v>54</v>
      </c>
      <c r="Q617" s="28">
        <v>46163</v>
      </c>
      <c r="R617" s="29">
        <v>46162.6209143518</v>
      </c>
      <c r="S617" s="21" t="s">
        <v>673</v>
      </c>
      <c r="T617" s="21"/>
      <c r="U617" s="21" t="s">
        <v>669</v>
      </c>
      <c r="V617" s="29">
        <v>46162.6208680556</v>
      </c>
      <c r="W617">
        <f>VLOOKUP(H617,物料編碼!A:B,2,0)</f>
        <v>1300607015</v>
      </c>
      <c r="X617">
        <v>1300607</v>
      </c>
      <c r="Y617" t="str">
        <f>VLOOKUP(X617,物料編碼!D:G,4,0)</f>
        <v>帶皮腿扒</v>
      </c>
      <c r="Z617" t="str">
        <f>VLOOKUP(C617,客戶屬性1!A:C,2,0)</f>
        <v>皇品有限公司</v>
      </c>
      <c r="AA617">
        <f>IF(COUNTIF($O$1:O617,O617)=1,L617,0)</f>
        <v>886.8</v>
      </c>
    </row>
    <row r="618" customHeight="1" spans="1:27">
      <c r="A618" s="21" t="s">
        <v>1257</v>
      </c>
      <c r="B618" s="21" t="s">
        <v>45</v>
      </c>
      <c r="C618" s="21" t="s">
        <v>141</v>
      </c>
      <c r="D618" s="21" t="s">
        <v>142</v>
      </c>
      <c r="E618" s="21" t="s">
        <v>142</v>
      </c>
      <c r="F618" s="21" t="s">
        <v>143</v>
      </c>
      <c r="G618" s="21" t="s">
        <v>100</v>
      </c>
      <c r="H618" s="21" t="s">
        <v>146</v>
      </c>
      <c r="I618" s="26">
        <v>2</v>
      </c>
      <c r="J618" s="26">
        <v>30</v>
      </c>
      <c r="K618" s="21" t="s">
        <v>52</v>
      </c>
      <c r="L618" s="27">
        <v>1042.2</v>
      </c>
      <c r="M618" s="21"/>
      <c r="N618" s="21"/>
      <c r="O618" s="21" t="s">
        <v>1258</v>
      </c>
      <c r="P618" s="21" t="s">
        <v>54</v>
      </c>
      <c r="Q618" s="28">
        <v>46163</v>
      </c>
      <c r="R618" s="29">
        <v>46162.4866898148</v>
      </c>
      <c r="S618" s="21" t="s">
        <v>145</v>
      </c>
      <c r="T618" s="21"/>
      <c r="U618" s="21" t="s">
        <v>142</v>
      </c>
      <c r="V618" s="29">
        <v>46162.4866319444</v>
      </c>
      <c r="W618">
        <f>VLOOKUP(H618,物料編碼!A:B,2,0)</f>
        <v>1300603041</v>
      </c>
      <c r="X618">
        <v>1300603</v>
      </c>
      <c r="Y618" t="str">
        <f>VLOOKUP(X618,物料編碼!D:G,4,0)</f>
        <v>帶骨全腿</v>
      </c>
      <c r="Z618" t="str">
        <f>VLOOKUP(C618,客戶屬性1!A:C,2,0)</f>
        <v>新昌冻肉</v>
      </c>
      <c r="AA618">
        <f>IF(COUNTIF($O$1:O618,O618)=1,L618,0)</f>
        <v>1042.2</v>
      </c>
    </row>
    <row r="619" customHeight="1" spans="1:27">
      <c r="A619" s="21" t="s">
        <v>1257</v>
      </c>
      <c r="B619" s="21" t="s">
        <v>45</v>
      </c>
      <c r="C619" s="21" t="s">
        <v>141</v>
      </c>
      <c r="D619" s="21" t="s">
        <v>142</v>
      </c>
      <c r="E619" s="21" t="s">
        <v>142</v>
      </c>
      <c r="F619" s="21" t="s">
        <v>143</v>
      </c>
      <c r="G619" s="21" t="s">
        <v>100</v>
      </c>
      <c r="H619" s="21" t="s">
        <v>117</v>
      </c>
      <c r="I619" s="26">
        <v>3</v>
      </c>
      <c r="J619" s="26">
        <v>45</v>
      </c>
      <c r="K619" s="21" t="s">
        <v>52</v>
      </c>
      <c r="L619" s="27">
        <v>1042.2</v>
      </c>
      <c r="M619" s="21"/>
      <c r="N619" s="21"/>
      <c r="O619" s="21" t="s">
        <v>1258</v>
      </c>
      <c r="P619" s="21" t="s">
        <v>54</v>
      </c>
      <c r="Q619" s="28">
        <v>46163</v>
      </c>
      <c r="R619" s="29">
        <v>46162.4866898148</v>
      </c>
      <c r="S619" s="21" t="s">
        <v>145</v>
      </c>
      <c r="T619" s="21"/>
      <c r="U619" s="21" t="s">
        <v>142</v>
      </c>
      <c r="V619" s="29">
        <v>46162.4866319444</v>
      </c>
      <c r="W619">
        <f>VLOOKUP(H619,物料編碼!A:B,2,0)</f>
        <v>1300607015</v>
      </c>
      <c r="X619">
        <v>1300607</v>
      </c>
      <c r="Y619" t="str">
        <f>VLOOKUP(X619,物料編碼!D:G,4,0)</f>
        <v>帶皮腿扒</v>
      </c>
      <c r="Z619" t="str">
        <f>VLOOKUP(C619,客戶屬性1!A:C,2,0)</f>
        <v>新昌冻肉</v>
      </c>
      <c r="AA619">
        <f>IF(COUNTIF($O$1:O619,O619)=1,L619,0)</f>
        <v>0</v>
      </c>
    </row>
    <row r="620" customHeight="1" spans="1:27">
      <c r="A620" s="21" t="s">
        <v>1259</v>
      </c>
      <c r="B620" s="21" t="s">
        <v>45</v>
      </c>
      <c r="C620" s="21" t="s">
        <v>141</v>
      </c>
      <c r="D620" s="21" t="s">
        <v>142</v>
      </c>
      <c r="E620" s="21" t="s">
        <v>142</v>
      </c>
      <c r="F620" s="21" t="s">
        <v>143</v>
      </c>
      <c r="G620" s="21" t="s">
        <v>100</v>
      </c>
      <c r="H620" s="21" t="s">
        <v>168</v>
      </c>
      <c r="I620" s="26">
        <v>2</v>
      </c>
      <c r="J620" s="26">
        <v>20</v>
      </c>
      <c r="K620" s="21" t="s">
        <v>52</v>
      </c>
      <c r="L620" s="27">
        <v>194</v>
      </c>
      <c r="M620" s="21"/>
      <c r="N620" s="21"/>
      <c r="O620" s="21" t="s">
        <v>1260</v>
      </c>
      <c r="P620" s="21" t="s">
        <v>54</v>
      </c>
      <c r="Q620" s="28">
        <v>46163</v>
      </c>
      <c r="R620" s="29">
        <v>46162.4852314815</v>
      </c>
      <c r="S620" s="21" t="s">
        <v>145</v>
      </c>
      <c r="T620" s="21"/>
      <c r="U620" s="21" t="s">
        <v>142</v>
      </c>
      <c r="V620" s="29">
        <v>46162.4851851852</v>
      </c>
      <c r="W620">
        <f>VLOOKUP(H620,物料編碼!A:B,2,0)</f>
        <v>1300627002</v>
      </c>
      <c r="X620">
        <v>1300627</v>
      </c>
      <c r="Y620" t="str">
        <f>VLOOKUP(X620,物料編碼!D:G,4,0)</f>
        <v>翅尖</v>
      </c>
      <c r="Z620" t="str">
        <f>VLOOKUP(C620,客戶屬性1!A:C,2,0)</f>
        <v>新昌冻肉</v>
      </c>
      <c r="AA620">
        <f>IF(COUNTIF($O$1:O620,O620)=1,L620,0)</f>
        <v>194</v>
      </c>
    </row>
    <row r="621" customHeight="1" spans="1:27">
      <c r="A621" s="21" t="s">
        <v>1261</v>
      </c>
      <c r="B621" s="21" t="s">
        <v>45</v>
      </c>
      <c r="C621" s="21" t="s">
        <v>197</v>
      </c>
      <c r="D621" s="21" t="s">
        <v>198</v>
      </c>
      <c r="E621" s="21" t="s">
        <v>199</v>
      </c>
      <c r="F621" s="21" t="s">
        <v>49</v>
      </c>
      <c r="G621" s="21" t="s">
        <v>136</v>
      </c>
      <c r="H621" s="21" t="s">
        <v>161</v>
      </c>
      <c r="I621" s="26">
        <v>10</v>
      </c>
      <c r="J621" s="26">
        <v>200</v>
      </c>
      <c r="K621" s="21" t="s">
        <v>52</v>
      </c>
      <c r="L621" s="27">
        <v>18600</v>
      </c>
      <c r="M621" s="21"/>
      <c r="N621" s="21"/>
      <c r="O621" s="21" t="s">
        <v>1262</v>
      </c>
      <c r="P621" s="21" t="s">
        <v>54</v>
      </c>
      <c r="Q621" s="28">
        <v>46163</v>
      </c>
      <c r="R621" s="29">
        <v>46162.4765046296</v>
      </c>
      <c r="S621" s="21" t="s">
        <v>202</v>
      </c>
      <c r="T621" s="21"/>
      <c r="U621" s="21" t="s">
        <v>203</v>
      </c>
      <c r="V621" s="29">
        <v>46162.4763425926</v>
      </c>
      <c r="W621">
        <f>VLOOKUP(H621,物料編碼!A:B,2,0)</f>
        <v>1300501020</v>
      </c>
      <c r="X621">
        <v>1300501</v>
      </c>
      <c r="Y621" t="str">
        <f>VLOOKUP(X621,物料編碼!D:G,4,0)</f>
        <v>羊排</v>
      </c>
      <c r="Z621" t="str">
        <f>VLOOKUP(C621,客戶屬性1!A:C,2,0)</f>
        <v>信隆(亚洲)有限公司</v>
      </c>
      <c r="AA621">
        <f>IF(COUNTIF($O$1:O621,O621)=1,L621,0)</f>
        <v>18600</v>
      </c>
    </row>
    <row r="622" customHeight="1" spans="1:27">
      <c r="A622" s="21" t="s">
        <v>1263</v>
      </c>
      <c r="B622" s="21" t="s">
        <v>45</v>
      </c>
      <c r="C622" s="21" t="s">
        <v>72</v>
      </c>
      <c r="D622" s="21" t="s">
        <v>73</v>
      </c>
      <c r="E622" s="21" t="s">
        <v>74</v>
      </c>
      <c r="F622" s="21" t="s">
        <v>49</v>
      </c>
      <c r="G622" s="21" t="s">
        <v>50</v>
      </c>
      <c r="H622" s="21" t="s">
        <v>78</v>
      </c>
      <c r="I622" s="26">
        <v>2</v>
      </c>
      <c r="J622" s="26">
        <v>30</v>
      </c>
      <c r="K622" s="21" t="s">
        <v>52</v>
      </c>
      <c r="L622" s="27">
        <v>443.4</v>
      </c>
      <c r="M622" s="21"/>
      <c r="N622" s="21"/>
      <c r="O622" s="21" t="s">
        <v>1264</v>
      </c>
      <c r="P622" s="21" t="s">
        <v>54</v>
      </c>
      <c r="Q622" s="28">
        <v>46163</v>
      </c>
      <c r="R622" s="29">
        <v>46162.4746296296</v>
      </c>
      <c r="S622" s="21" t="s">
        <v>77</v>
      </c>
      <c r="T622" s="21"/>
      <c r="U622" s="21" t="s">
        <v>74</v>
      </c>
      <c r="V622" s="29">
        <v>46162.4745833333</v>
      </c>
      <c r="W622">
        <f>VLOOKUP(H622,物料編碼!A:B,2,0)</f>
        <v>1300607014</v>
      </c>
      <c r="X622">
        <v>1300607</v>
      </c>
      <c r="Y622" t="str">
        <f>VLOOKUP(X622,物料編碼!D:G,4,0)</f>
        <v>帶皮腿扒</v>
      </c>
      <c r="Z622" t="str">
        <f>VLOOKUP(C622,客戶屬性1!A:C,2,0)</f>
        <v>恒辉贸易公司</v>
      </c>
      <c r="AA622">
        <f>IF(COUNTIF($O$1:O622,O622)=1,L622,0)</f>
        <v>443.4</v>
      </c>
    </row>
    <row r="623" customHeight="1" spans="1:27">
      <c r="A623" s="21" t="s">
        <v>1265</v>
      </c>
      <c r="B623" s="21" t="s">
        <v>45</v>
      </c>
      <c r="C623" s="21" t="s">
        <v>72</v>
      </c>
      <c r="D623" s="21" t="s">
        <v>73</v>
      </c>
      <c r="E623" s="21" t="s">
        <v>74</v>
      </c>
      <c r="F623" s="21" t="s">
        <v>49</v>
      </c>
      <c r="G623" s="21" t="s">
        <v>50</v>
      </c>
      <c r="H623" s="21" t="s">
        <v>190</v>
      </c>
      <c r="I623" s="26">
        <v>8</v>
      </c>
      <c r="J623" s="26">
        <v>96</v>
      </c>
      <c r="K623" s="21" t="s">
        <v>52</v>
      </c>
      <c r="L623" s="27">
        <v>1516.8</v>
      </c>
      <c r="M623" s="21"/>
      <c r="N623" s="21"/>
      <c r="O623" s="21" t="s">
        <v>1266</v>
      </c>
      <c r="P623" s="21" t="s">
        <v>54</v>
      </c>
      <c r="Q623" s="28">
        <v>46162</v>
      </c>
      <c r="R623" s="29">
        <v>46162.3896180556</v>
      </c>
      <c r="S623" s="21" t="s">
        <v>77</v>
      </c>
      <c r="T623" s="21"/>
      <c r="U623" s="21" t="s">
        <v>74</v>
      </c>
      <c r="V623" s="29">
        <v>46162.3895601852</v>
      </c>
      <c r="W623">
        <f>VLOOKUP(H623,物料編碼!A:B,2,0)</f>
        <v>1300609001</v>
      </c>
      <c r="X623">
        <v>1300609</v>
      </c>
      <c r="Y623" t="str">
        <f>VLOOKUP(X623,物料編碼!D:G,4,0)</f>
        <v>去皮上腿肉</v>
      </c>
      <c r="Z623" t="str">
        <f>VLOOKUP(C623,客戶屬性1!A:C,2,0)</f>
        <v>恒辉贸易公司</v>
      </c>
      <c r="AA623">
        <f>IF(COUNTIF($O$1:O623,O623)=1,L623,0)</f>
        <v>1516.8</v>
      </c>
    </row>
    <row r="624" customHeight="1" spans="1:27">
      <c r="A624" s="21" t="s">
        <v>1267</v>
      </c>
      <c r="B624" s="21" t="s">
        <v>45</v>
      </c>
      <c r="C624" s="21" t="s">
        <v>57</v>
      </c>
      <c r="D624" s="21" t="s">
        <v>58</v>
      </c>
      <c r="E624" s="21" t="s">
        <v>59</v>
      </c>
      <c r="F624" s="21" t="s">
        <v>49</v>
      </c>
      <c r="G624" s="21" t="s">
        <v>50</v>
      </c>
      <c r="H624" s="21" t="s">
        <v>161</v>
      </c>
      <c r="I624" s="26">
        <v>1</v>
      </c>
      <c r="J624" s="26">
        <v>20</v>
      </c>
      <c r="K624" s="21" t="s">
        <v>52</v>
      </c>
      <c r="L624" s="27">
        <v>1860</v>
      </c>
      <c r="M624" s="21"/>
      <c r="N624" s="21"/>
      <c r="O624" s="21" t="s">
        <v>1268</v>
      </c>
      <c r="P624" s="21" t="s">
        <v>54</v>
      </c>
      <c r="Q624" s="28">
        <v>46163</v>
      </c>
      <c r="R624" s="29">
        <v>46162.3800694444</v>
      </c>
      <c r="S624" s="21" t="s">
        <v>62</v>
      </c>
      <c r="T624" s="21"/>
      <c r="U624" s="21" t="s">
        <v>59</v>
      </c>
      <c r="V624" s="29">
        <v>46162.3799884259</v>
      </c>
      <c r="W624">
        <f>VLOOKUP(H624,物料編碼!A:B,2,0)</f>
        <v>1300501020</v>
      </c>
      <c r="X624">
        <v>1300501</v>
      </c>
      <c r="Y624" t="str">
        <f>VLOOKUP(X624,物料編碼!D:G,4,0)</f>
        <v>羊排</v>
      </c>
      <c r="Z624" t="str">
        <f>VLOOKUP(C624,客戶屬性1!A:C,2,0)</f>
        <v>翎凰冻肉有限公司</v>
      </c>
      <c r="AA624">
        <f>IF(COUNTIF($O$1:O624,O624)=1,L624,0)</f>
        <v>1860</v>
      </c>
    </row>
    <row r="625" customHeight="1" spans="1:27">
      <c r="A625" s="21" t="s">
        <v>1269</v>
      </c>
      <c r="B625" s="21" t="s">
        <v>45</v>
      </c>
      <c r="C625" s="21" t="s">
        <v>331</v>
      </c>
      <c r="D625" s="21" t="s">
        <v>332</v>
      </c>
      <c r="E625" s="21" t="s">
        <v>333</v>
      </c>
      <c r="F625" s="21" t="s">
        <v>49</v>
      </c>
      <c r="G625" s="21" t="s">
        <v>136</v>
      </c>
      <c r="H625" s="21" t="s">
        <v>219</v>
      </c>
      <c r="I625" s="26">
        <v>1</v>
      </c>
      <c r="J625" s="26">
        <v>10</v>
      </c>
      <c r="K625" s="21" t="s">
        <v>52</v>
      </c>
      <c r="L625" s="27">
        <v>1040</v>
      </c>
      <c r="M625" s="21"/>
      <c r="N625" s="21"/>
      <c r="O625" s="21" t="s">
        <v>1270</v>
      </c>
      <c r="P625" s="21" t="s">
        <v>54</v>
      </c>
      <c r="Q625" s="28">
        <v>46162</v>
      </c>
      <c r="R625" s="29">
        <v>46161.8110416667</v>
      </c>
      <c r="S625" s="21" t="s">
        <v>335</v>
      </c>
      <c r="T625" s="21"/>
      <c r="U625" s="21" t="s">
        <v>332</v>
      </c>
      <c r="V625" s="29">
        <v>46161.8109953704</v>
      </c>
      <c r="W625">
        <f>VLOOKUP(H625,物料編碼!A:B,2,0)</f>
        <v>1300501022</v>
      </c>
      <c r="X625">
        <v>1300501</v>
      </c>
      <c r="Y625" t="str">
        <f>VLOOKUP(X625,物料編碼!D:G,4,0)</f>
        <v>羊排</v>
      </c>
      <c r="Z625" t="str">
        <f>VLOOKUP(C625,客戶屬性1!A:C,2,0)</f>
        <v>天后肉食有限公司</v>
      </c>
      <c r="AA625">
        <f>IF(COUNTIF($O$1:O625,O625)=1,L625,0)</f>
        <v>1040</v>
      </c>
    </row>
    <row r="626" customHeight="1" spans="1:27">
      <c r="A626" s="21" t="s">
        <v>1271</v>
      </c>
      <c r="B626" s="21" t="s">
        <v>45</v>
      </c>
      <c r="C626" s="21" t="s">
        <v>141</v>
      </c>
      <c r="D626" s="21" t="s">
        <v>142</v>
      </c>
      <c r="E626" s="21" t="s">
        <v>142</v>
      </c>
      <c r="F626" s="21" t="s">
        <v>143</v>
      </c>
      <c r="G626" s="21" t="s">
        <v>100</v>
      </c>
      <c r="H626" s="21" t="s">
        <v>146</v>
      </c>
      <c r="I626" s="26">
        <v>2</v>
      </c>
      <c r="J626" s="26">
        <v>30</v>
      </c>
      <c r="K626" s="21" t="s">
        <v>52</v>
      </c>
      <c r="L626" s="27">
        <v>377.1</v>
      </c>
      <c r="M626" s="21"/>
      <c r="N626" s="21"/>
      <c r="O626" s="21" t="s">
        <v>1272</v>
      </c>
      <c r="P626" s="21" t="s">
        <v>54</v>
      </c>
      <c r="Q626" s="28">
        <v>46162</v>
      </c>
      <c r="R626" s="29">
        <v>46161.4824421296</v>
      </c>
      <c r="S626" s="21" t="s">
        <v>145</v>
      </c>
      <c r="T626" s="21"/>
      <c r="U626" s="21" t="s">
        <v>142</v>
      </c>
      <c r="V626" s="29">
        <v>46161.4823958333</v>
      </c>
      <c r="W626">
        <f>VLOOKUP(H626,物料編碼!A:B,2,0)</f>
        <v>1300603041</v>
      </c>
      <c r="X626">
        <v>1300603</v>
      </c>
      <c r="Y626" t="str">
        <f>VLOOKUP(X626,物料編碼!D:G,4,0)</f>
        <v>帶骨全腿</v>
      </c>
      <c r="Z626" t="str">
        <f>VLOOKUP(C626,客戶屬性1!A:C,2,0)</f>
        <v>新昌冻肉</v>
      </c>
      <c r="AA626">
        <f>IF(COUNTIF($O$1:O626,O626)=1,L626,0)</f>
        <v>377.1</v>
      </c>
    </row>
    <row r="627" customHeight="1" spans="1:27">
      <c r="A627" s="21" t="s">
        <v>1273</v>
      </c>
      <c r="B627" s="21" t="s">
        <v>45</v>
      </c>
      <c r="C627" s="21" t="s">
        <v>141</v>
      </c>
      <c r="D627" s="21" t="s">
        <v>142</v>
      </c>
      <c r="E627" s="21" t="s">
        <v>142</v>
      </c>
      <c r="F627" s="21" t="s">
        <v>143</v>
      </c>
      <c r="G627" s="21" t="s">
        <v>100</v>
      </c>
      <c r="H627" s="21" t="s">
        <v>168</v>
      </c>
      <c r="I627" s="26">
        <v>1</v>
      </c>
      <c r="J627" s="26">
        <v>10</v>
      </c>
      <c r="K627" s="21" t="s">
        <v>52</v>
      </c>
      <c r="L627" s="27">
        <v>1707.1</v>
      </c>
      <c r="M627" s="21"/>
      <c r="N627" s="21"/>
      <c r="O627" s="21" t="s">
        <v>1274</v>
      </c>
      <c r="P627" s="21" t="s">
        <v>54</v>
      </c>
      <c r="Q627" s="28">
        <v>46162</v>
      </c>
      <c r="R627" s="29">
        <v>46161.4814236111</v>
      </c>
      <c r="S627" s="21" t="s">
        <v>145</v>
      </c>
      <c r="T627" s="21"/>
      <c r="U627" s="21" t="s">
        <v>142</v>
      </c>
      <c r="V627" s="29">
        <v>46161.4813773148</v>
      </c>
      <c r="W627">
        <f>VLOOKUP(H627,物料編碼!A:B,2,0)</f>
        <v>1300627002</v>
      </c>
      <c r="X627">
        <v>1300627</v>
      </c>
      <c r="Y627" t="str">
        <f>VLOOKUP(X627,物料編碼!D:G,4,0)</f>
        <v>翅尖</v>
      </c>
      <c r="Z627" t="str">
        <f>VLOOKUP(C627,客戶屬性1!A:C,2,0)</f>
        <v>新昌冻肉</v>
      </c>
      <c r="AA627">
        <f>IF(COUNTIF($O$1:O627,O627)=1,L627,0)</f>
        <v>1707.1</v>
      </c>
    </row>
    <row r="628" customHeight="1" spans="1:27">
      <c r="A628" s="21" t="s">
        <v>1273</v>
      </c>
      <c r="B628" s="21" t="s">
        <v>45</v>
      </c>
      <c r="C628" s="21" t="s">
        <v>141</v>
      </c>
      <c r="D628" s="21" t="s">
        <v>142</v>
      </c>
      <c r="E628" s="21" t="s">
        <v>142</v>
      </c>
      <c r="F628" s="21" t="s">
        <v>143</v>
      </c>
      <c r="G628" s="21" t="s">
        <v>100</v>
      </c>
      <c r="H628" s="21" t="s">
        <v>60</v>
      </c>
      <c r="I628" s="26">
        <v>1</v>
      </c>
      <c r="J628" s="26">
        <v>25</v>
      </c>
      <c r="K628" s="21" t="s">
        <v>52</v>
      </c>
      <c r="L628" s="27">
        <v>1707.1</v>
      </c>
      <c r="M628" s="21"/>
      <c r="N628" s="21"/>
      <c r="O628" s="21" t="s">
        <v>1274</v>
      </c>
      <c r="P628" s="21" t="s">
        <v>54</v>
      </c>
      <c r="Q628" s="28">
        <v>46162</v>
      </c>
      <c r="R628" s="29">
        <v>46161.4814236111</v>
      </c>
      <c r="S628" s="21" t="s">
        <v>145</v>
      </c>
      <c r="T628" s="21"/>
      <c r="U628" s="21" t="s">
        <v>142</v>
      </c>
      <c r="V628" s="29">
        <v>46161.4813773148</v>
      </c>
      <c r="W628">
        <f>VLOOKUP(H628,物料編碼!A:B,2,0)</f>
        <v>1300101043</v>
      </c>
      <c r="X628">
        <v>1300101</v>
      </c>
      <c r="Y628" t="str">
        <f>VLOOKUP(X628,物料編碼!D:G,4,0)</f>
        <v>一號肉</v>
      </c>
      <c r="Z628" t="str">
        <f>VLOOKUP(C628,客戶屬性1!A:C,2,0)</f>
        <v>新昌冻肉</v>
      </c>
      <c r="AA628">
        <f>IF(COUNTIF($O$1:O628,O628)=1,L628,0)</f>
        <v>0</v>
      </c>
    </row>
    <row r="629" customHeight="1" spans="1:27">
      <c r="A629" s="21" t="s">
        <v>1273</v>
      </c>
      <c r="B629" s="21" t="s">
        <v>45</v>
      </c>
      <c r="C629" s="21" t="s">
        <v>141</v>
      </c>
      <c r="D629" s="21" t="s">
        <v>142</v>
      </c>
      <c r="E629" s="21" t="s">
        <v>142</v>
      </c>
      <c r="F629" s="21" t="s">
        <v>143</v>
      </c>
      <c r="G629" s="21" t="s">
        <v>100</v>
      </c>
      <c r="H629" s="21" t="s">
        <v>117</v>
      </c>
      <c r="I629" s="26">
        <v>3</v>
      </c>
      <c r="J629" s="26">
        <v>45</v>
      </c>
      <c r="K629" s="21" t="s">
        <v>52</v>
      </c>
      <c r="L629" s="27">
        <v>1707.1</v>
      </c>
      <c r="M629" s="21"/>
      <c r="N629" s="21"/>
      <c r="O629" s="21" t="s">
        <v>1274</v>
      </c>
      <c r="P629" s="21" t="s">
        <v>54</v>
      </c>
      <c r="Q629" s="28">
        <v>46162</v>
      </c>
      <c r="R629" s="29">
        <v>46161.4814236111</v>
      </c>
      <c r="S629" s="21" t="s">
        <v>145</v>
      </c>
      <c r="T629" s="21"/>
      <c r="U629" s="21" t="s">
        <v>142</v>
      </c>
      <c r="V629" s="29">
        <v>46161.4813773148</v>
      </c>
      <c r="W629">
        <f>VLOOKUP(H629,物料編碼!A:B,2,0)</f>
        <v>1300607015</v>
      </c>
      <c r="X629">
        <v>1300607</v>
      </c>
      <c r="Y629" t="str">
        <f>VLOOKUP(X629,物料編碼!D:G,4,0)</f>
        <v>帶皮腿扒</v>
      </c>
      <c r="Z629" t="str">
        <f>VLOOKUP(C629,客戶屬性1!A:C,2,0)</f>
        <v>新昌冻肉</v>
      </c>
      <c r="AA629">
        <f>IF(COUNTIF($O$1:O629,O629)=1,L629,0)</f>
        <v>0</v>
      </c>
    </row>
    <row r="630" customHeight="1" spans="1:27">
      <c r="A630" s="21" t="s">
        <v>1275</v>
      </c>
      <c r="B630" s="21" t="s">
        <v>45</v>
      </c>
      <c r="C630" s="21" t="s">
        <v>72</v>
      </c>
      <c r="D630" s="21" t="s">
        <v>73</v>
      </c>
      <c r="E630" s="21" t="s">
        <v>74</v>
      </c>
      <c r="F630" s="21" t="s">
        <v>49</v>
      </c>
      <c r="G630" s="21" t="s">
        <v>50</v>
      </c>
      <c r="H630" s="21" t="s">
        <v>75</v>
      </c>
      <c r="I630" s="26">
        <v>1</v>
      </c>
      <c r="J630" s="26">
        <v>15</v>
      </c>
      <c r="K630" s="21" t="s">
        <v>52</v>
      </c>
      <c r="L630" s="27">
        <v>188.55</v>
      </c>
      <c r="M630" s="21"/>
      <c r="N630" s="21"/>
      <c r="O630" s="21" t="s">
        <v>1276</v>
      </c>
      <c r="P630" s="21" t="s">
        <v>54</v>
      </c>
      <c r="Q630" s="28">
        <v>46162</v>
      </c>
      <c r="R630" s="29">
        <v>46161.4589814815</v>
      </c>
      <c r="S630" s="21" t="s">
        <v>77</v>
      </c>
      <c r="T630" s="21"/>
      <c r="U630" s="21" t="s">
        <v>74</v>
      </c>
      <c r="V630" s="29">
        <v>46161.4589351852</v>
      </c>
      <c r="W630">
        <f>VLOOKUP(H630,物料編碼!A:B,2,0)</f>
        <v>1300603040</v>
      </c>
      <c r="X630">
        <v>1300603</v>
      </c>
      <c r="Y630" t="str">
        <f>VLOOKUP(X630,物料編碼!D:G,4,0)</f>
        <v>帶骨全腿</v>
      </c>
      <c r="Z630" t="str">
        <f>VLOOKUP(C630,客戶屬性1!A:C,2,0)</f>
        <v>恒辉贸易公司</v>
      </c>
      <c r="AA630">
        <f>IF(COUNTIF($O$1:O630,O630)=1,L630,0)</f>
        <v>188.55</v>
      </c>
    </row>
    <row r="631" customHeight="1" spans="1:27">
      <c r="A631" s="21" t="s">
        <v>1277</v>
      </c>
      <c r="B631" s="21" t="s">
        <v>45</v>
      </c>
      <c r="C631" s="21" t="s">
        <v>644</v>
      </c>
      <c r="D631" s="21" t="s">
        <v>645</v>
      </c>
      <c r="E631" s="21" t="s">
        <v>646</v>
      </c>
      <c r="F631" s="21" t="s">
        <v>49</v>
      </c>
      <c r="G631" s="21" t="s">
        <v>50</v>
      </c>
      <c r="H631" s="21" t="s">
        <v>450</v>
      </c>
      <c r="I631" s="26">
        <v>1</v>
      </c>
      <c r="J631" s="26">
        <v>20</v>
      </c>
      <c r="K631" s="21" t="s">
        <v>52</v>
      </c>
      <c r="L631" s="27">
        <v>1600</v>
      </c>
      <c r="M631" s="21"/>
      <c r="N631" s="21"/>
      <c r="O631" s="21" t="s">
        <v>1278</v>
      </c>
      <c r="P631" s="21" t="s">
        <v>54</v>
      </c>
      <c r="Q631" s="28">
        <v>46161</v>
      </c>
      <c r="R631" s="29">
        <v>46161.4200462963</v>
      </c>
      <c r="S631" s="21" t="s">
        <v>648</v>
      </c>
      <c r="T631" s="21"/>
      <c r="U631" s="21" t="s">
        <v>645</v>
      </c>
      <c r="V631" s="29">
        <v>46161.4199884259</v>
      </c>
      <c r="W631">
        <f>VLOOKUP(H631,物料編碼!A:B,2,0)</f>
        <v>1300501019</v>
      </c>
      <c r="X631">
        <v>1300501</v>
      </c>
      <c r="Y631" t="str">
        <f>VLOOKUP(X631,物料編碼!D:G,4,0)</f>
        <v>羊排</v>
      </c>
      <c r="Z631" t="str">
        <f>VLOOKUP(C631,客戶屬性1!A:C,2,0)</f>
        <v>兴利号食品有限公司</v>
      </c>
      <c r="AA631">
        <f>IF(COUNTIF($O$1:O631,O631)=1,L631,0)</f>
        <v>1600</v>
      </c>
    </row>
    <row r="632" customHeight="1" spans="1:27">
      <c r="A632" s="21" t="s">
        <v>1279</v>
      </c>
      <c r="B632" s="21" t="s">
        <v>45</v>
      </c>
      <c r="C632" s="21" t="s">
        <v>72</v>
      </c>
      <c r="D632" s="21" t="s">
        <v>73</v>
      </c>
      <c r="E632" s="21" t="s">
        <v>74</v>
      </c>
      <c r="F632" s="21" t="s">
        <v>49</v>
      </c>
      <c r="G632" s="21" t="s">
        <v>50</v>
      </c>
      <c r="H632" s="21" t="s">
        <v>298</v>
      </c>
      <c r="I632" s="26">
        <v>1</v>
      </c>
      <c r="J632" s="26">
        <v>10</v>
      </c>
      <c r="K632" s="21" t="s">
        <v>52</v>
      </c>
      <c r="L632" s="27">
        <v>520</v>
      </c>
      <c r="M632" s="21"/>
      <c r="N632" s="21"/>
      <c r="O632" s="21" t="s">
        <v>1280</v>
      </c>
      <c r="P632" s="21" t="s">
        <v>54</v>
      </c>
      <c r="Q632" s="28">
        <v>46161</v>
      </c>
      <c r="R632" s="29">
        <v>46161.386875</v>
      </c>
      <c r="S632" s="21" t="s">
        <v>81</v>
      </c>
      <c r="T632" s="21"/>
      <c r="U632" s="21" t="s">
        <v>82</v>
      </c>
      <c r="V632" s="29">
        <v>46161.3868171296</v>
      </c>
      <c r="W632">
        <f>VLOOKUP(H632,物料編碼!A:B,2,0)</f>
        <v>1300111003</v>
      </c>
      <c r="X632">
        <v>1300111</v>
      </c>
      <c r="Y632" t="str">
        <f>VLOOKUP(X632,物料編碼!D:G,4,0)</f>
        <v>寸骨</v>
      </c>
      <c r="Z632" t="str">
        <f>VLOOKUP(C632,客戶屬性1!A:C,2,0)</f>
        <v>恒辉贸易公司</v>
      </c>
      <c r="AA632">
        <f>IF(COUNTIF($O$1:O632,O632)=1,L632,0)</f>
        <v>520</v>
      </c>
    </row>
    <row r="633" customHeight="1" spans="1:27">
      <c r="A633" s="21" t="s">
        <v>1281</v>
      </c>
      <c r="B633" s="21" t="s">
        <v>45</v>
      </c>
      <c r="C633" s="21" t="s">
        <v>72</v>
      </c>
      <c r="D633" s="21" t="s">
        <v>73</v>
      </c>
      <c r="E633" s="21" t="s">
        <v>74</v>
      </c>
      <c r="F633" s="21" t="s">
        <v>49</v>
      </c>
      <c r="G633" s="21" t="s">
        <v>50</v>
      </c>
      <c r="H633" s="21" t="s">
        <v>63</v>
      </c>
      <c r="I633" s="26">
        <v>2</v>
      </c>
      <c r="J633" s="26">
        <v>50</v>
      </c>
      <c r="K633" s="21" t="s">
        <v>52</v>
      </c>
      <c r="L633" s="27">
        <v>1670</v>
      </c>
      <c r="M633" s="21"/>
      <c r="N633" s="21"/>
      <c r="O633" s="21" t="s">
        <v>1282</v>
      </c>
      <c r="P633" s="21" t="s">
        <v>54</v>
      </c>
      <c r="Q633" s="28">
        <v>46161</v>
      </c>
      <c r="R633" s="29">
        <v>46161.3627777778</v>
      </c>
      <c r="S633" s="21" t="s">
        <v>81</v>
      </c>
      <c r="T633" s="21"/>
      <c r="U633" s="21" t="s">
        <v>82</v>
      </c>
      <c r="V633" s="29">
        <v>46161.3627314815</v>
      </c>
      <c r="W633">
        <f>VLOOKUP(H633,物料編碼!A:B,2,0)</f>
        <v>1300109002</v>
      </c>
      <c r="X633">
        <v>1300109</v>
      </c>
      <c r="Y633" t="str">
        <f>VLOOKUP(X633,物料編碼!D:G,4,0)</f>
        <v>面精肉</v>
      </c>
      <c r="Z633" t="str">
        <f>VLOOKUP(C633,客戶屬性1!A:C,2,0)</f>
        <v>恒辉贸易公司</v>
      </c>
      <c r="AA633">
        <f>IF(COUNTIF($O$1:O633,O633)=1,L633,0)</f>
        <v>1670</v>
      </c>
    </row>
    <row r="634" customHeight="1" spans="1:27">
      <c r="A634" s="21" t="s">
        <v>1283</v>
      </c>
      <c r="B634" s="21" t="s">
        <v>45</v>
      </c>
      <c r="C634" s="21" t="s">
        <v>72</v>
      </c>
      <c r="D634" s="21" t="s">
        <v>73</v>
      </c>
      <c r="E634" s="21" t="s">
        <v>74</v>
      </c>
      <c r="F634" s="21" t="s">
        <v>49</v>
      </c>
      <c r="G634" s="21" t="s">
        <v>50</v>
      </c>
      <c r="H634" s="21" t="s">
        <v>402</v>
      </c>
      <c r="I634" s="26">
        <v>2</v>
      </c>
      <c r="J634" s="26">
        <v>20</v>
      </c>
      <c r="K634" s="21" t="s">
        <v>52</v>
      </c>
      <c r="L634" s="27">
        <v>272</v>
      </c>
      <c r="M634" s="21"/>
      <c r="N634" s="21"/>
      <c r="O634" s="21" t="s">
        <v>1284</v>
      </c>
      <c r="P634" s="21" t="s">
        <v>54</v>
      </c>
      <c r="Q634" s="28">
        <v>46161</v>
      </c>
      <c r="R634" s="29">
        <v>46160.7310648148</v>
      </c>
      <c r="S634" s="21" t="s">
        <v>81</v>
      </c>
      <c r="T634" s="21"/>
      <c r="U634" s="21" t="s">
        <v>82</v>
      </c>
      <c r="V634" s="29">
        <v>46160.7310069444</v>
      </c>
      <c r="W634">
        <f>VLOOKUP(H634,物料編碼!A:B,2,0)</f>
        <v>1300903002</v>
      </c>
      <c r="X634">
        <v>1300903</v>
      </c>
      <c r="Y634" t="str">
        <f>VLOOKUP(X634,物料編碼!D:G,4,0)</f>
        <v>生鴨胸</v>
      </c>
      <c r="Z634" t="str">
        <f>VLOOKUP(C634,客戶屬性1!A:C,2,0)</f>
        <v>恒辉贸易公司</v>
      </c>
      <c r="AA634">
        <f>IF(COUNTIF($O$1:O634,O634)=1,L634,0)</f>
        <v>272</v>
      </c>
    </row>
    <row r="635" customHeight="1" spans="1:27">
      <c r="A635" s="21" t="s">
        <v>1285</v>
      </c>
      <c r="B635" s="21" t="s">
        <v>45</v>
      </c>
      <c r="C635" s="21" t="s">
        <v>290</v>
      </c>
      <c r="D635" s="21" t="s">
        <v>291</v>
      </c>
      <c r="E635" s="21" t="s">
        <v>292</v>
      </c>
      <c r="F635" s="21" t="s">
        <v>49</v>
      </c>
      <c r="G635" s="21" t="s">
        <v>50</v>
      </c>
      <c r="H635" s="21" t="s">
        <v>101</v>
      </c>
      <c r="I635" s="26">
        <v>4</v>
      </c>
      <c r="J635" s="26">
        <v>100</v>
      </c>
      <c r="K635" s="21" t="s">
        <v>52</v>
      </c>
      <c r="L635" s="27">
        <v>3040</v>
      </c>
      <c r="M635" s="21"/>
      <c r="N635" s="21"/>
      <c r="O635" s="21" t="s">
        <v>1286</v>
      </c>
      <c r="P635" s="21" t="s">
        <v>54</v>
      </c>
      <c r="Q635" s="28">
        <v>46161</v>
      </c>
      <c r="R635" s="29">
        <v>46160.6313078704</v>
      </c>
      <c r="S635" s="21" t="s">
        <v>294</v>
      </c>
      <c r="T635" s="21"/>
      <c r="U635" s="21" t="s">
        <v>292</v>
      </c>
      <c r="V635" s="29">
        <v>46160.6312615741</v>
      </c>
      <c r="W635">
        <f>VLOOKUP(H635,物料編碼!A:B,2,0)</f>
        <v>1300101018</v>
      </c>
      <c r="X635">
        <v>1300101</v>
      </c>
      <c r="Y635" t="str">
        <f>VLOOKUP(X635,物料編碼!D:G,4,0)</f>
        <v>一號肉</v>
      </c>
      <c r="Z635" t="str">
        <f>VLOOKUP(C635,客戶屬性1!A:C,2,0)</f>
        <v>溢利食品(香港)有限公司</v>
      </c>
      <c r="AA635">
        <f>IF(COUNTIF($O$1:O635,O635)=1,L635,0)</f>
        <v>3040</v>
      </c>
    </row>
    <row r="636" customHeight="1" spans="1:27">
      <c r="A636" s="21" t="s">
        <v>1287</v>
      </c>
      <c r="B636" s="21" t="s">
        <v>45</v>
      </c>
      <c r="C636" s="21" t="s">
        <v>72</v>
      </c>
      <c r="D636" s="21" t="s">
        <v>73</v>
      </c>
      <c r="E636" s="21" t="s">
        <v>74</v>
      </c>
      <c r="F636" s="21" t="s">
        <v>49</v>
      </c>
      <c r="G636" s="21" t="s">
        <v>50</v>
      </c>
      <c r="H636" s="21" t="s">
        <v>63</v>
      </c>
      <c r="I636" s="26">
        <v>6</v>
      </c>
      <c r="J636" s="26">
        <v>150</v>
      </c>
      <c r="K636" s="21" t="s">
        <v>52</v>
      </c>
      <c r="L636" s="27">
        <v>5010</v>
      </c>
      <c r="M636" s="21"/>
      <c r="N636" s="21"/>
      <c r="O636" s="21" t="s">
        <v>1288</v>
      </c>
      <c r="P636" s="21" t="s">
        <v>54</v>
      </c>
      <c r="Q636" s="28">
        <v>46161</v>
      </c>
      <c r="R636" s="29">
        <v>46160.603275463</v>
      </c>
      <c r="S636" s="21" t="s">
        <v>81</v>
      </c>
      <c r="T636" s="21"/>
      <c r="U636" s="21" t="s">
        <v>82</v>
      </c>
      <c r="V636" s="29">
        <v>46160.6032291667</v>
      </c>
      <c r="W636">
        <f>VLOOKUP(H636,物料編碼!A:B,2,0)</f>
        <v>1300109002</v>
      </c>
      <c r="X636">
        <v>1300109</v>
      </c>
      <c r="Y636" t="str">
        <f>VLOOKUP(X636,物料編碼!D:G,4,0)</f>
        <v>面精肉</v>
      </c>
      <c r="Z636" t="str">
        <f>VLOOKUP(C636,客戶屬性1!A:C,2,0)</f>
        <v>恒辉贸易公司</v>
      </c>
      <c r="AA636">
        <f>IF(COUNTIF($O$1:O636,O636)=1,L636,0)</f>
        <v>5010</v>
      </c>
    </row>
    <row r="637" customHeight="1" spans="1:27">
      <c r="A637" s="21" t="s">
        <v>1289</v>
      </c>
      <c r="B637" s="21" t="s">
        <v>45</v>
      </c>
      <c r="C637" s="21" t="s">
        <v>133</v>
      </c>
      <c r="D637" s="21" t="s">
        <v>134</v>
      </c>
      <c r="E637" s="21" t="s">
        <v>135</v>
      </c>
      <c r="F637" s="21" t="s">
        <v>49</v>
      </c>
      <c r="G637" s="21" t="s">
        <v>136</v>
      </c>
      <c r="H637" s="21" t="s">
        <v>298</v>
      </c>
      <c r="I637" s="26">
        <v>1</v>
      </c>
      <c r="J637" s="26">
        <v>10</v>
      </c>
      <c r="K637" s="21" t="s">
        <v>52</v>
      </c>
      <c r="L637" s="27">
        <v>520</v>
      </c>
      <c r="M637" s="21"/>
      <c r="N637" s="21"/>
      <c r="O637" s="21" t="s">
        <v>1290</v>
      </c>
      <c r="P637" s="21" t="s">
        <v>183</v>
      </c>
      <c r="Q637" s="28">
        <v>46160</v>
      </c>
      <c r="R637" s="29">
        <v>46160.4743402778</v>
      </c>
      <c r="S637" s="21" t="s">
        <v>139</v>
      </c>
      <c r="T637" s="21"/>
      <c r="U637" s="21" t="s">
        <v>134</v>
      </c>
      <c r="V637" s="29">
        <v>46160.4742939815</v>
      </c>
      <c r="W637">
        <f>VLOOKUP(H637,物料編碼!A:B,2,0)</f>
        <v>1300111003</v>
      </c>
      <c r="X637">
        <v>1300111</v>
      </c>
      <c r="Y637" t="str">
        <f>VLOOKUP(X637,物料編碼!D:G,4,0)</f>
        <v>寸骨</v>
      </c>
      <c r="Z637" t="str">
        <f>VLOOKUP(C637,客戶屬性1!A:C,2,0)</f>
        <v>恒昌冻肉食品有限公司</v>
      </c>
      <c r="AA637">
        <f>IF(COUNTIF($O$1:O637,O637)=1,L637,0)</f>
        <v>520</v>
      </c>
    </row>
    <row r="638" customHeight="1" spans="1:27">
      <c r="A638" s="21" t="s">
        <v>1291</v>
      </c>
      <c r="B638" s="21" t="s">
        <v>45</v>
      </c>
      <c r="C638" s="21" t="s">
        <v>126</v>
      </c>
      <c r="D638" s="21" t="s">
        <v>127</v>
      </c>
      <c r="E638" s="21" t="s">
        <v>128</v>
      </c>
      <c r="F638" s="21" t="s">
        <v>49</v>
      </c>
      <c r="G638" s="21" t="s">
        <v>129</v>
      </c>
      <c r="H638" s="21" t="s">
        <v>117</v>
      </c>
      <c r="I638" s="26">
        <v>15</v>
      </c>
      <c r="J638" s="26">
        <v>225</v>
      </c>
      <c r="K638" s="21" t="s">
        <v>52</v>
      </c>
      <c r="L638" s="27">
        <v>3325.5</v>
      </c>
      <c r="M638" s="21"/>
      <c r="N638" s="21"/>
      <c r="O638" s="21" t="s">
        <v>1292</v>
      </c>
      <c r="P638" s="21" t="s">
        <v>54</v>
      </c>
      <c r="Q638" s="28">
        <v>46160</v>
      </c>
      <c r="R638" s="29">
        <v>46160.4428240741</v>
      </c>
      <c r="S638" s="21" t="s">
        <v>131</v>
      </c>
      <c r="T638" s="21"/>
      <c r="U638" s="21" t="s">
        <v>127</v>
      </c>
      <c r="V638" s="29">
        <v>46160.4427777778</v>
      </c>
      <c r="W638">
        <f>VLOOKUP(H638,物料編碼!A:B,2,0)</f>
        <v>1300607015</v>
      </c>
      <c r="X638">
        <v>1300607</v>
      </c>
      <c r="Y638" t="str">
        <f>VLOOKUP(X638,物料編碼!D:G,4,0)</f>
        <v>帶皮腿扒</v>
      </c>
      <c r="Z638" t="str">
        <f>VLOOKUP(C638,客戶屬性1!A:C,2,0)</f>
        <v>福源食品有限公司</v>
      </c>
      <c r="AA638">
        <f>IF(COUNTIF($O$1:O638,O638)=1,L638,0)</f>
        <v>3325.5</v>
      </c>
    </row>
    <row r="639" customHeight="1" spans="1:27">
      <c r="A639" s="21" t="s">
        <v>1293</v>
      </c>
      <c r="B639" s="21" t="s">
        <v>45</v>
      </c>
      <c r="C639" s="21" t="s">
        <v>126</v>
      </c>
      <c r="D639" s="21" t="s">
        <v>127</v>
      </c>
      <c r="E639" s="21" t="s">
        <v>128</v>
      </c>
      <c r="F639" s="21" t="s">
        <v>49</v>
      </c>
      <c r="G639" s="21" t="s">
        <v>129</v>
      </c>
      <c r="H639" s="21" t="s">
        <v>75</v>
      </c>
      <c r="I639" s="26">
        <v>5</v>
      </c>
      <c r="J639" s="26">
        <v>75</v>
      </c>
      <c r="K639" s="21" t="s">
        <v>52</v>
      </c>
      <c r="L639" s="27">
        <v>942.75</v>
      </c>
      <c r="M639" s="21"/>
      <c r="N639" s="21"/>
      <c r="O639" s="21" t="s">
        <v>1294</v>
      </c>
      <c r="P639" s="21" t="s">
        <v>54</v>
      </c>
      <c r="Q639" s="28">
        <v>46160</v>
      </c>
      <c r="R639" s="29">
        <v>46160.4420138889</v>
      </c>
      <c r="S639" s="21" t="s">
        <v>131</v>
      </c>
      <c r="T639" s="21"/>
      <c r="U639" s="21" t="s">
        <v>127</v>
      </c>
      <c r="V639" s="29">
        <v>46160.4419791667</v>
      </c>
      <c r="W639">
        <f>VLOOKUP(H639,物料編碼!A:B,2,0)</f>
        <v>1300603040</v>
      </c>
      <c r="X639">
        <v>1300603</v>
      </c>
      <c r="Y639" t="str">
        <f>VLOOKUP(X639,物料編碼!D:G,4,0)</f>
        <v>帶骨全腿</v>
      </c>
      <c r="Z639" t="str">
        <f>VLOOKUP(C639,客戶屬性1!A:C,2,0)</f>
        <v>福源食品有限公司</v>
      </c>
      <c r="AA639">
        <f>IF(COUNTIF($O$1:O639,O639)=1,L639,0)</f>
        <v>942.75</v>
      </c>
    </row>
    <row r="640" customHeight="1" spans="1:27">
      <c r="A640" s="21" t="s">
        <v>1295</v>
      </c>
      <c r="B640" s="21" t="s">
        <v>45</v>
      </c>
      <c r="C640" s="21" t="s">
        <v>126</v>
      </c>
      <c r="D640" s="21" t="s">
        <v>127</v>
      </c>
      <c r="E640" s="21" t="s">
        <v>128</v>
      </c>
      <c r="F640" s="21" t="s">
        <v>49</v>
      </c>
      <c r="G640" s="21" t="s">
        <v>129</v>
      </c>
      <c r="H640" s="21" t="s">
        <v>75</v>
      </c>
      <c r="I640" s="26">
        <v>5</v>
      </c>
      <c r="J640" s="26">
        <v>75</v>
      </c>
      <c r="K640" s="21" t="s">
        <v>52</v>
      </c>
      <c r="L640" s="27">
        <v>942.75</v>
      </c>
      <c r="M640" s="21"/>
      <c r="N640" s="21"/>
      <c r="O640" s="21" t="s">
        <v>1296</v>
      </c>
      <c r="P640" s="21" t="s">
        <v>54</v>
      </c>
      <c r="Q640" s="28">
        <v>46160</v>
      </c>
      <c r="R640" s="29">
        <v>46160.4419791667</v>
      </c>
      <c r="S640" s="21" t="s">
        <v>131</v>
      </c>
      <c r="T640" s="21"/>
      <c r="U640" s="21" t="s">
        <v>127</v>
      </c>
      <c r="V640" s="29">
        <v>46160.4419444444</v>
      </c>
      <c r="W640">
        <f>VLOOKUP(H640,物料編碼!A:B,2,0)</f>
        <v>1300603040</v>
      </c>
      <c r="X640">
        <v>1300603</v>
      </c>
      <c r="Y640" t="str">
        <f>VLOOKUP(X640,物料編碼!D:G,4,0)</f>
        <v>帶骨全腿</v>
      </c>
      <c r="Z640" t="str">
        <f>VLOOKUP(C640,客戶屬性1!A:C,2,0)</f>
        <v>福源食品有限公司</v>
      </c>
      <c r="AA640">
        <f>IF(COUNTIF($O$1:O640,O640)=1,L640,0)</f>
        <v>942.75</v>
      </c>
    </row>
    <row r="641" customHeight="1" spans="1:27">
      <c r="A641" s="21" t="s">
        <v>1297</v>
      </c>
      <c r="B641" s="21" t="s">
        <v>45</v>
      </c>
      <c r="C641" s="21" t="s">
        <v>126</v>
      </c>
      <c r="D641" s="21" t="s">
        <v>127</v>
      </c>
      <c r="E641" s="21" t="s">
        <v>128</v>
      </c>
      <c r="F641" s="21" t="s">
        <v>49</v>
      </c>
      <c r="G641" s="21" t="s">
        <v>129</v>
      </c>
      <c r="H641" s="21" t="s">
        <v>75</v>
      </c>
      <c r="I641" s="26">
        <v>15</v>
      </c>
      <c r="J641" s="26">
        <v>225</v>
      </c>
      <c r="K641" s="21" t="s">
        <v>52</v>
      </c>
      <c r="L641" s="27">
        <v>2828.25</v>
      </c>
      <c r="M641" s="21"/>
      <c r="N641" s="21"/>
      <c r="O641" s="21" t="s">
        <v>1298</v>
      </c>
      <c r="P641" s="21" t="s">
        <v>54</v>
      </c>
      <c r="Q641" s="28">
        <v>46160</v>
      </c>
      <c r="R641" s="29">
        <v>46160.4413078704</v>
      </c>
      <c r="S641" s="21" t="s">
        <v>131</v>
      </c>
      <c r="T641" s="21"/>
      <c r="U641" s="21" t="s">
        <v>127</v>
      </c>
      <c r="V641" s="29">
        <v>46160.4412615741</v>
      </c>
      <c r="W641">
        <f>VLOOKUP(H641,物料編碼!A:B,2,0)</f>
        <v>1300603040</v>
      </c>
      <c r="X641">
        <v>1300603</v>
      </c>
      <c r="Y641" t="str">
        <f>VLOOKUP(X641,物料編碼!D:G,4,0)</f>
        <v>帶骨全腿</v>
      </c>
      <c r="Z641" t="str">
        <f>VLOOKUP(C641,客戶屬性1!A:C,2,0)</f>
        <v>福源食品有限公司</v>
      </c>
      <c r="AA641">
        <f>IF(COUNTIF($O$1:O641,O641)=1,L641,0)</f>
        <v>2828.25</v>
      </c>
    </row>
    <row r="642" customHeight="1" spans="1:27">
      <c r="A642" s="21" t="s">
        <v>1299</v>
      </c>
      <c r="B642" s="21" t="s">
        <v>45</v>
      </c>
      <c r="C642" s="21" t="s">
        <v>72</v>
      </c>
      <c r="D642" s="21" t="s">
        <v>73</v>
      </c>
      <c r="E642" s="21" t="s">
        <v>74</v>
      </c>
      <c r="F642" s="21" t="s">
        <v>49</v>
      </c>
      <c r="G642" s="21" t="s">
        <v>50</v>
      </c>
      <c r="H642" s="21" t="s">
        <v>190</v>
      </c>
      <c r="I642" s="26">
        <v>3</v>
      </c>
      <c r="J642" s="26">
        <v>36</v>
      </c>
      <c r="K642" s="21" t="s">
        <v>52</v>
      </c>
      <c r="L642" s="27">
        <v>568.8</v>
      </c>
      <c r="M642" s="21"/>
      <c r="N642" s="21"/>
      <c r="O642" s="21" t="s">
        <v>1300</v>
      </c>
      <c r="P642" s="21" t="s">
        <v>54</v>
      </c>
      <c r="Q642" s="28">
        <v>46160</v>
      </c>
      <c r="R642" s="29">
        <v>46160.4044560185</v>
      </c>
      <c r="S642" s="21" t="s">
        <v>77</v>
      </c>
      <c r="T642" s="21"/>
      <c r="U642" s="21" t="s">
        <v>74</v>
      </c>
      <c r="V642" s="29">
        <v>46160.4044097222</v>
      </c>
      <c r="W642">
        <f>VLOOKUP(H642,物料編碼!A:B,2,0)</f>
        <v>1300609001</v>
      </c>
      <c r="X642">
        <v>1300609</v>
      </c>
      <c r="Y642" t="str">
        <f>VLOOKUP(X642,物料編碼!D:G,4,0)</f>
        <v>去皮上腿肉</v>
      </c>
      <c r="Z642" t="str">
        <f>VLOOKUP(C642,客戶屬性1!A:C,2,0)</f>
        <v>恒辉贸易公司</v>
      </c>
      <c r="AA642">
        <f>IF(COUNTIF($O$1:O642,O642)=1,L642,0)</f>
        <v>568.8</v>
      </c>
    </row>
    <row r="643" customHeight="1" spans="1:27">
      <c r="A643" s="21" t="s">
        <v>1301</v>
      </c>
      <c r="B643" s="21" t="s">
        <v>45</v>
      </c>
      <c r="C643" s="21" t="s">
        <v>72</v>
      </c>
      <c r="D643" s="21" t="s">
        <v>73</v>
      </c>
      <c r="E643" s="21" t="s">
        <v>74</v>
      </c>
      <c r="F643" s="21" t="s">
        <v>49</v>
      </c>
      <c r="G643" s="21" t="s">
        <v>50</v>
      </c>
      <c r="H643" s="21" t="s">
        <v>671</v>
      </c>
      <c r="I643" s="26">
        <v>2</v>
      </c>
      <c r="J643" s="26">
        <v>24</v>
      </c>
      <c r="K643" s="21" t="s">
        <v>52</v>
      </c>
      <c r="L643" s="27">
        <v>278.4</v>
      </c>
      <c r="M643" s="21"/>
      <c r="N643" s="21"/>
      <c r="O643" s="21" t="s">
        <v>1302</v>
      </c>
      <c r="P643" s="21" t="s">
        <v>183</v>
      </c>
      <c r="Q643" s="28">
        <v>46160</v>
      </c>
      <c r="R643" s="29">
        <v>46160.4013773148</v>
      </c>
      <c r="S643" s="21" t="s">
        <v>77</v>
      </c>
      <c r="T643" s="21"/>
      <c r="U643" s="21" t="s">
        <v>74</v>
      </c>
      <c r="V643" s="29">
        <v>46160.4013310185</v>
      </c>
      <c r="W643">
        <f>VLOOKUP(H643,物料編碼!A:B,2,0)</f>
        <v>1300612023</v>
      </c>
      <c r="X643">
        <v>1300612</v>
      </c>
      <c r="Y643" t="str">
        <f>VLOOKUP(X643,物料編碼!D:G,4,0)</f>
        <v>去皮胸肉</v>
      </c>
      <c r="Z643" t="str">
        <f>VLOOKUP(C643,客戶屬性1!A:C,2,0)</f>
        <v>恒辉贸易公司</v>
      </c>
      <c r="AA643">
        <f>IF(COUNTIF($O$1:O643,O643)=1,L643,0)</f>
        <v>278.4</v>
      </c>
    </row>
    <row r="644" customHeight="1" spans="1:27">
      <c r="A644" s="21" t="s">
        <v>1303</v>
      </c>
      <c r="B644" s="21" t="s">
        <v>45</v>
      </c>
      <c r="C644" s="21" t="s">
        <v>858</v>
      </c>
      <c r="D644" s="21" t="s">
        <v>859</v>
      </c>
      <c r="E644" s="21" t="s">
        <v>860</v>
      </c>
      <c r="F644" s="21" t="s">
        <v>49</v>
      </c>
      <c r="G644" s="21" t="s">
        <v>136</v>
      </c>
      <c r="H644" s="21" t="s">
        <v>75</v>
      </c>
      <c r="I644" s="26">
        <v>3</v>
      </c>
      <c r="J644" s="26">
        <v>45</v>
      </c>
      <c r="K644" s="21" t="s">
        <v>52</v>
      </c>
      <c r="L644" s="27">
        <v>565.65</v>
      </c>
      <c r="M644" s="21"/>
      <c r="N644" s="21"/>
      <c r="O644" s="21" t="s">
        <v>1304</v>
      </c>
      <c r="P644" s="21" t="s">
        <v>183</v>
      </c>
      <c r="Q644" s="28">
        <v>46160</v>
      </c>
      <c r="R644" s="29">
        <v>46160.4003009259</v>
      </c>
      <c r="S644" s="21" t="s">
        <v>863</v>
      </c>
      <c r="T644" s="21"/>
      <c r="U644" s="21" t="s">
        <v>859</v>
      </c>
      <c r="V644" s="29">
        <v>46160.4002546296</v>
      </c>
      <c r="W644">
        <f>VLOOKUP(H644,物料編碼!A:B,2,0)</f>
        <v>1300603040</v>
      </c>
      <c r="X644">
        <v>1300603</v>
      </c>
      <c r="Y644" t="str">
        <f>VLOOKUP(X644,物料編碼!D:G,4,0)</f>
        <v>帶骨全腿</v>
      </c>
      <c r="Z644" t="str">
        <f>VLOOKUP(C644,客戶屬性1!A:C,2,0)</f>
        <v>福伟集团有限公司</v>
      </c>
      <c r="AA644">
        <f>IF(COUNTIF($O$1:O644,O644)=1,L644,0)</f>
        <v>565.65</v>
      </c>
    </row>
    <row r="645" customHeight="1" spans="1:27">
      <c r="A645" s="21" t="s">
        <v>1305</v>
      </c>
      <c r="B645" s="21" t="s">
        <v>45</v>
      </c>
      <c r="C645" s="21" t="s">
        <v>72</v>
      </c>
      <c r="D645" s="21" t="s">
        <v>73</v>
      </c>
      <c r="E645" s="21" t="s">
        <v>74</v>
      </c>
      <c r="F645" s="21" t="s">
        <v>49</v>
      </c>
      <c r="G645" s="21" t="s">
        <v>50</v>
      </c>
      <c r="H645" s="21" t="s">
        <v>450</v>
      </c>
      <c r="I645" s="26">
        <v>1</v>
      </c>
      <c r="J645" s="26">
        <v>20</v>
      </c>
      <c r="K645" s="21" t="s">
        <v>52</v>
      </c>
      <c r="L645" s="27">
        <v>1640</v>
      </c>
      <c r="M645" s="21"/>
      <c r="N645" s="21"/>
      <c r="O645" s="21" t="s">
        <v>1306</v>
      </c>
      <c r="P645" s="21" t="s">
        <v>54</v>
      </c>
      <c r="Q645" s="28">
        <v>46160</v>
      </c>
      <c r="R645" s="29">
        <v>46160.3694444444</v>
      </c>
      <c r="S645" s="21" t="s">
        <v>81</v>
      </c>
      <c r="T645" s="21"/>
      <c r="U645" s="21" t="s">
        <v>82</v>
      </c>
      <c r="V645" s="29">
        <v>46160.3693865741</v>
      </c>
      <c r="W645">
        <f>VLOOKUP(H645,物料編碼!A:B,2,0)</f>
        <v>1300501019</v>
      </c>
      <c r="X645">
        <v>1300501</v>
      </c>
      <c r="Y645" t="str">
        <f>VLOOKUP(X645,物料編碼!D:G,4,0)</f>
        <v>羊排</v>
      </c>
      <c r="Z645" t="str">
        <f>VLOOKUP(C645,客戶屬性1!A:C,2,0)</f>
        <v>恒辉贸易公司</v>
      </c>
      <c r="AA645">
        <f>IF(COUNTIF($O$1:O645,O645)=1,L645,0)</f>
        <v>1640</v>
      </c>
    </row>
    <row r="646" customHeight="1" spans="1:27">
      <c r="A646" s="21" t="s">
        <v>1307</v>
      </c>
      <c r="B646" s="21" t="s">
        <v>45</v>
      </c>
      <c r="C646" s="21" t="s">
        <v>1308</v>
      </c>
      <c r="D646" s="21" t="s">
        <v>1309</v>
      </c>
      <c r="E646" s="21" t="s">
        <v>1310</v>
      </c>
      <c r="F646" s="21" t="s">
        <v>49</v>
      </c>
      <c r="G646" s="21" t="s">
        <v>541</v>
      </c>
      <c r="H646" s="21" t="s">
        <v>75</v>
      </c>
      <c r="I646" s="26">
        <v>1</v>
      </c>
      <c r="J646" s="26">
        <v>15</v>
      </c>
      <c r="K646" s="21" t="s">
        <v>52</v>
      </c>
      <c r="L646" s="27">
        <v>188.55</v>
      </c>
      <c r="M646" s="21"/>
      <c r="N646" s="21"/>
      <c r="O646" s="21" t="s">
        <v>1311</v>
      </c>
      <c r="P646" s="21" t="s">
        <v>54</v>
      </c>
      <c r="Q646" s="28">
        <v>46160</v>
      </c>
      <c r="R646" s="29">
        <v>46158.4646527778</v>
      </c>
      <c r="S646" s="21" t="s">
        <v>1312</v>
      </c>
      <c r="T646" s="21"/>
      <c r="U646" s="21" t="s">
        <v>1309</v>
      </c>
      <c r="V646" s="29">
        <v>46158.4645833333</v>
      </c>
      <c r="W646">
        <f>VLOOKUP(H646,物料編碼!A:B,2,0)</f>
        <v>1300603040</v>
      </c>
      <c r="X646">
        <v>1300603</v>
      </c>
      <c r="Y646" t="str">
        <f>VLOOKUP(X646,物料編碼!D:G,4,0)</f>
        <v>帶骨全腿</v>
      </c>
      <c r="Z646" t="str">
        <f>VLOOKUP(C646,客戶屬性1!A:C,2,0)</f>
        <v>再丰有限公司</v>
      </c>
      <c r="AA646">
        <f>IF(COUNTIF($O$1:O646,O646)=1,L646,0)</f>
        <v>188.55</v>
      </c>
    </row>
    <row r="647" customHeight="1" spans="1:27">
      <c r="A647" s="21" t="s">
        <v>1313</v>
      </c>
      <c r="B647" s="21" t="s">
        <v>45</v>
      </c>
      <c r="C647" s="21" t="s">
        <v>46</v>
      </c>
      <c r="D647" s="21" t="s">
        <v>47</v>
      </c>
      <c r="E647" s="21" t="s">
        <v>48</v>
      </c>
      <c r="F647" s="21" t="s">
        <v>49</v>
      </c>
      <c r="G647" s="21" t="s">
        <v>50</v>
      </c>
      <c r="H647" s="21" t="s">
        <v>168</v>
      </c>
      <c r="I647" s="26">
        <v>1</v>
      </c>
      <c r="J647" s="26">
        <v>10</v>
      </c>
      <c r="K647" s="21" t="s">
        <v>52</v>
      </c>
      <c r="L647" s="27">
        <v>97</v>
      </c>
      <c r="M647" s="21"/>
      <c r="N647" s="21"/>
      <c r="O647" s="21" t="s">
        <v>1314</v>
      </c>
      <c r="P647" s="21" t="s">
        <v>54</v>
      </c>
      <c r="Q647" s="28">
        <v>46158</v>
      </c>
      <c r="R647" s="29">
        <v>46158.4271643519</v>
      </c>
      <c r="S647" s="21" t="s">
        <v>55</v>
      </c>
      <c r="T647" s="21"/>
      <c r="U647" s="21" t="s">
        <v>47</v>
      </c>
      <c r="V647" s="29">
        <v>46158.4271064815</v>
      </c>
      <c r="W647">
        <f>VLOOKUP(H647,物料編碼!A:B,2,0)</f>
        <v>1300627002</v>
      </c>
      <c r="X647">
        <v>1300627</v>
      </c>
      <c r="Y647" t="str">
        <f>VLOOKUP(X647,物料編碼!D:G,4,0)</f>
        <v>翅尖</v>
      </c>
      <c r="Z647" t="str">
        <f>VLOOKUP(C647,客戶屬性1!A:C,2,0)</f>
        <v>明记冻肉</v>
      </c>
      <c r="AA647">
        <f>IF(COUNTIF($O$1:O647,O647)=1,L647,0)</f>
        <v>97</v>
      </c>
    </row>
    <row r="648" customHeight="1" spans="1:27">
      <c r="A648" s="21" t="s">
        <v>1315</v>
      </c>
      <c r="B648" s="21" t="s">
        <v>45</v>
      </c>
      <c r="C648" s="21" t="s">
        <v>72</v>
      </c>
      <c r="D648" s="21" t="s">
        <v>73</v>
      </c>
      <c r="E648" s="21" t="s">
        <v>74</v>
      </c>
      <c r="F648" s="21" t="s">
        <v>49</v>
      </c>
      <c r="G648" s="21" t="s">
        <v>50</v>
      </c>
      <c r="H648" s="21" t="s">
        <v>298</v>
      </c>
      <c r="I648" s="26">
        <v>1</v>
      </c>
      <c r="J648" s="26">
        <v>10</v>
      </c>
      <c r="K648" s="21" t="s">
        <v>52</v>
      </c>
      <c r="L648" s="27">
        <v>520</v>
      </c>
      <c r="M648" s="21"/>
      <c r="N648" s="21"/>
      <c r="O648" s="21" t="s">
        <v>1316</v>
      </c>
      <c r="P648" s="21" t="s">
        <v>54</v>
      </c>
      <c r="Q648" s="28">
        <v>46158</v>
      </c>
      <c r="R648" s="29">
        <v>46157.5853587963</v>
      </c>
      <c r="S648" s="21" t="s">
        <v>377</v>
      </c>
      <c r="T648" s="21"/>
      <c r="U648" s="21" t="s">
        <v>82</v>
      </c>
      <c r="V648" s="29">
        <v>46157.5853009259</v>
      </c>
      <c r="W648">
        <f>VLOOKUP(H648,物料編碼!A:B,2,0)</f>
        <v>1300111003</v>
      </c>
      <c r="X648">
        <v>1300111</v>
      </c>
      <c r="Y648" t="str">
        <f>VLOOKUP(X648,物料編碼!D:G,4,0)</f>
        <v>寸骨</v>
      </c>
      <c r="Z648" t="str">
        <f>VLOOKUP(C648,客戶屬性1!A:C,2,0)</f>
        <v>恒辉贸易公司</v>
      </c>
      <c r="AA648">
        <f>IF(COUNTIF($O$1:O648,O648)=1,L648,0)</f>
        <v>520</v>
      </c>
    </row>
    <row r="649" customHeight="1" spans="1:27">
      <c r="A649" s="21" t="s">
        <v>1317</v>
      </c>
      <c r="B649" s="21" t="s">
        <v>45</v>
      </c>
      <c r="C649" s="21" t="s">
        <v>141</v>
      </c>
      <c r="D649" s="21" t="s">
        <v>142</v>
      </c>
      <c r="E649" s="21" t="s">
        <v>142</v>
      </c>
      <c r="F649" s="21" t="s">
        <v>143</v>
      </c>
      <c r="G649" s="21" t="s">
        <v>100</v>
      </c>
      <c r="H649" s="21" t="s">
        <v>808</v>
      </c>
      <c r="I649" s="26">
        <v>1</v>
      </c>
      <c r="J649" s="26">
        <v>10</v>
      </c>
      <c r="K649" s="21" t="s">
        <v>52</v>
      </c>
      <c r="L649" s="27">
        <v>1352</v>
      </c>
      <c r="M649" s="21"/>
      <c r="N649" s="21"/>
      <c r="O649" s="21" t="s">
        <v>1318</v>
      </c>
      <c r="P649" s="21" t="s">
        <v>54</v>
      </c>
      <c r="Q649" s="28">
        <v>46160</v>
      </c>
      <c r="R649" s="29">
        <v>46157.5199884259</v>
      </c>
      <c r="S649" s="21" t="s">
        <v>145</v>
      </c>
      <c r="T649" s="21"/>
      <c r="U649" s="21" t="s">
        <v>142</v>
      </c>
      <c r="V649" s="29">
        <v>46157.5199537037</v>
      </c>
      <c r="W649">
        <f>VLOOKUP(H649,物料編碼!A:B,2,0)</f>
        <v>1300613017</v>
      </c>
      <c r="X649">
        <v>1300613</v>
      </c>
      <c r="Y649" t="str">
        <f>VLOOKUP(X649,物料編碼!D:G,4,0)</f>
        <v>小胸肉</v>
      </c>
      <c r="Z649" t="str">
        <f>VLOOKUP(C649,客戶屬性1!A:C,2,0)</f>
        <v>新昌冻肉</v>
      </c>
      <c r="AA649">
        <f>IF(COUNTIF($O$1:O649,O649)=1,L649,0)</f>
        <v>1352</v>
      </c>
    </row>
    <row r="650" customHeight="1" spans="1:27">
      <c r="A650" s="21" t="s">
        <v>1317</v>
      </c>
      <c r="B650" s="21" t="s">
        <v>45</v>
      </c>
      <c r="C650" s="21" t="s">
        <v>141</v>
      </c>
      <c r="D650" s="21" t="s">
        <v>142</v>
      </c>
      <c r="E650" s="21" t="s">
        <v>142</v>
      </c>
      <c r="F650" s="21" t="s">
        <v>143</v>
      </c>
      <c r="G650" s="21" t="s">
        <v>100</v>
      </c>
      <c r="H650" s="21" t="s">
        <v>146</v>
      </c>
      <c r="I650" s="26">
        <v>2</v>
      </c>
      <c r="J650" s="26">
        <v>30</v>
      </c>
      <c r="K650" s="21" t="s">
        <v>52</v>
      </c>
      <c r="L650" s="27">
        <v>1352</v>
      </c>
      <c r="M650" s="21"/>
      <c r="N650" s="21"/>
      <c r="O650" s="21" t="s">
        <v>1318</v>
      </c>
      <c r="P650" s="21" t="s">
        <v>54</v>
      </c>
      <c r="Q650" s="28">
        <v>46160</v>
      </c>
      <c r="R650" s="29">
        <v>46157.5199884259</v>
      </c>
      <c r="S650" s="21" t="s">
        <v>145</v>
      </c>
      <c r="T650" s="21"/>
      <c r="U650" s="21" t="s">
        <v>142</v>
      </c>
      <c r="V650" s="29">
        <v>46157.5199537037</v>
      </c>
      <c r="W650">
        <f>VLOOKUP(H650,物料編碼!A:B,2,0)</f>
        <v>1300603041</v>
      </c>
      <c r="X650">
        <v>1300603</v>
      </c>
      <c r="Y650" t="str">
        <f>VLOOKUP(X650,物料編碼!D:G,4,0)</f>
        <v>帶骨全腿</v>
      </c>
      <c r="Z650" t="str">
        <f>VLOOKUP(C650,客戶屬性1!A:C,2,0)</f>
        <v>新昌冻肉</v>
      </c>
      <c r="AA650">
        <f>IF(COUNTIF($O$1:O650,O650)=1,L650,0)</f>
        <v>0</v>
      </c>
    </row>
    <row r="651" customHeight="1" spans="1:27">
      <c r="A651" s="21" t="s">
        <v>1317</v>
      </c>
      <c r="B651" s="21" t="s">
        <v>45</v>
      </c>
      <c r="C651" s="21" t="s">
        <v>141</v>
      </c>
      <c r="D651" s="21" t="s">
        <v>142</v>
      </c>
      <c r="E651" s="21" t="s">
        <v>142</v>
      </c>
      <c r="F651" s="21" t="s">
        <v>143</v>
      </c>
      <c r="G651" s="21" t="s">
        <v>100</v>
      </c>
      <c r="H651" s="21" t="s">
        <v>302</v>
      </c>
      <c r="I651" s="26">
        <v>1</v>
      </c>
      <c r="J651" s="26">
        <v>12</v>
      </c>
      <c r="K651" s="21" t="s">
        <v>52</v>
      </c>
      <c r="L651" s="27">
        <v>1352</v>
      </c>
      <c r="M651" s="21"/>
      <c r="N651" s="21"/>
      <c r="O651" s="21" t="s">
        <v>1318</v>
      </c>
      <c r="P651" s="21" t="s">
        <v>54</v>
      </c>
      <c r="Q651" s="28">
        <v>46160</v>
      </c>
      <c r="R651" s="29">
        <v>46157.5199884259</v>
      </c>
      <c r="S651" s="21" t="s">
        <v>145</v>
      </c>
      <c r="T651" s="21"/>
      <c r="U651" s="21" t="s">
        <v>142</v>
      </c>
      <c r="V651" s="29">
        <v>46157.5199537037</v>
      </c>
      <c r="W651">
        <f>VLOOKUP(H651,物料編碼!A:B,2,0)</f>
        <v>1300609018</v>
      </c>
      <c r="X651">
        <v>1300609</v>
      </c>
      <c r="Y651" t="str">
        <f>VLOOKUP(X651,物料編碼!D:G,4,0)</f>
        <v>去皮上腿肉</v>
      </c>
      <c r="Z651" t="str">
        <f>VLOOKUP(C651,客戶屬性1!A:C,2,0)</f>
        <v>新昌冻肉</v>
      </c>
      <c r="AA651">
        <f>IF(COUNTIF($O$1:O651,O651)=1,L651,0)</f>
        <v>0</v>
      </c>
    </row>
    <row r="652" customHeight="1" spans="1:27">
      <c r="A652" s="21" t="s">
        <v>1317</v>
      </c>
      <c r="B652" s="21" t="s">
        <v>45</v>
      </c>
      <c r="C652" s="21" t="s">
        <v>141</v>
      </c>
      <c r="D652" s="21" t="s">
        <v>142</v>
      </c>
      <c r="E652" s="21" t="s">
        <v>142</v>
      </c>
      <c r="F652" s="21" t="s">
        <v>143</v>
      </c>
      <c r="G652" s="21" t="s">
        <v>100</v>
      </c>
      <c r="H652" s="21" t="s">
        <v>117</v>
      </c>
      <c r="I652" s="26">
        <v>3</v>
      </c>
      <c r="J652" s="26">
        <v>45</v>
      </c>
      <c r="K652" s="21" t="s">
        <v>52</v>
      </c>
      <c r="L652" s="27">
        <v>1352</v>
      </c>
      <c r="M652" s="21"/>
      <c r="N652" s="21"/>
      <c r="O652" s="21" t="s">
        <v>1318</v>
      </c>
      <c r="P652" s="21" t="s">
        <v>54</v>
      </c>
      <c r="Q652" s="28">
        <v>46160</v>
      </c>
      <c r="R652" s="29">
        <v>46157.5199884259</v>
      </c>
      <c r="S652" s="21" t="s">
        <v>145</v>
      </c>
      <c r="T652" s="21"/>
      <c r="U652" s="21" t="s">
        <v>142</v>
      </c>
      <c r="V652" s="29">
        <v>46157.5199537037</v>
      </c>
      <c r="W652">
        <f>VLOOKUP(H652,物料編碼!A:B,2,0)</f>
        <v>1300607015</v>
      </c>
      <c r="X652">
        <v>1300607</v>
      </c>
      <c r="Y652" t="str">
        <f>VLOOKUP(X652,物料編碼!D:G,4,0)</f>
        <v>帶皮腿扒</v>
      </c>
      <c r="Z652" t="str">
        <f>VLOOKUP(C652,客戶屬性1!A:C,2,0)</f>
        <v>新昌冻肉</v>
      </c>
      <c r="AA652">
        <f>IF(COUNTIF($O$1:O652,O652)=1,L652,0)</f>
        <v>0</v>
      </c>
    </row>
    <row r="653" customHeight="1" spans="1:27">
      <c r="A653" s="21" t="s">
        <v>1319</v>
      </c>
      <c r="B653" s="21" t="s">
        <v>45</v>
      </c>
      <c r="C653" s="21" t="s">
        <v>141</v>
      </c>
      <c r="D653" s="21" t="s">
        <v>142</v>
      </c>
      <c r="E653" s="21" t="s">
        <v>142</v>
      </c>
      <c r="F653" s="21" t="s">
        <v>143</v>
      </c>
      <c r="G653" s="21" t="s">
        <v>100</v>
      </c>
      <c r="H653" s="21" t="s">
        <v>407</v>
      </c>
      <c r="I653" s="26">
        <v>1</v>
      </c>
      <c r="J653" s="26">
        <v>10</v>
      </c>
      <c r="K653" s="21" t="s">
        <v>52</v>
      </c>
      <c r="L653" s="27">
        <v>2218.2</v>
      </c>
      <c r="M653" s="21"/>
      <c r="N653" s="21"/>
      <c r="O653" s="21" t="s">
        <v>1320</v>
      </c>
      <c r="P653" s="21" t="s">
        <v>54</v>
      </c>
      <c r="Q653" s="28">
        <v>46158</v>
      </c>
      <c r="R653" s="29">
        <v>46157.5134259259</v>
      </c>
      <c r="S653" s="21" t="s">
        <v>145</v>
      </c>
      <c r="T653" s="21"/>
      <c r="U653" s="21" t="s">
        <v>142</v>
      </c>
      <c r="V653" s="29">
        <v>46157.5133680556</v>
      </c>
      <c r="W653">
        <f>VLOOKUP(H653,物料編碼!A:B,2,0)</f>
        <v>1300904016</v>
      </c>
      <c r="X653">
        <v>1300904</v>
      </c>
      <c r="Y653" t="str">
        <f>VLOOKUP(X653,物料編碼!D:G,4,0)</f>
        <v>煙熏鴨胸</v>
      </c>
      <c r="Z653" t="str">
        <f>VLOOKUP(C653,客戶屬性1!A:C,2,0)</f>
        <v>新昌冻肉</v>
      </c>
      <c r="AA653">
        <f>IF(COUNTIF($O$1:O653,O653)=1,L653,0)</f>
        <v>2218.2</v>
      </c>
    </row>
    <row r="654" customHeight="1" spans="1:27">
      <c r="A654" s="21" t="s">
        <v>1319</v>
      </c>
      <c r="B654" s="21" t="s">
        <v>45</v>
      </c>
      <c r="C654" s="21" t="s">
        <v>141</v>
      </c>
      <c r="D654" s="21" t="s">
        <v>142</v>
      </c>
      <c r="E654" s="21" t="s">
        <v>142</v>
      </c>
      <c r="F654" s="21" t="s">
        <v>143</v>
      </c>
      <c r="G654" s="21" t="s">
        <v>100</v>
      </c>
      <c r="H654" s="21" t="s">
        <v>168</v>
      </c>
      <c r="I654" s="26">
        <v>4</v>
      </c>
      <c r="J654" s="26">
        <v>40</v>
      </c>
      <c r="K654" s="21" t="s">
        <v>52</v>
      </c>
      <c r="L654" s="27">
        <v>2218.2</v>
      </c>
      <c r="M654" s="21"/>
      <c r="N654" s="21"/>
      <c r="O654" s="21" t="s">
        <v>1320</v>
      </c>
      <c r="P654" s="21" t="s">
        <v>54</v>
      </c>
      <c r="Q654" s="28">
        <v>46158</v>
      </c>
      <c r="R654" s="29">
        <v>46157.5134259259</v>
      </c>
      <c r="S654" s="21" t="s">
        <v>145</v>
      </c>
      <c r="T654" s="21"/>
      <c r="U654" s="21" t="s">
        <v>142</v>
      </c>
      <c r="V654" s="29">
        <v>46157.5133680556</v>
      </c>
      <c r="W654">
        <f>VLOOKUP(H654,物料編碼!A:B,2,0)</f>
        <v>1300627002</v>
      </c>
      <c r="X654">
        <v>1300627</v>
      </c>
      <c r="Y654" t="str">
        <f>VLOOKUP(X654,物料編碼!D:G,4,0)</f>
        <v>翅尖</v>
      </c>
      <c r="Z654" t="str">
        <f>VLOOKUP(C654,客戶屬性1!A:C,2,0)</f>
        <v>新昌冻肉</v>
      </c>
      <c r="AA654">
        <f>IF(COUNTIF($O$1:O654,O654)=1,L654,0)</f>
        <v>0</v>
      </c>
    </row>
    <row r="655" customHeight="1" spans="1:27">
      <c r="A655" s="21" t="s">
        <v>1319</v>
      </c>
      <c r="B655" s="21" t="s">
        <v>45</v>
      </c>
      <c r="C655" s="21" t="s">
        <v>141</v>
      </c>
      <c r="D655" s="21" t="s">
        <v>142</v>
      </c>
      <c r="E655" s="21" t="s">
        <v>142</v>
      </c>
      <c r="F655" s="21" t="s">
        <v>143</v>
      </c>
      <c r="G655" s="21" t="s">
        <v>100</v>
      </c>
      <c r="H655" s="21" t="s">
        <v>146</v>
      </c>
      <c r="I655" s="26">
        <v>2</v>
      </c>
      <c r="J655" s="26">
        <v>30</v>
      </c>
      <c r="K655" s="21" t="s">
        <v>52</v>
      </c>
      <c r="L655" s="27">
        <v>2218.2</v>
      </c>
      <c r="M655" s="21"/>
      <c r="N655" s="21"/>
      <c r="O655" s="21" t="s">
        <v>1320</v>
      </c>
      <c r="P655" s="21" t="s">
        <v>54</v>
      </c>
      <c r="Q655" s="28">
        <v>46158</v>
      </c>
      <c r="R655" s="29">
        <v>46157.5134259259</v>
      </c>
      <c r="S655" s="21" t="s">
        <v>145</v>
      </c>
      <c r="T655" s="21"/>
      <c r="U655" s="21" t="s">
        <v>142</v>
      </c>
      <c r="V655" s="29">
        <v>46157.5133680556</v>
      </c>
      <c r="W655">
        <f>VLOOKUP(H655,物料編碼!A:B,2,0)</f>
        <v>1300603041</v>
      </c>
      <c r="X655">
        <v>1300603</v>
      </c>
      <c r="Y655" t="str">
        <f>VLOOKUP(X655,物料編碼!D:G,4,0)</f>
        <v>帶骨全腿</v>
      </c>
      <c r="Z655" t="str">
        <f>VLOOKUP(C655,客戶屬性1!A:C,2,0)</f>
        <v>新昌冻肉</v>
      </c>
      <c r="AA655">
        <f>IF(COUNTIF($O$1:O655,O655)=1,L655,0)</f>
        <v>0</v>
      </c>
    </row>
    <row r="656" customHeight="1" spans="1:27">
      <c r="A656" s="21" t="s">
        <v>1319</v>
      </c>
      <c r="B656" s="21" t="s">
        <v>45</v>
      </c>
      <c r="C656" s="21" t="s">
        <v>141</v>
      </c>
      <c r="D656" s="21" t="s">
        <v>142</v>
      </c>
      <c r="E656" s="21" t="s">
        <v>142</v>
      </c>
      <c r="F656" s="21" t="s">
        <v>143</v>
      </c>
      <c r="G656" s="21" t="s">
        <v>100</v>
      </c>
      <c r="H656" s="21" t="s">
        <v>117</v>
      </c>
      <c r="I656" s="26">
        <v>3</v>
      </c>
      <c r="J656" s="26">
        <v>45</v>
      </c>
      <c r="K656" s="21" t="s">
        <v>52</v>
      </c>
      <c r="L656" s="27">
        <v>2218.2</v>
      </c>
      <c r="M656" s="21"/>
      <c r="N656" s="21"/>
      <c r="O656" s="21" t="s">
        <v>1320</v>
      </c>
      <c r="P656" s="21" t="s">
        <v>54</v>
      </c>
      <c r="Q656" s="28">
        <v>46158</v>
      </c>
      <c r="R656" s="29">
        <v>46157.5134259259</v>
      </c>
      <c r="S656" s="21" t="s">
        <v>145</v>
      </c>
      <c r="T656" s="21"/>
      <c r="U656" s="21" t="s">
        <v>142</v>
      </c>
      <c r="V656" s="29">
        <v>46157.5133680556</v>
      </c>
      <c r="W656">
        <f>VLOOKUP(H656,物料編碼!A:B,2,0)</f>
        <v>1300607015</v>
      </c>
      <c r="X656">
        <v>1300607</v>
      </c>
      <c r="Y656" t="str">
        <f>VLOOKUP(X656,物料編碼!D:G,4,0)</f>
        <v>帶皮腿扒</v>
      </c>
      <c r="Z656" t="str">
        <f>VLOOKUP(C656,客戶屬性1!A:C,2,0)</f>
        <v>新昌冻肉</v>
      </c>
      <c r="AA656">
        <f>IF(COUNTIF($O$1:O656,O656)=1,L656,0)</f>
        <v>0</v>
      </c>
    </row>
    <row r="657" customHeight="1" spans="1:27">
      <c r="A657" s="21" t="s">
        <v>1319</v>
      </c>
      <c r="B657" s="21" t="s">
        <v>45</v>
      </c>
      <c r="C657" s="21" t="s">
        <v>141</v>
      </c>
      <c r="D657" s="21" t="s">
        <v>142</v>
      </c>
      <c r="E657" s="21" t="s">
        <v>142</v>
      </c>
      <c r="F657" s="21" t="s">
        <v>143</v>
      </c>
      <c r="G657" s="21" t="s">
        <v>100</v>
      </c>
      <c r="H657" s="21" t="s">
        <v>298</v>
      </c>
      <c r="I657" s="26">
        <v>1</v>
      </c>
      <c r="J657" s="26">
        <v>10</v>
      </c>
      <c r="K657" s="21" t="s">
        <v>52</v>
      </c>
      <c r="L657" s="27">
        <v>2218.2</v>
      </c>
      <c r="M657" s="21"/>
      <c r="N657" s="21"/>
      <c r="O657" s="21" t="s">
        <v>1320</v>
      </c>
      <c r="P657" s="21" t="s">
        <v>54</v>
      </c>
      <c r="Q657" s="28">
        <v>46158</v>
      </c>
      <c r="R657" s="29">
        <v>46157.5134259259</v>
      </c>
      <c r="S657" s="21" t="s">
        <v>145</v>
      </c>
      <c r="T657" s="21"/>
      <c r="U657" s="21" t="s">
        <v>142</v>
      </c>
      <c r="V657" s="29">
        <v>46157.5133680556</v>
      </c>
      <c r="W657">
        <f>VLOOKUP(H657,物料編碼!A:B,2,0)</f>
        <v>1300111003</v>
      </c>
      <c r="X657">
        <v>1300111</v>
      </c>
      <c r="Y657" t="str">
        <f>VLOOKUP(X657,物料編碼!D:G,4,0)</f>
        <v>寸骨</v>
      </c>
      <c r="Z657" t="str">
        <f>VLOOKUP(C657,客戶屬性1!A:C,2,0)</f>
        <v>新昌冻肉</v>
      </c>
      <c r="AA657">
        <f>IF(COUNTIF($O$1:O657,O657)=1,L657,0)</f>
        <v>0</v>
      </c>
    </row>
    <row r="658" customHeight="1" spans="1:27">
      <c r="A658" s="21" t="s">
        <v>1321</v>
      </c>
      <c r="B658" s="21" t="s">
        <v>45</v>
      </c>
      <c r="C658" s="21" t="s">
        <v>1064</v>
      </c>
      <c r="D658" s="21" t="s">
        <v>1065</v>
      </c>
      <c r="E658" s="21" t="s">
        <v>1066</v>
      </c>
      <c r="F658" s="21" t="s">
        <v>49</v>
      </c>
      <c r="G658" s="21" t="s">
        <v>89</v>
      </c>
      <c r="H658" s="21" t="s">
        <v>239</v>
      </c>
      <c r="I658" s="26">
        <v>3</v>
      </c>
      <c r="J658" s="26">
        <v>30</v>
      </c>
      <c r="K658" s="21" t="s">
        <v>52</v>
      </c>
      <c r="L658" s="27">
        <v>645</v>
      </c>
      <c r="M658" s="21"/>
      <c r="N658" s="21"/>
      <c r="O658" s="21" t="s">
        <v>1322</v>
      </c>
      <c r="P658" s="21" t="s">
        <v>54</v>
      </c>
      <c r="Q658" s="28">
        <v>46158</v>
      </c>
      <c r="R658" s="29">
        <v>46157.5053125</v>
      </c>
      <c r="S658" s="21" t="s">
        <v>1068</v>
      </c>
      <c r="T658" s="21"/>
      <c r="U658" s="21" t="s">
        <v>1065</v>
      </c>
      <c r="V658" s="29">
        <v>46157.5052662037</v>
      </c>
      <c r="W658">
        <f>VLOOKUP(H658,物料編碼!A:B,2,0)</f>
        <v>1300904023</v>
      </c>
      <c r="X658">
        <v>1300904</v>
      </c>
      <c r="Y658" t="str">
        <f>VLOOKUP(X658,物料編碼!D:G,4,0)</f>
        <v>煙熏鴨胸</v>
      </c>
      <c r="Z658" t="str">
        <f>VLOOKUP(C658,客戶屬性1!A:C,2,0)</f>
        <v>明兴食品有限公司(元朗)</v>
      </c>
      <c r="AA658">
        <f>IF(COUNTIF($O$1:O658,O658)=1,L658,0)</f>
        <v>645</v>
      </c>
    </row>
    <row r="659" customHeight="1" spans="1:27">
      <c r="A659" s="21" t="s">
        <v>1323</v>
      </c>
      <c r="B659" s="21" t="s">
        <v>45</v>
      </c>
      <c r="C659" s="21" t="s">
        <v>72</v>
      </c>
      <c r="D659" s="21" t="s">
        <v>73</v>
      </c>
      <c r="E659" s="21" t="s">
        <v>74</v>
      </c>
      <c r="F659" s="21" t="s">
        <v>49</v>
      </c>
      <c r="G659" s="21" t="s">
        <v>50</v>
      </c>
      <c r="H659" s="21" t="s">
        <v>78</v>
      </c>
      <c r="I659" s="26">
        <v>1</v>
      </c>
      <c r="J659" s="26">
        <v>15</v>
      </c>
      <c r="K659" s="21" t="s">
        <v>52</v>
      </c>
      <c r="L659" s="27">
        <v>221.7</v>
      </c>
      <c r="M659" s="21"/>
      <c r="N659" s="21"/>
      <c r="O659" s="21" t="s">
        <v>1324</v>
      </c>
      <c r="P659" s="21" t="s">
        <v>54</v>
      </c>
      <c r="Q659" s="28">
        <v>46158</v>
      </c>
      <c r="R659" s="29">
        <v>46157.4790740741</v>
      </c>
      <c r="S659" s="21" t="s">
        <v>77</v>
      </c>
      <c r="T659" s="21"/>
      <c r="U659" s="21" t="s">
        <v>74</v>
      </c>
      <c r="V659" s="29">
        <v>46157.4790393518</v>
      </c>
      <c r="W659">
        <f>VLOOKUP(H659,物料編碼!A:B,2,0)</f>
        <v>1300607014</v>
      </c>
      <c r="X659">
        <v>1300607</v>
      </c>
      <c r="Y659" t="str">
        <f>VLOOKUP(X659,物料編碼!D:G,4,0)</f>
        <v>帶皮腿扒</v>
      </c>
      <c r="Z659" t="str">
        <f>VLOOKUP(C659,客戶屬性1!A:C,2,0)</f>
        <v>恒辉贸易公司</v>
      </c>
      <c r="AA659">
        <f>IF(COUNTIF($O$1:O659,O659)=1,L659,0)</f>
        <v>221.7</v>
      </c>
    </row>
    <row r="660" customHeight="1" spans="1:27">
      <c r="A660" s="21" t="s">
        <v>1325</v>
      </c>
      <c r="B660" s="21" t="s">
        <v>45</v>
      </c>
      <c r="C660" s="21" t="s">
        <v>197</v>
      </c>
      <c r="D660" s="21" t="s">
        <v>198</v>
      </c>
      <c r="E660" s="21" t="s">
        <v>199</v>
      </c>
      <c r="F660" s="21" t="s">
        <v>49</v>
      </c>
      <c r="G660" s="21" t="s">
        <v>136</v>
      </c>
      <c r="H660" s="21" t="s">
        <v>200</v>
      </c>
      <c r="I660" s="26">
        <v>15</v>
      </c>
      <c r="J660" s="26">
        <v>150</v>
      </c>
      <c r="K660" s="21" t="s">
        <v>52</v>
      </c>
      <c r="L660" s="27">
        <v>3225</v>
      </c>
      <c r="M660" s="21"/>
      <c r="N660" s="21"/>
      <c r="O660" s="21" t="s">
        <v>1326</v>
      </c>
      <c r="P660" s="21" t="s">
        <v>54</v>
      </c>
      <c r="Q660" s="28">
        <v>46160</v>
      </c>
      <c r="R660" s="29">
        <v>46157.4699537037</v>
      </c>
      <c r="S660" s="21" t="s">
        <v>202</v>
      </c>
      <c r="T660" s="21"/>
      <c r="U660" s="21" t="s">
        <v>203</v>
      </c>
      <c r="V660" s="29">
        <v>46157.4698958333</v>
      </c>
      <c r="W660">
        <f>VLOOKUP(H660,物料編碼!A:B,2,0)</f>
        <v>1300904024</v>
      </c>
      <c r="X660">
        <v>1300904</v>
      </c>
      <c r="Y660" t="str">
        <f>VLOOKUP(X660,物料編碼!D:G,4,0)</f>
        <v>煙熏鴨胸</v>
      </c>
      <c r="Z660" t="str">
        <f>VLOOKUP(C660,客戶屬性1!A:C,2,0)</f>
        <v>信隆(亚洲)有限公司</v>
      </c>
      <c r="AA660">
        <f>IF(COUNTIF($O$1:O660,O660)=1,L660,0)</f>
        <v>3225</v>
      </c>
    </row>
    <row r="661" customHeight="1" spans="1:27">
      <c r="A661" s="21" t="s">
        <v>1327</v>
      </c>
      <c r="B661" s="21" t="s">
        <v>45</v>
      </c>
      <c r="C661" s="21" t="s">
        <v>1328</v>
      </c>
      <c r="D661" s="21" t="s">
        <v>1329</v>
      </c>
      <c r="E661" s="21" t="s">
        <v>1330</v>
      </c>
      <c r="F661" s="21" t="s">
        <v>49</v>
      </c>
      <c r="G661" s="21" t="s">
        <v>541</v>
      </c>
      <c r="H661" s="21" t="s">
        <v>121</v>
      </c>
      <c r="I661" s="26">
        <v>2</v>
      </c>
      <c r="J661" s="26">
        <v>40</v>
      </c>
      <c r="K661" s="21" t="s">
        <v>52</v>
      </c>
      <c r="L661" s="27">
        <v>980</v>
      </c>
      <c r="M661" s="21"/>
      <c r="N661" s="21"/>
      <c r="O661" s="21" t="s">
        <v>1331</v>
      </c>
      <c r="P661" s="21" t="s">
        <v>54</v>
      </c>
      <c r="Q661" s="28">
        <v>46158</v>
      </c>
      <c r="R661" s="29">
        <v>46157.4073726852</v>
      </c>
      <c r="S661" s="21" t="s">
        <v>1332</v>
      </c>
      <c r="T661" s="21"/>
      <c r="U661" s="21" t="s">
        <v>1329</v>
      </c>
      <c r="V661" s="29">
        <v>46157.4073263889</v>
      </c>
      <c r="W661">
        <f>VLOOKUP(H661,物料編碼!A:B,2,0)</f>
        <v>1300114011</v>
      </c>
      <c r="X661">
        <v>1300114</v>
      </c>
      <c r="Y661" t="str">
        <f>VLOOKUP(X661,物料編碼!D:G,4,0)</f>
        <v>熟食</v>
      </c>
      <c r="Z661" t="str">
        <f>VLOOKUP(C661,客戶屬性1!A:C,2,0)</f>
        <v>祥兴食品公司</v>
      </c>
      <c r="AA661">
        <f>IF(COUNTIF($O$1:O661,O661)=1,L661,0)</f>
        <v>980</v>
      </c>
    </row>
    <row r="662" customHeight="1" spans="1:27">
      <c r="A662" s="21" t="s">
        <v>1333</v>
      </c>
      <c r="B662" s="21" t="s">
        <v>45</v>
      </c>
      <c r="C662" s="21" t="s">
        <v>1334</v>
      </c>
      <c r="D662" s="21" t="s">
        <v>1335</v>
      </c>
      <c r="E662" s="21" t="s">
        <v>1336</v>
      </c>
      <c r="F662" s="21" t="s">
        <v>49</v>
      </c>
      <c r="G662" s="21" t="s">
        <v>136</v>
      </c>
      <c r="H662" s="21" t="s">
        <v>239</v>
      </c>
      <c r="I662" s="26">
        <v>1</v>
      </c>
      <c r="J662" s="26">
        <v>10</v>
      </c>
      <c r="K662" s="21" t="s">
        <v>52</v>
      </c>
      <c r="L662" s="27">
        <v>215</v>
      </c>
      <c r="M662" s="21"/>
      <c r="N662" s="21"/>
      <c r="O662" s="21" t="s">
        <v>1337</v>
      </c>
      <c r="P662" s="21" t="s">
        <v>54</v>
      </c>
      <c r="Q662" s="28">
        <v>46157</v>
      </c>
      <c r="R662" s="29">
        <v>46157.3966666667</v>
      </c>
      <c r="S662" s="21" t="s">
        <v>1338</v>
      </c>
      <c r="T662" s="21"/>
      <c r="U662" s="21" t="s">
        <v>1335</v>
      </c>
      <c r="V662" s="29">
        <v>46157.3966087963</v>
      </c>
      <c r="W662">
        <f>VLOOKUP(H662,物料編碼!A:B,2,0)</f>
        <v>1300904023</v>
      </c>
      <c r="X662">
        <v>1300904</v>
      </c>
      <c r="Y662" t="str">
        <f>VLOOKUP(X662,物料編碼!D:G,4,0)</f>
        <v>煙熏鴨胸</v>
      </c>
      <c r="Z662" t="str">
        <f>VLOOKUP(C662,客戶屬性1!A:C,2,0)</f>
        <v>富景冻肉有限公司</v>
      </c>
      <c r="AA662">
        <f>IF(COUNTIF($O$1:O662,O662)=1,L662,0)</f>
        <v>215</v>
      </c>
    </row>
    <row r="663" customHeight="1" spans="1:27">
      <c r="A663" s="21" t="s">
        <v>1339</v>
      </c>
      <c r="B663" s="21" t="s">
        <v>45</v>
      </c>
      <c r="C663" s="21" t="s">
        <v>825</v>
      </c>
      <c r="D663" s="21" t="s">
        <v>826</v>
      </c>
      <c r="E663" s="21" t="s">
        <v>827</v>
      </c>
      <c r="F663" s="21" t="s">
        <v>49</v>
      </c>
      <c r="G663" s="21" t="s">
        <v>136</v>
      </c>
      <c r="H663" s="21" t="s">
        <v>121</v>
      </c>
      <c r="I663" s="26">
        <v>2</v>
      </c>
      <c r="J663" s="26">
        <v>40</v>
      </c>
      <c r="K663" s="21" t="s">
        <v>52</v>
      </c>
      <c r="L663" s="27">
        <v>1377.6</v>
      </c>
      <c r="M663" s="21"/>
      <c r="N663" s="21"/>
      <c r="O663" s="21" t="s">
        <v>1340</v>
      </c>
      <c r="P663" s="21" t="s">
        <v>54</v>
      </c>
      <c r="Q663" s="28">
        <v>46157</v>
      </c>
      <c r="R663" s="29">
        <v>46156.6028935185</v>
      </c>
      <c r="S663" s="21" t="s">
        <v>829</v>
      </c>
      <c r="T663" s="21"/>
      <c r="U663" s="21" t="s">
        <v>826</v>
      </c>
      <c r="V663" s="29">
        <v>46156.6028472222</v>
      </c>
      <c r="W663">
        <f>VLOOKUP(H663,物料編碼!A:B,2,0)</f>
        <v>1300114011</v>
      </c>
      <c r="X663">
        <v>1300114</v>
      </c>
      <c r="Y663" t="str">
        <f>VLOOKUP(X663,物料編碼!D:G,4,0)</f>
        <v>熟食</v>
      </c>
      <c r="Z663" t="str">
        <f>VLOOKUP(C663,客戶屬性1!A:C,2,0)</f>
        <v>鸿兴食品供应有限公司</v>
      </c>
      <c r="AA663">
        <f>IF(COUNTIF($O$1:O663,O663)=1,L663,0)</f>
        <v>1377.6</v>
      </c>
    </row>
    <row r="664" customHeight="1" spans="1:27">
      <c r="A664" s="21" t="s">
        <v>1339</v>
      </c>
      <c r="B664" s="21" t="s">
        <v>45</v>
      </c>
      <c r="C664" s="21" t="s">
        <v>825</v>
      </c>
      <c r="D664" s="21" t="s">
        <v>826</v>
      </c>
      <c r="E664" s="21" t="s">
        <v>827</v>
      </c>
      <c r="F664" s="21" t="s">
        <v>49</v>
      </c>
      <c r="G664" s="21" t="s">
        <v>136</v>
      </c>
      <c r="H664" s="21" t="s">
        <v>111</v>
      </c>
      <c r="I664" s="26">
        <v>2</v>
      </c>
      <c r="J664" s="27">
        <v>64</v>
      </c>
      <c r="K664" s="21" t="s">
        <v>112</v>
      </c>
      <c r="L664" s="27">
        <v>1377.6</v>
      </c>
      <c r="M664" s="21"/>
      <c r="N664" s="21"/>
      <c r="O664" s="21" t="s">
        <v>1340</v>
      </c>
      <c r="P664" s="21" t="s">
        <v>54</v>
      </c>
      <c r="Q664" s="28">
        <v>46157</v>
      </c>
      <c r="R664" s="29">
        <v>46156.6028935185</v>
      </c>
      <c r="S664" s="21" t="s">
        <v>829</v>
      </c>
      <c r="T664" s="21"/>
      <c r="U664" s="21" t="s">
        <v>826</v>
      </c>
      <c r="V664" s="29">
        <v>46156.6028472222</v>
      </c>
      <c r="W664">
        <f>VLOOKUP(H664,物料編碼!A:B,2,0)</f>
        <v>1310501001</v>
      </c>
      <c r="X664">
        <v>1310501</v>
      </c>
      <c r="Y664" t="str">
        <f>VLOOKUP(X664,物料編碼!D:G,4,0)</f>
        <v>腸類.雞肉腸</v>
      </c>
      <c r="Z664" t="str">
        <f>VLOOKUP(C664,客戶屬性1!A:C,2,0)</f>
        <v>鸿兴食品供应有限公司</v>
      </c>
      <c r="AA664">
        <f>IF(COUNTIF($O$1:O664,O664)=1,L664,0)</f>
        <v>0</v>
      </c>
    </row>
    <row r="665" customHeight="1" spans="1:27">
      <c r="A665" s="21" t="s">
        <v>1341</v>
      </c>
      <c r="B665" s="21" t="s">
        <v>45</v>
      </c>
      <c r="C665" s="21" t="s">
        <v>46</v>
      </c>
      <c r="D665" s="21" t="s">
        <v>47</v>
      </c>
      <c r="E665" s="21" t="s">
        <v>48</v>
      </c>
      <c r="F665" s="21" t="s">
        <v>49</v>
      </c>
      <c r="G665" s="21" t="s">
        <v>50</v>
      </c>
      <c r="H665" s="21" t="s">
        <v>168</v>
      </c>
      <c r="I665" s="26">
        <v>1</v>
      </c>
      <c r="J665" s="26">
        <v>10</v>
      </c>
      <c r="K665" s="21" t="s">
        <v>52</v>
      </c>
      <c r="L665" s="27">
        <v>97</v>
      </c>
      <c r="M665" s="21"/>
      <c r="N665" s="21"/>
      <c r="O665" s="21" t="s">
        <v>1342</v>
      </c>
      <c r="P665" s="21" t="s">
        <v>54</v>
      </c>
      <c r="Q665" s="28">
        <v>46156</v>
      </c>
      <c r="R665" s="29">
        <v>46156.4148726852</v>
      </c>
      <c r="S665" s="21" t="s">
        <v>55</v>
      </c>
      <c r="T665" s="21"/>
      <c r="U665" s="21" t="s">
        <v>47</v>
      </c>
      <c r="V665" s="29">
        <v>46156.4148263889</v>
      </c>
      <c r="W665">
        <f>VLOOKUP(H665,物料編碼!A:B,2,0)</f>
        <v>1300627002</v>
      </c>
      <c r="X665">
        <v>1300627</v>
      </c>
      <c r="Y665" t="str">
        <f>VLOOKUP(X665,物料編碼!D:G,4,0)</f>
        <v>翅尖</v>
      </c>
      <c r="Z665" t="str">
        <f>VLOOKUP(C665,客戶屬性1!A:C,2,0)</f>
        <v>明记冻肉</v>
      </c>
      <c r="AA665">
        <f>IF(COUNTIF($O$1:O665,O665)=1,L665,0)</f>
        <v>97</v>
      </c>
    </row>
    <row r="666" customHeight="1" spans="1:27">
      <c r="A666" s="21" t="s">
        <v>1343</v>
      </c>
      <c r="B666" s="21" t="s">
        <v>45</v>
      </c>
      <c r="C666" s="21" t="s">
        <v>72</v>
      </c>
      <c r="D666" s="21" t="s">
        <v>73</v>
      </c>
      <c r="E666" s="21" t="s">
        <v>74</v>
      </c>
      <c r="F666" s="21" t="s">
        <v>49</v>
      </c>
      <c r="G666" s="21" t="s">
        <v>50</v>
      </c>
      <c r="H666" s="21" t="s">
        <v>283</v>
      </c>
      <c r="I666" s="26">
        <v>8</v>
      </c>
      <c r="J666" s="26">
        <v>200</v>
      </c>
      <c r="K666" s="21" t="s">
        <v>52</v>
      </c>
      <c r="L666" s="27">
        <v>3960</v>
      </c>
      <c r="M666" s="21"/>
      <c r="N666" s="21"/>
      <c r="O666" s="21" t="s">
        <v>1344</v>
      </c>
      <c r="P666" s="21" t="s">
        <v>54</v>
      </c>
      <c r="Q666" s="28">
        <v>46156</v>
      </c>
      <c r="R666" s="29">
        <v>46156.4127662037</v>
      </c>
      <c r="S666" s="21" t="s">
        <v>77</v>
      </c>
      <c r="T666" s="21"/>
      <c r="U666" s="21" t="s">
        <v>74</v>
      </c>
      <c r="V666" s="29">
        <v>46156.4127199074</v>
      </c>
      <c r="W666">
        <f>VLOOKUP(H666,物料編碼!A:B,2,0)</f>
        <v>1300104005</v>
      </c>
      <c r="X666">
        <v>1300104</v>
      </c>
      <c r="Y666" t="str">
        <f>VLOOKUP(X666,物料編碼!D:G,4,0)</f>
        <v>四號肉</v>
      </c>
      <c r="Z666" t="str">
        <f>VLOOKUP(C666,客戶屬性1!A:C,2,0)</f>
        <v>恒辉贸易公司</v>
      </c>
      <c r="AA666">
        <f>IF(COUNTIF($O$1:O666,O666)=1,L666,0)</f>
        <v>3960</v>
      </c>
    </row>
    <row r="667" customHeight="1" spans="1:27">
      <c r="A667" s="21" t="s">
        <v>1345</v>
      </c>
      <c r="B667" s="21" t="s">
        <v>45</v>
      </c>
      <c r="C667" s="21" t="s">
        <v>331</v>
      </c>
      <c r="D667" s="21" t="s">
        <v>332</v>
      </c>
      <c r="E667" s="21" t="s">
        <v>333</v>
      </c>
      <c r="F667" s="21" t="s">
        <v>49</v>
      </c>
      <c r="G667" s="21" t="s">
        <v>136</v>
      </c>
      <c r="H667" s="21" t="s">
        <v>219</v>
      </c>
      <c r="I667" s="26">
        <v>1</v>
      </c>
      <c r="J667" s="26">
        <v>10</v>
      </c>
      <c r="K667" s="21" t="s">
        <v>52</v>
      </c>
      <c r="L667" s="27">
        <v>1040</v>
      </c>
      <c r="M667" s="21"/>
      <c r="N667" s="21"/>
      <c r="O667" s="21" t="s">
        <v>1346</v>
      </c>
      <c r="P667" s="21" t="s">
        <v>54</v>
      </c>
      <c r="Q667" s="28">
        <v>46156</v>
      </c>
      <c r="R667" s="29">
        <v>46156.3976157407</v>
      </c>
      <c r="S667" s="21" t="s">
        <v>335</v>
      </c>
      <c r="T667" s="21"/>
      <c r="U667" s="21" t="s">
        <v>332</v>
      </c>
      <c r="V667" s="29">
        <v>46156.3975694444</v>
      </c>
      <c r="W667">
        <f>VLOOKUP(H667,物料編碼!A:B,2,0)</f>
        <v>1300501022</v>
      </c>
      <c r="X667">
        <v>1300501</v>
      </c>
      <c r="Y667" t="str">
        <f>VLOOKUP(X667,物料編碼!D:G,4,0)</f>
        <v>羊排</v>
      </c>
      <c r="Z667" t="str">
        <f>VLOOKUP(C667,客戶屬性1!A:C,2,0)</f>
        <v>天后肉食有限公司</v>
      </c>
      <c r="AA667">
        <f>IF(COUNTIF($O$1:O667,O667)=1,L667,0)</f>
        <v>1040</v>
      </c>
    </row>
    <row r="668" customHeight="1" spans="1:27">
      <c r="A668" s="21" t="s">
        <v>1347</v>
      </c>
      <c r="B668" s="21" t="s">
        <v>45</v>
      </c>
      <c r="C668" s="21" t="s">
        <v>1328</v>
      </c>
      <c r="D668" s="21" t="s">
        <v>1329</v>
      </c>
      <c r="E668" s="21" t="s">
        <v>1330</v>
      </c>
      <c r="F668" s="21" t="s">
        <v>49</v>
      </c>
      <c r="G668" s="21" t="s">
        <v>541</v>
      </c>
      <c r="H668" s="21" t="s">
        <v>121</v>
      </c>
      <c r="I668" s="26">
        <v>2</v>
      </c>
      <c r="J668" s="26">
        <v>40</v>
      </c>
      <c r="K668" s="21" t="s">
        <v>52</v>
      </c>
      <c r="L668" s="27">
        <v>980</v>
      </c>
      <c r="M668" s="21"/>
      <c r="N668" s="21"/>
      <c r="O668" s="21" t="s">
        <v>1348</v>
      </c>
      <c r="P668" s="21" t="s">
        <v>54</v>
      </c>
      <c r="Q668" s="28">
        <v>46156</v>
      </c>
      <c r="R668" s="29">
        <v>46156.3899074074</v>
      </c>
      <c r="S668" s="21" t="s">
        <v>1332</v>
      </c>
      <c r="T668" s="21"/>
      <c r="U668" s="21" t="s">
        <v>1329</v>
      </c>
      <c r="V668" s="29">
        <v>46156.389849537</v>
      </c>
      <c r="W668">
        <f>VLOOKUP(H668,物料編碼!A:B,2,0)</f>
        <v>1300114011</v>
      </c>
      <c r="X668">
        <v>1300114</v>
      </c>
      <c r="Y668" t="str">
        <f>VLOOKUP(X668,物料編碼!D:G,4,0)</f>
        <v>熟食</v>
      </c>
      <c r="Z668" t="str">
        <f>VLOOKUP(C668,客戶屬性1!A:C,2,0)</f>
        <v>祥兴食品公司</v>
      </c>
      <c r="AA668">
        <f>IF(COUNTIF($O$1:O668,O668)=1,L668,0)</f>
        <v>980</v>
      </c>
    </row>
    <row r="669" customHeight="1" spans="1:27">
      <c r="A669" s="21" t="s">
        <v>1349</v>
      </c>
      <c r="B669" s="21" t="s">
        <v>45</v>
      </c>
      <c r="C669" s="21" t="e">
        <v>#N/A</v>
      </c>
      <c r="D669" s="21" t="s">
        <v>1041</v>
      </c>
      <c r="E669" s="21" t="e">
        <v>#N/A</v>
      </c>
      <c r="F669" s="21" t="s">
        <v>1042</v>
      </c>
      <c r="G669" s="21" t="s">
        <v>1043</v>
      </c>
      <c r="H669" s="21" t="s">
        <v>1044</v>
      </c>
      <c r="I669" s="27">
        <v>5</v>
      </c>
      <c r="J669" s="27">
        <v>5</v>
      </c>
      <c r="K669" s="21" t="s">
        <v>112</v>
      </c>
      <c r="L669" s="27">
        <v>1025</v>
      </c>
      <c r="M669" s="21"/>
      <c r="N669" s="21"/>
      <c r="O669" s="21" t="s">
        <v>1350</v>
      </c>
      <c r="P669" s="21" t="s">
        <v>54</v>
      </c>
      <c r="Q669" s="28">
        <v>46156</v>
      </c>
      <c r="R669" s="29">
        <v>46155.7149305556</v>
      </c>
      <c r="S669" s="21" t="s">
        <v>1046</v>
      </c>
      <c r="T669" s="21"/>
      <c r="U669" s="21" t="s">
        <v>1041</v>
      </c>
      <c r="V669" s="29">
        <v>46155.7148726852</v>
      </c>
      <c r="W669" t="e">
        <f>VLOOKUP(H669,物料編碼!A:B,2,0)</f>
        <v>#N/A</v>
      </c>
      <c r="X669" t="e">
        <v>#N/A</v>
      </c>
      <c r="Y669" t="e">
        <f>VLOOKUP(X669,物料編碼!D:G,4,0)</f>
        <v>#N/A</v>
      </c>
      <c r="Z669" t="e">
        <f>VLOOKUP(C669,客戶屬性1!A:C,2,0)</f>
        <v>#N/A</v>
      </c>
      <c r="AA669">
        <f>IF(COUNTIF($O$1:O669,O669)=1,L669,0)</f>
        <v>1025</v>
      </c>
    </row>
    <row r="670" customHeight="1" spans="1:27">
      <c r="A670" s="21" t="s">
        <v>1351</v>
      </c>
      <c r="B670" s="21" t="s">
        <v>45</v>
      </c>
      <c r="C670" s="21" t="s">
        <v>538</v>
      </c>
      <c r="D670" s="21" t="s">
        <v>539</v>
      </c>
      <c r="E670" s="21" t="s">
        <v>540</v>
      </c>
      <c r="F670" s="21" t="s">
        <v>49</v>
      </c>
      <c r="G670" s="21" t="s">
        <v>541</v>
      </c>
      <c r="H670" s="21" t="s">
        <v>63</v>
      </c>
      <c r="I670" s="26">
        <v>1</v>
      </c>
      <c r="J670" s="26">
        <v>25</v>
      </c>
      <c r="K670" s="21" t="s">
        <v>52</v>
      </c>
      <c r="L670" s="27">
        <v>815</v>
      </c>
      <c r="M670" s="21"/>
      <c r="N670" s="21"/>
      <c r="O670" s="21" t="s">
        <v>1352</v>
      </c>
      <c r="P670" s="21" t="s">
        <v>54</v>
      </c>
      <c r="Q670" s="28">
        <v>46156</v>
      </c>
      <c r="R670" s="29">
        <v>46155.6276273148</v>
      </c>
      <c r="S670" s="21" t="s">
        <v>543</v>
      </c>
      <c r="T670" s="21"/>
      <c r="U670" s="21" t="s">
        <v>539</v>
      </c>
      <c r="V670" s="29">
        <v>46155.6275694444</v>
      </c>
      <c r="W670">
        <f>VLOOKUP(H670,物料編碼!A:B,2,0)</f>
        <v>1300109002</v>
      </c>
      <c r="X670">
        <v>1300109</v>
      </c>
      <c r="Y670" t="str">
        <f>VLOOKUP(X670,物料編碼!D:G,4,0)</f>
        <v>面精肉</v>
      </c>
      <c r="Z670" t="str">
        <f>VLOOKUP(C670,客戶屬性1!A:C,2,0)</f>
        <v>诚信冻肉有限公司</v>
      </c>
      <c r="AA670">
        <f>IF(COUNTIF($O$1:O670,O670)=1,L670,0)</f>
        <v>815</v>
      </c>
    </row>
    <row r="671" customHeight="1" spans="1:27">
      <c r="A671" s="21" t="s">
        <v>1353</v>
      </c>
      <c r="B671" s="21" t="s">
        <v>45</v>
      </c>
      <c r="C671" s="21" t="s">
        <v>290</v>
      </c>
      <c r="D671" s="21" t="s">
        <v>291</v>
      </c>
      <c r="E671" s="21" t="s">
        <v>292</v>
      </c>
      <c r="F671" s="21" t="s">
        <v>49</v>
      </c>
      <c r="G671" s="21" t="s">
        <v>50</v>
      </c>
      <c r="H671" s="21" t="s">
        <v>101</v>
      </c>
      <c r="I671" s="26">
        <v>4</v>
      </c>
      <c r="J671" s="26">
        <v>100</v>
      </c>
      <c r="K671" s="21" t="s">
        <v>52</v>
      </c>
      <c r="L671" s="27">
        <v>3150</v>
      </c>
      <c r="M671" s="21"/>
      <c r="N671" s="21"/>
      <c r="O671" s="21" t="s">
        <v>1354</v>
      </c>
      <c r="P671" s="21" t="s">
        <v>54</v>
      </c>
      <c r="Q671" s="28">
        <v>46156</v>
      </c>
      <c r="R671" s="29">
        <v>46155.5232175926</v>
      </c>
      <c r="S671" s="21" t="s">
        <v>294</v>
      </c>
      <c r="T671" s="21"/>
      <c r="U671" s="21" t="s">
        <v>292</v>
      </c>
      <c r="V671" s="29">
        <v>46155.5231597222</v>
      </c>
      <c r="W671">
        <f>VLOOKUP(H671,物料編碼!A:B,2,0)</f>
        <v>1300101018</v>
      </c>
      <c r="X671">
        <v>1300101</v>
      </c>
      <c r="Y671" t="str">
        <f>VLOOKUP(X671,物料編碼!D:G,4,0)</f>
        <v>一號肉</v>
      </c>
      <c r="Z671" t="str">
        <f>VLOOKUP(C671,客戶屬性1!A:C,2,0)</f>
        <v>溢利食品(香港)有限公司</v>
      </c>
      <c r="AA671">
        <f>IF(COUNTIF($O$1:O671,O671)=1,L671,0)</f>
        <v>3150</v>
      </c>
    </row>
    <row r="672" customHeight="1" spans="1:27">
      <c r="A672" s="21" t="s">
        <v>1355</v>
      </c>
      <c r="B672" s="21" t="s">
        <v>45</v>
      </c>
      <c r="C672" s="21" t="s">
        <v>72</v>
      </c>
      <c r="D672" s="21" t="s">
        <v>73</v>
      </c>
      <c r="E672" s="21" t="s">
        <v>74</v>
      </c>
      <c r="F672" s="21" t="s">
        <v>49</v>
      </c>
      <c r="G672" s="21" t="s">
        <v>50</v>
      </c>
      <c r="H672" s="21" t="s">
        <v>75</v>
      </c>
      <c r="I672" s="26">
        <v>1</v>
      </c>
      <c r="J672" s="26">
        <v>15</v>
      </c>
      <c r="K672" s="21" t="s">
        <v>52</v>
      </c>
      <c r="L672" s="27">
        <v>1017.35</v>
      </c>
      <c r="M672" s="21"/>
      <c r="N672" s="21"/>
      <c r="O672" s="21" t="s">
        <v>1356</v>
      </c>
      <c r="P672" s="21" t="s">
        <v>54</v>
      </c>
      <c r="Q672" s="28">
        <v>46156</v>
      </c>
      <c r="R672" s="29">
        <v>46155.4954398148</v>
      </c>
      <c r="S672" s="21" t="s">
        <v>77</v>
      </c>
      <c r="T672" s="21"/>
      <c r="U672" s="21" t="s">
        <v>74</v>
      </c>
      <c r="V672" s="29">
        <v>46155.4953935185</v>
      </c>
      <c r="W672">
        <f>VLOOKUP(H672,物料編碼!A:B,2,0)</f>
        <v>1300603040</v>
      </c>
      <c r="X672">
        <v>1300603</v>
      </c>
      <c r="Y672" t="str">
        <f>VLOOKUP(X672,物料編碼!D:G,4,0)</f>
        <v>帶骨全腿</v>
      </c>
      <c r="Z672" t="str">
        <f>VLOOKUP(C672,客戶屬性1!A:C,2,0)</f>
        <v>恒辉贸易公司</v>
      </c>
      <c r="AA672">
        <f>IF(COUNTIF($O$1:O672,O672)=1,L672,0)</f>
        <v>1017.35</v>
      </c>
    </row>
    <row r="673" customHeight="1" spans="1:27">
      <c r="A673" s="21" t="s">
        <v>1355</v>
      </c>
      <c r="B673" s="21" t="s">
        <v>45</v>
      </c>
      <c r="C673" s="21" t="s">
        <v>72</v>
      </c>
      <c r="D673" s="21" t="s">
        <v>73</v>
      </c>
      <c r="E673" s="21" t="s">
        <v>74</v>
      </c>
      <c r="F673" s="21" t="s">
        <v>49</v>
      </c>
      <c r="G673" s="21" t="s">
        <v>50</v>
      </c>
      <c r="H673" s="21" t="s">
        <v>402</v>
      </c>
      <c r="I673" s="26">
        <v>2</v>
      </c>
      <c r="J673" s="26">
        <v>20</v>
      </c>
      <c r="K673" s="21" t="s">
        <v>52</v>
      </c>
      <c r="L673" s="27">
        <v>1017.35</v>
      </c>
      <c r="M673" s="21"/>
      <c r="N673" s="21"/>
      <c r="O673" s="21" t="s">
        <v>1356</v>
      </c>
      <c r="P673" s="21" t="s">
        <v>54</v>
      </c>
      <c r="Q673" s="28">
        <v>46156</v>
      </c>
      <c r="R673" s="29">
        <v>46155.4954398148</v>
      </c>
      <c r="S673" s="21" t="s">
        <v>77</v>
      </c>
      <c r="T673" s="21"/>
      <c r="U673" s="21" t="s">
        <v>74</v>
      </c>
      <c r="V673" s="29">
        <v>46155.4953935185</v>
      </c>
      <c r="W673">
        <f>VLOOKUP(H673,物料編碼!A:B,2,0)</f>
        <v>1300903002</v>
      </c>
      <c r="X673">
        <v>1300903</v>
      </c>
      <c r="Y673" t="str">
        <f>VLOOKUP(X673,物料編碼!D:G,4,0)</f>
        <v>生鴨胸</v>
      </c>
      <c r="Z673" t="str">
        <f>VLOOKUP(C673,客戶屬性1!A:C,2,0)</f>
        <v>恒辉贸易公司</v>
      </c>
      <c r="AA673">
        <f>IF(COUNTIF($O$1:O673,O673)=1,L673,0)</f>
        <v>0</v>
      </c>
    </row>
    <row r="674" customHeight="1" spans="1:27">
      <c r="A674" s="21" t="s">
        <v>1355</v>
      </c>
      <c r="B674" s="21" t="s">
        <v>45</v>
      </c>
      <c r="C674" s="21" t="s">
        <v>72</v>
      </c>
      <c r="D674" s="21" t="s">
        <v>73</v>
      </c>
      <c r="E674" s="21" t="s">
        <v>74</v>
      </c>
      <c r="F674" s="21" t="s">
        <v>49</v>
      </c>
      <c r="G674" s="21" t="s">
        <v>50</v>
      </c>
      <c r="H674" s="21" t="s">
        <v>671</v>
      </c>
      <c r="I674" s="26">
        <v>4</v>
      </c>
      <c r="J674" s="26">
        <v>48</v>
      </c>
      <c r="K674" s="21" t="s">
        <v>52</v>
      </c>
      <c r="L674" s="27">
        <v>1017.35</v>
      </c>
      <c r="M674" s="21"/>
      <c r="N674" s="21"/>
      <c r="O674" s="21" t="s">
        <v>1356</v>
      </c>
      <c r="P674" s="21" t="s">
        <v>54</v>
      </c>
      <c r="Q674" s="28">
        <v>46156</v>
      </c>
      <c r="R674" s="29">
        <v>46155.4954398148</v>
      </c>
      <c r="S674" s="21" t="s">
        <v>77</v>
      </c>
      <c r="T674" s="21"/>
      <c r="U674" s="21" t="s">
        <v>74</v>
      </c>
      <c r="V674" s="29">
        <v>46155.4953935185</v>
      </c>
      <c r="W674">
        <f>VLOOKUP(H674,物料編碼!A:B,2,0)</f>
        <v>1300612023</v>
      </c>
      <c r="X674">
        <v>1300612</v>
      </c>
      <c r="Y674" t="str">
        <f>VLOOKUP(X674,物料編碼!D:G,4,0)</f>
        <v>去皮胸肉</v>
      </c>
      <c r="Z674" t="str">
        <f>VLOOKUP(C674,客戶屬性1!A:C,2,0)</f>
        <v>恒辉贸易公司</v>
      </c>
      <c r="AA674">
        <f>IF(COUNTIF($O$1:O674,O674)=1,L674,0)</f>
        <v>0</v>
      </c>
    </row>
    <row r="675" customHeight="1" spans="1:27">
      <c r="A675" s="21" t="s">
        <v>1357</v>
      </c>
      <c r="B675" s="21" t="s">
        <v>45</v>
      </c>
      <c r="C675" s="21" t="s">
        <v>141</v>
      </c>
      <c r="D675" s="21" t="s">
        <v>142</v>
      </c>
      <c r="E675" s="21" t="s">
        <v>142</v>
      </c>
      <c r="F675" s="21" t="s">
        <v>143</v>
      </c>
      <c r="G675" s="21" t="s">
        <v>100</v>
      </c>
      <c r="H675" s="21" t="s">
        <v>146</v>
      </c>
      <c r="I675" s="26">
        <v>2</v>
      </c>
      <c r="J675" s="26">
        <v>30</v>
      </c>
      <c r="K675" s="21" t="s">
        <v>52</v>
      </c>
      <c r="L675" s="27">
        <v>1423.8</v>
      </c>
      <c r="M675" s="21"/>
      <c r="N675" s="21"/>
      <c r="O675" s="21" t="s">
        <v>1358</v>
      </c>
      <c r="P675" s="21" t="s">
        <v>54</v>
      </c>
      <c r="Q675" s="28">
        <v>46156</v>
      </c>
      <c r="R675" s="29">
        <v>46155.4815393519</v>
      </c>
      <c r="S675" s="21" t="s">
        <v>145</v>
      </c>
      <c r="T675" s="21"/>
      <c r="U675" s="21" t="s">
        <v>142</v>
      </c>
      <c r="V675" s="29">
        <v>46155.4814814815</v>
      </c>
      <c r="W675">
        <f>VLOOKUP(H675,物料編碼!A:B,2,0)</f>
        <v>1300603041</v>
      </c>
      <c r="X675">
        <v>1300603</v>
      </c>
      <c r="Y675" t="str">
        <f>VLOOKUP(X675,物料編碼!D:G,4,0)</f>
        <v>帶骨全腿</v>
      </c>
      <c r="Z675" t="str">
        <f>VLOOKUP(C675,客戶屬性1!A:C,2,0)</f>
        <v>新昌冻肉</v>
      </c>
      <c r="AA675">
        <f>IF(COUNTIF($O$1:O675,O675)=1,L675,0)</f>
        <v>1423.8</v>
      </c>
    </row>
    <row r="676" customHeight="1" spans="1:27">
      <c r="A676" s="21" t="s">
        <v>1357</v>
      </c>
      <c r="B676" s="21" t="s">
        <v>45</v>
      </c>
      <c r="C676" s="21" t="s">
        <v>141</v>
      </c>
      <c r="D676" s="21" t="s">
        <v>142</v>
      </c>
      <c r="E676" s="21" t="s">
        <v>142</v>
      </c>
      <c r="F676" s="21" t="s">
        <v>143</v>
      </c>
      <c r="G676" s="21" t="s">
        <v>100</v>
      </c>
      <c r="H676" s="21" t="s">
        <v>302</v>
      </c>
      <c r="I676" s="26">
        <v>2</v>
      </c>
      <c r="J676" s="26">
        <v>24</v>
      </c>
      <c r="K676" s="21" t="s">
        <v>52</v>
      </c>
      <c r="L676" s="27">
        <v>1423.8</v>
      </c>
      <c r="M676" s="21"/>
      <c r="N676" s="21"/>
      <c r="O676" s="21" t="s">
        <v>1358</v>
      </c>
      <c r="P676" s="21" t="s">
        <v>54</v>
      </c>
      <c r="Q676" s="28">
        <v>46156</v>
      </c>
      <c r="R676" s="29">
        <v>46155.4815393519</v>
      </c>
      <c r="S676" s="21" t="s">
        <v>145</v>
      </c>
      <c r="T676" s="21"/>
      <c r="U676" s="21" t="s">
        <v>142</v>
      </c>
      <c r="V676" s="29">
        <v>46155.4814814815</v>
      </c>
      <c r="W676">
        <f>VLOOKUP(H676,物料編碼!A:B,2,0)</f>
        <v>1300609018</v>
      </c>
      <c r="X676">
        <v>1300609</v>
      </c>
      <c r="Y676" t="str">
        <f>VLOOKUP(X676,物料編碼!D:G,4,0)</f>
        <v>去皮上腿肉</v>
      </c>
      <c r="Z676" t="str">
        <f>VLOOKUP(C676,客戶屬性1!A:C,2,0)</f>
        <v>新昌冻肉</v>
      </c>
      <c r="AA676">
        <f>IF(COUNTIF($O$1:O676,O676)=1,L676,0)</f>
        <v>0</v>
      </c>
    </row>
    <row r="677" customHeight="1" spans="1:27">
      <c r="A677" s="21" t="s">
        <v>1357</v>
      </c>
      <c r="B677" s="21" t="s">
        <v>45</v>
      </c>
      <c r="C677" s="21" t="s">
        <v>141</v>
      </c>
      <c r="D677" s="21" t="s">
        <v>142</v>
      </c>
      <c r="E677" s="21" t="s">
        <v>142</v>
      </c>
      <c r="F677" s="21" t="s">
        <v>143</v>
      </c>
      <c r="G677" s="21" t="s">
        <v>100</v>
      </c>
      <c r="H677" s="21" t="s">
        <v>117</v>
      </c>
      <c r="I677" s="26">
        <v>3</v>
      </c>
      <c r="J677" s="26">
        <v>45</v>
      </c>
      <c r="K677" s="21" t="s">
        <v>52</v>
      </c>
      <c r="L677" s="27">
        <v>1423.8</v>
      </c>
      <c r="M677" s="21"/>
      <c r="N677" s="21"/>
      <c r="O677" s="21" t="s">
        <v>1358</v>
      </c>
      <c r="P677" s="21" t="s">
        <v>54</v>
      </c>
      <c r="Q677" s="28">
        <v>46156</v>
      </c>
      <c r="R677" s="29">
        <v>46155.4815393519</v>
      </c>
      <c r="S677" s="21" t="s">
        <v>145</v>
      </c>
      <c r="T677" s="21"/>
      <c r="U677" s="21" t="s">
        <v>142</v>
      </c>
      <c r="V677" s="29">
        <v>46155.4814814815</v>
      </c>
      <c r="W677">
        <f>VLOOKUP(H677,物料編碼!A:B,2,0)</f>
        <v>1300607015</v>
      </c>
      <c r="X677">
        <v>1300607</v>
      </c>
      <c r="Y677" t="str">
        <f>VLOOKUP(X677,物料編碼!D:G,4,0)</f>
        <v>帶皮腿扒</v>
      </c>
      <c r="Z677" t="str">
        <f>VLOOKUP(C677,客戶屬性1!A:C,2,0)</f>
        <v>新昌冻肉</v>
      </c>
      <c r="AA677">
        <f>IF(COUNTIF($O$1:O677,O677)=1,L677,0)</f>
        <v>0</v>
      </c>
    </row>
    <row r="678" customHeight="1" spans="1:27">
      <c r="A678" s="21" t="s">
        <v>1359</v>
      </c>
      <c r="B678" s="21" t="s">
        <v>45</v>
      </c>
      <c r="C678" s="21" t="s">
        <v>72</v>
      </c>
      <c r="D678" s="21" t="s">
        <v>73</v>
      </c>
      <c r="E678" s="21" t="s">
        <v>74</v>
      </c>
      <c r="F678" s="21" t="s">
        <v>49</v>
      </c>
      <c r="G678" s="21" t="s">
        <v>50</v>
      </c>
      <c r="H678" s="21" t="s">
        <v>402</v>
      </c>
      <c r="I678" s="26">
        <v>2</v>
      </c>
      <c r="J678" s="26">
        <v>20</v>
      </c>
      <c r="K678" s="21" t="s">
        <v>52</v>
      </c>
      <c r="L678" s="27">
        <v>272</v>
      </c>
      <c r="M678" s="21"/>
      <c r="N678" s="21"/>
      <c r="O678" s="21" t="s">
        <v>1360</v>
      </c>
      <c r="P678" s="21" t="s">
        <v>183</v>
      </c>
      <c r="Q678" s="28">
        <v>46156</v>
      </c>
      <c r="R678" s="29">
        <v>46155.479375</v>
      </c>
      <c r="S678" s="21" t="s">
        <v>77</v>
      </c>
      <c r="T678" s="21"/>
      <c r="U678" s="21" t="s">
        <v>74</v>
      </c>
      <c r="V678" s="29">
        <v>46155.4793055556</v>
      </c>
      <c r="W678">
        <f>VLOOKUP(H678,物料編碼!A:B,2,0)</f>
        <v>1300903002</v>
      </c>
      <c r="X678">
        <v>1300903</v>
      </c>
      <c r="Y678" t="str">
        <f>VLOOKUP(X678,物料編碼!D:G,4,0)</f>
        <v>生鴨胸</v>
      </c>
      <c r="Z678" t="str">
        <f>VLOOKUP(C678,客戶屬性1!A:C,2,0)</f>
        <v>恒辉贸易公司</v>
      </c>
      <c r="AA678">
        <f>IF(COUNTIF($O$1:O678,O678)=1,L678,0)</f>
        <v>272</v>
      </c>
    </row>
    <row r="679" customHeight="1" spans="1:27">
      <c r="A679" s="21" t="s">
        <v>1361</v>
      </c>
      <c r="B679" s="21" t="s">
        <v>45</v>
      </c>
      <c r="C679" s="21" t="s">
        <v>390</v>
      </c>
      <c r="D679" s="21" t="s">
        <v>391</v>
      </c>
      <c r="E679" s="21" t="s">
        <v>392</v>
      </c>
      <c r="F679" s="21" t="s">
        <v>49</v>
      </c>
      <c r="G679" s="21" t="s">
        <v>89</v>
      </c>
      <c r="H679" s="21" t="s">
        <v>161</v>
      </c>
      <c r="I679" s="26">
        <v>5</v>
      </c>
      <c r="J679" s="26">
        <v>100</v>
      </c>
      <c r="K679" s="21" t="s">
        <v>52</v>
      </c>
      <c r="L679" s="27">
        <v>9600</v>
      </c>
      <c r="M679" s="21"/>
      <c r="N679" s="21"/>
      <c r="O679" s="21" t="s">
        <v>1362</v>
      </c>
      <c r="P679" s="21" t="s">
        <v>54</v>
      </c>
      <c r="Q679" s="28">
        <v>46156</v>
      </c>
      <c r="R679" s="29">
        <v>46155.4598032407</v>
      </c>
      <c r="S679" s="21" t="s">
        <v>395</v>
      </c>
      <c r="T679" s="21"/>
      <c r="U679" s="21" t="s">
        <v>392</v>
      </c>
      <c r="V679" s="29">
        <v>46155.4597453704</v>
      </c>
      <c r="W679">
        <f>VLOOKUP(H679,物料編碼!A:B,2,0)</f>
        <v>1300501020</v>
      </c>
      <c r="X679">
        <v>1300501</v>
      </c>
      <c r="Y679" t="str">
        <f>VLOOKUP(X679,物料編碼!D:G,4,0)</f>
        <v>羊排</v>
      </c>
      <c r="Z679" t="str">
        <f>VLOOKUP(C679,客戶屬性1!A:C,2,0)</f>
        <v>美亚食品贸易有限公司</v>
      </c>
      <c r="AA679">
        <f>IF(COUNTIF($O$1:O679,O679)=1,L679,0)</f>
        <v>9600</v>
      </c>
    </row>
    <row r="680" customHeight="1" spans="1:27">
      <c r="A680" s="21" t="s">
        <v>1363</v>
      </c>
      <c r="B680" s="21" t="s">
        <v>45</v>
      </c>
      <c r="C680" s="21" t="s">
        <v>290</v>
      </c>
      <c r="D680" s="21" t="s">
        <v>291</v>
      </c>
      <c r="E680" s="21" t="s">
        <v>292</v>
      </c>
      <c r="F680" s="21" t="s">
        <v>49</v>
      </c>
      <c r="G680" s="21" t="s">
        <v>50</v>
      </c>
      <c r="H680" s="21" t="s">
        <v>267</v>
      </c>
      <c r="I680" s="26">
        <v>1</v>
      </c>
      <c r="J680" s="26">
        <v>20</v>
      </c>
      <c r="K680" s="21" t="s">
        <v>52</v>
      </c>
      <c r="L680" s="27">
        <v>1180</v>
      </c>
      <c r="M680" s="21"/>
      <c r="N680" s="21"/>
      <c r="O680" s="21" t="s">
        <v>1364</v>
      </c>
      <c r="P680" s="21" t="s">
        <v>54</v>
      </c>
      <c r="Q680" s="28">
        <v>46155</v>
      </c>
      <c r="R680" s="29">
        <v>46155.4552662037</v>
      </c>
      <c r="S680" s="21" t="s">
        <v>294</v>
      </c>
      <c r="T680" s="21"/>
      <c r="U680" s="21" t="s">
        <v>292</v>
      </c>
      <c r="V680" s="29">
        <v>46155.4552083333</v>
      </c>
      <c r="W680">
        <f>VLOOKUP(H680,物料編碼!A:B,2,0)</f>
        <v>1300511002</v>
      </c>
      <c r="X680">
        <v>1300511</v>
      </c>
      <c r="Y680" t="str">
        <f>VLOOKUP(X680,物料編碼!D:G,4,0)</f>
        <v>羊卷肉</v>
      </c>
      <c r="Z680" t="str">
        <f>VLOOKUP(C680,客戶屬性1!A:C,2,0)</f>
        <v>溢利食品(香港)有限公司</v>
      </c>
      <c r="AA680">
        <f>IF(COUNTIF($O$1:O680,O680)=1,L680,0)</f>
        <v>1180</v>
      </c>
    </row>
    <row r="681" customHeight="1" spans="1:27">
      <c r="A681" s="21" t="s">
        <v>1365</v>
      </c>
      <c r="B681" s="21" t="s">
        <v>45</v>
      </c>
      <c r="C681" s="21" t="s">
        <v>158</v>
      </c>
      <c r="D681" s="21" t="s">
        <v>159</v>
      </c>
      <c r="E681" s="21" t="s">
        <v>160</v>
      </c>
      <c r="F681" s="21" t="s">
        <v>49</v>
      </c>
      <c r="G681" s="21" t="s">
        <v>68</v>
      </c>
      <c r="H681" s="21" t="s">
        <v>283</v>
      </c>
      <c r="I681" s="26">
        <v>2</v>
      </c>
      <c r="J681" s="26">
        <v>50</v>
      </c>
      <c r="K681" s="21" t="s">
        <v>52</v>
      </c>
      <c r="L681" s="27">
        <v>990</v>
      </c>
      <c r="M681" s="21"/>
      <c r="N681" s="21"/>
      <c r="O681" s="21" t="s">
        <v>1366</v>
      </c>
      <c r="P681" s="21" t="s">
        <v>54</v>
      </c>
      <c r="Q681" s="28">
        <v>46156</v>
      </c>
      <c r="R681" s="29">
        <v>46155.4031828704</v>
      </c>
      <c r="S681" s="21" t="s">
        <v>163</v>
      </c>
      <c r="T681" s="21"/>
      <c r="U681" s="21" t="s">
        <v>164</v>
      </c>
      <c r="V681" s="29">
        <v>46155.4031365741</v>
      </c>
      <c r="W681">
        <f>VLOOKUP(H681,物料編碼!A:B,2,0)</f>
        <v>1300104005</v>
      </c>
      <c r="X681">
        <v>1300104</v>
      </c>
      <c r="Y681" t="str">
        <f>VLOOKUP(X681,物料編碼!D:G,4,0)</f>
        <v>四號肉</v>
      </c>
      <c r="Z681" t="str">
        <f>VLOOKUP(C681,客戶屬性1!A:C,2,0)</f>
        <v>先进食品国际有限公司</v>
      </c>
      <c r="AA681">
        <f>IF(COUNTIF($O$1:O681,O681)=1,L681,0)</f>
        <v>990</v>
      </c>
    </row>
    <row r="682" customHeight="1" spans="1:27">
      <c r="A682" s="21" t="s">
        <v>1367</v>
      </c>
      <c r="B682" s="21" t="s">
        <v>45</v>
      </c>
      <c r="C682" s="21" t="s">
        <v>72</v>
      </c>
      <c r="D682" s="21" t="s">
        <v>73</v>
      </c>
      <c r="E682" s="21" t="s">
        <v>74</v>
      </c>
      <c r="F682" s="21" t="s">
        <v>49</v>
      </c>
      <c r="G682" s="21" t="s">
        <v>50</v>
      </c>
      <c r="H682" s="21" t="s">
        <v>190</v>
      </c>
      <c r="I682" s="26">
        <v>8</v>
      </c>
      <c r="J682" s="26">
        <v>96</v>
      </c>
      <c r="K682" s="21" t="s">
        <v>52</v>
      </c>
      <c r="L682" s="27">
        <v>1516.8</v>
      </c>
      <c r="M682" s="21"/>
      <c r="N682" s="21"/>
      <c r="O682" s="21" t="s">
        <v>1368</v>
      </c>
      <c r="P682" s="21" t="s">
        <v>54</v>
      </c>
      <c r="Q682" s="28">
        <v>46155</v>
      </c>
      <c r="R682" s="29">
        <v>46155.4009606481</v>
      </c>
      <c r="S682" s="21" t="s">
        <v>77</v>
      </c>
      <c r="T682" s="21"/>
      <c r="U682" s="21" t="s">
        <v>74</v>
      </c>
      <c r="V682" s="29">
        <v>46155.4009259259</v>
      </c>
      <c r="W682">
        <f>VLOOKUP(H682,物料編碼!A:B,2,0)</f>
        <v>1300609001</v>
      </c>
      <c r="X682">
        <v>1300609</v>
      </c>
      <c r="Y682" t="str">
        <f>VLOOKUP(X682,物料編碼!D:G,4,0)</f>
        <v>去皮上腿肉</v>
      </c>
      <c r="Z682" t="str">
        <f>VLOOKUP(C682,客戶屬性1!A:C,2,0)</f>
        <v>恒辉贸易公司</v>
      </c>
      <c r="AA682">
        <f>IF(COUNTIF($O$1:O682,O682)=1,L682,0)</f>
        <v>1516.8</v>
      </c>
    </row>
    <row r="683" customHeight="1" spans="1:27">
      <c r="A683" s="21" t="s">
        <v>1369</v>
      </c>
      <c r="B683" s="21" t="s">
        <v>45</v>
      </c>
      <c r="C683" s="21" t="s">
        <v>72</v>
      </c>
      <c r="D683" s="21" t="s">
        <v>73</v>
      </c>
      <c r="E683" s="21" t="s">
        <v>74</v>
      </c>
      <c r="F683" s="21" t="s">
        <v>49</v>
      </c>
      <c r="G683" s="21" t="s">
        <v>50</v>
      </c>
      <c r="H683" s="21" t="s">
        <v>190</v>
      </c>
      <c r="I683" s="26">
        <v>8</v>
      </c>
      <c r="J683" s="26">
        <v>96</v>
      </c>
      <c r="K683" s="21" t="s">
        <v>52</v>
      </c>
      <c r="L683" s="27">
        <v>1516.8</v>
      </c>
      <c r="M683" s="21"/>
      <c r="N683" s="21"/>
      <c r="O683" s="21" t="s">
        <v>1370</v>
      </c>
      <c r="P683" s="21" t="s">
        <v>54</v>
      </c>
      <c r="Q683" s="28">
        <v>46155</v>
      </c>
      <c r="R683" s="29">
        <v>46155.4008217593</v>
      </c>
      <c r="S683" s="21" t="s">
        <v>77</v>
      </c>
      <c r="T683" s="21"/>
      <c r="U683" s="21" t="s">
        <v>74</v>
      </c>
      <c r="V683" s="29">
        <v>46155.4007638889</v>
      </c>
      <c r="W683">
        <f>VLOOKUP(H683,物料編碼!A:B,2,0)</f>
        <v>1300609001</v>
      </c>
      <c r="X683">
        <v>1300609</v>
      </c>
      <c r="Y683" t="str">
        <f>VLOOKUP(X683,物料編碼!D:G,4,0)</f>
        <v>去皮上腿肉</v>
      </c>
      <c r="Z683" t="str">
        <f>VLOOKUP(C683,客戶屬性1!A:C,2,0)</f>
        <v>恒辉贸易公司</v>
      </c>
      <c r="AA683">
        <f>IF(COUNTIF($O$1:O683,O683)=1,L683,0)</f>
        <v>1516.8</v>
      </c>
    </row>
    <row r="684" customHeight="1" spans="1:27">
      <c r="A684" s="21" t="s">
        <v>1371</v>
      </c>
      <c r="B684" s="21" t="s">
        <v>45</v>
      </c>
      <c r="C684" s="21" t="s">
        <v>1372</v>
      </c>
      <c r="D684" s="21" t="s">
        <v>1373</v>
      </c>
      <c r="E684" s="21" t="s">
        <v>1374</v>
      </c>
      <c r="F684" s="21" t="s">
        <v>49</v>
      </c>
      <c r="G684" s="21" t="s">
        <v>541</v>
      </c>
      <c r="H684" s="21" t="s">
        <v>190</v>
      </c>
      <c r="I684" s="26">
        <v>15</v>
      </c>
      <c r="J684" s="26">
        <v>180</v>
      </c>
      <c r="K684" s="21" t="s">
        <v>52</v>
      </c>
      <c r="L684" s="27">
        <v>2844</v>
      </c>
      <c r="M684" s="21"/>
      <c r="N684" s="21"/>
      <c r="O684" s="21" t="s">
        <v>1375</v>
      </c>
      <c r="P684" s="21" t="s">
        <v>54</v>
      </c>
      <c r="Q684" s="28">
        <v>46155</v>
      </c>
      <c r="R684" s="29">
        <v>46155.3928703704</v>
      </c>
      <c r="S684" s="21" t="s">
        <v>1376</v>
      </c>
      <c r="T684" s="21"/>
      <c r="U684" s="21" t="s">
        <v>1373</v>
      </c>
      <c r="V684" s="29">
        <v>46155.3928125</v>
      </c>
      <c r="W684">
        <f>VLOOKUP(H684,物料編碼!A:B,2,0)</f>
        <v>1300609001</v>
      </c>
      <c r="X684">
        <v>1300609</v>
      </c>
      <c r="Y684" t="str">
        <f>VLOOKUP(X684,物料編碼!D:G,4,0)</f>
        <v>去皮上腿肉</v>
      </c>
      <c r="Z684" t="str">
        <f>VLOOKUP(C684,客戶屬性1!A:C,2,0)</f>
        <v>溢丰贸易</v>
      </c>
      <c r="AA684">
        <f>IF(COUNTIF($O$1:O684,O684)=1,L684,0)</f>
        <v>2844</v>
      </c>
    </row>
    <row r="685" customHeight="1" spans="1:27">
      <c r="A685" s="21" t="s">
        <v>1377</v>
      </c>
      <c r="B685" s="21" t="s">
        <v>45</v>
      </c>
      <c r="C685" s="21" t="s">
        <v>235</v>
      </c>
      <c r="D685" s="21" t="s">
        <v>236</v>
      </c>
      <c r="E685" s="21" t="s">
        <v>237</v>
      </c>
      <c r="F685" s="21" t="s">
        <v>49</v>
      </c>
      <c r="G685" s="21" t="s">
        <v>238</v>
      </c>
      <c r="H685" s="21" t="s">
        <v>190</v>
      </c>
      <c r="I685" s="26">
        <v>10</v>
      </c>
      <c r="J685" s="26">
        <v>120</v>
      </c>
      <c r="K685" s="21" t="s">
        <v>52</v>
      </c>
      <c r="L685" s="27">
        <v>1884</v>
      </c>
      <c r="M685" s="21"/>
      <c r="N685" s="21"/>
      <c r="O685" s="21" t="s">
        <v>1378</v>
      </c>
      <c r="P685" s="21" t="s">
        <v>54</v>
      </c>
      <c r="Q685" s="28">
        <v>46155</v>
      </c>
      <c r="R685" s="29">
        <v>46154.6753009259</v>
      </c>
      <c r="S685" s="21" t="s">
        <v>241</v>
      </c>
      <c r="T685" s="21"/>
      <c r="U685" s="21" t="s">
        <v>237</v>
      </c>
      <c r="V685" s="29">
        <v>46154.6752430556</v>
      </c>
      <c r="W685">
        <f>VLOOKUP(H685,物料編碼!A:B,2,0)</f>
        <v>1300609001</v>
      </c>
      <c r="X685">
        <v>1300609</v>
      </c>
      <c r="Y685" t="str">
        <f>VLOOKUP(X685,物料編碼!D:G,4,0)</f>
        <v>去皮上腿肉</v>
      </c>
      <c r="Z685" t="str">
        <f>VLOOKUP(C685,客戶屬性1!A:C,2,0)</f>
        <v>联合林记食品有限公司</v>
      </c>
      <c r="AA685">
        <f>IF(COUNTIF($O$1:O685,O685)=1,L685,0)</f>
        <v>1884</v>
      </c>
    </row>
    <row r="686" customHeight="1" spans="1:27">
      <c r="A686" s="21" t="s">
        <v>1379</v>
      </c>
      <c r="B686" s="21" t="s">
        <v>45</v>
      </c>
      <c r="C686" s="21" t="s">
        <v>1380</v>
      </c>
      <c r="D686" s="21" t="s">
        <v>1381</v>
      </c>
      <c r="E686" s="21" t="s">
        <v>1382</v>
      </c>
      <c r="F686" s="21" t="s">
        <v>49</v>
      </c>
      <c r="G686" s="21" t="s">
        <v>541</v>
      </c>
      <c r="H686" s="21" t="s">
        <v>60</v>
      </c>
      <c r="I686" s="26">
        <v>2</v>
      </c>
      <c r="J686" s="26">
        <v>50</v>
      </c>
      <c r="K686" s="21" t="s">
        <v>52</v>
      </c>
      <c r="L686" s="27">
        <v>1945</v>
      </c>
      <c r="M686" s="21"/>
      <c r="N686" s="21"/>
      <c r="O686" s="21" t="s">
        <v>1383</v>
      </c>
      <c r="P686" s="21" t="s">
        <v>54</v>
      </c>
      <c r="Q686" s="28">
        <v>46155</v>
      </c>
      <c r="R686" s="29">
        <v>46154.5158449074</v>
      </c>
      <c r="S686" s="21" t="s">
        <v>1384</v>
      </c>
      <c r="T686" s="21"/>
      <c r="U686" s="21" t="s">
        <v>1381</v>
      </c>
      <c r="V686" s="29">
        <v>46154.5157986111</v>
      </c>
      <c r="W686">
        <f>VLOOKUP(H686,物料編碼!A:B,2,0)</f>
        <v>1300101043</v>
      </c>
      <c r="X686">
        <v>1300101</v>
      </c>
      <c r="Y686" t="str">
        <f>VLOOKUP(X686,物料編碼!D:G,4,0)</f>
        <v>一號肉</v>
      </c>
      <c r="Z686" t="str">
        <f>VLOOKUP(C686,客戶屬性1!A:C,2,0)</f>
        <v>英丰(香港)贸易有限公司</v>
      </c>
      <c r="AA686">
        <f>IF(COUNTIF($O$1:O686,O686)=1,L686,0)</f>
        <v>1945</v>
      </c>
    </row>
    <row r="687" customHeight="1" spans="1:27">
      <c r="A687" s="21" t="s">
        <v>1385</v>
      </c>
      <c r="B687" s="21" t="s">
        <v>45</v>
      </c>
      <c r="C687" s="21" t="s">
        <v>1386</v>
      </c>
      <c r="D687" s="21" t="s">
        <v>1387</v>
      </c>
      <c r="E687" s="21" t="s">
        <v>1388</v>
      </c>
      <c r="F687" s="21" t="s">
        <v>49</v>
      </c>
      <c r="G687" s="21" t="s">
        <v>541</v>
      </c>
      <c r="H687" s="21" t="s">
        <v>1389</v>
      </c>
      <c r="I687" s="26">
        <v>40</v>
      </c>
      <c r="J687" s="26">
        <v>600</v>
      </c>
      <c r="K687" s="21" t="s">
        <v>52</v>
      </c>
      <c r="L687" s="27">
        <v>9000</v>
      </c>
      <c r="M687" s="21"/>
      <c r="N687" s="21"/>
      <c r="O687" s="21" t="s">
        <v>1390</v>
      </c>
      <c r="P687" s="21" t="s">
        <v>54</v>
      </c>
      <c r="Q687" s="28">
        <v>46155</v>
      </c>
      <c r="R687" s="29">
        <v>46154.5081944444</v>
      </c>
      <c r="S687" s="21" t="s">
        <v>1391</v>
      </c>
      <c r="T687" s="21"/>
      <c r="U687" s="21" t="s">
        <v>1387</v>
      </c>
      <c r="V687" s="29">
        <v>46154.5081365741</v>
      </c>
      <c r="W687">
        <f>VLOOKUP(H687,物料編碼!A:B,2,0)</f>
        <v>1300607032</v>
      </c>
      <c r="X687">
        <v>1300607</v>
      </c>
      <c r="Y687" t="str">
        <f>VLOOKUP(X687,物料編碼!D:G,4,0)</f>
        <v>帶皮腿扒</v>
      </c>
      <c r="Z687" t="str">
        <f>VLOOKUP(C687,客戶屬性1!A:C,2,0)</f>
        <v>东浩冷冻食品公司</v>
      </c>
      <c r="AA687">
        <f>IF(COUNTIF($O$1:O687,O687)=1,L687,0)</f>
        <v>9000</v>
      </c>
    </row>
    <row r="688" customHeight="1" spans="1:27">
      <c r="A688" s="21" t="s">
        <v>1392</v>
      </c>
      <c r="B688" s="21" t="s">
        <v>45</v>
      </c>
      <c r="C688" s="21" t="s">
        <v>158</v>
      </c>
      <c r="D688" s="21" t="s">
        <v>159</v>
      </c>
      <c r="E688" s="21" t="s">
        <v>160</v>
      </c>
      <c r="F688" s="21" t="s">
        <v>49</v>
      </c>
      <c r="G688" s="21" t="s">
        <v>68</v>
      </c>
      <c r="H688" s="21" t="s">
        <v>161</v>
      </c>
      <c r="I688" s="26">
        <v>10</v>
      </c>
      <c r="J688" s="26">
        <v>200</v>
      </c>
      <c r="K688" s="21" t="s">
        <v>52</v>
      </c>
      <c r="L688" s="27">
        <v>18600</v>
      </c>
      <c r="M688" s="21"/>
      <c r="N688" s="21"/>
      <c r="O688" s="21" t="s">
        <v>1393</v>
      </c>
      <c r="P688" s="21" t="s">
        <v>54</v>
      </c>
      <c r="Q688" s="28">
        <v>46155</v>
      </c>
      <c r="R688" s="29">
        <v>46154.4805208333</v>
      </c>
      <c r="S688" s="21" t="s">
        <v>163</v>
      </c>
      <c r="T688" s="21"/>
      <c r="U688" s="21" t="s">
        <v>164</v>
      </c>
      <c r="V688" s="29">
        <v>46154.480474537</v>
      </c>
      <c r="W688">
        <f>VLOOKUP(H688,物料編碼!A:B,2,0)</f>
        <v>1300501020</v>
      </c>
      <c r="X688">
        <v>1300501</v>
      </c>
      <c r="Y688" t="str">
        <f>VLOOKUP(X688,物料編碼!D:G,4,0)</f>
        <v>羊排</v>
      </c>
      <c r="Z688" t="str">
        <f>VLOOKUP(C688,客戶屬性1!A:C,2,0)</f>
        <v>先进食品国际有限公司</v>
      </c>
      <c r="AA688">
        <f>IF(COUNTIF($O$1:O688,O688)=1,L688,0)</f>
        <v>18600</v>
      </c>
    </row>
    <row r="689" customHeight="1" spans="1:27">
      <c r="A689" s="21" t="s">
        <v>1394</v>
      </c>
      <c r="B689" s="21" t="s">
        <v>45</v>
      </c>
      <c r="C689" s="21" t="s">
        <v>141</v>
      </c>
      <c r="D689" s="21" t="s">
        <v>142</v>
      </c>
      <c r="E689" s="21" t="s">
        <v>142</v>
      </c>
      <c r="F689" s="21" t="s">
        <v>143</v>
      </c>
      <c r="G689" s="21" t="s">
        <v>100</v>
      </c>
      <c r="H689" s="21" t="s">
        <v>60</v>
      </c>
      <c r="I689" s="26">
        <v>1</v>
      </c>
      <c r="J689" s="26">
        <v>25</v>
      </c>
      <c r="K689" s="21" t="s">
        <v>52</v>
      </c>
      <c r="L689" s="27">
        <v>2184.6</v>
      </c>
      <c r="M689" s="21"/>
      <c r="N689" s="21"/>
      <c r="O689" s="21" t="s">
        <v>1395</v>
      </c>
      <c r="P689" s="21" t="s">
        <v>54</v>
      </c>
      <c r="Q689" s="28">
        <v>46155</v>
      </c>
      <c r="R689" s="29">
        <v>46154.4791203704</v>
      </c>
      <c r="S689" s="21" t="s">
        <v>145</v>
      </c>
      <c r="T689" s="21"/>
      <c r="U689" s="21" t="s">
        <v>142</v>
      </c>
      <c r="V689" s="29">
        <v>46154.4790740741</v>
      </c>
      <c r="W689">
        <f>VLOOKUP(H689,物料編碼!A:B,2,0)</f>
        <v>1300101043</v>
      </c>
      <c r="X689">
        <v>1300101</v>
      </c>
      <c r="Y689" t="str">
        <f>VLOOKUP(X689,物料編碼!D:G,4,0)</f>
        <v>一號肉</v>
      </c>
      <c r="Z689" t="str">
        <f>VLOOKUP(C689,客戶屬性1!A:C,2,0)</f>
        <v>新昌冻肉</v>
      </c>
      <c r="AA689">
        <f>IF(COUNTIF($O$1:O689,O689)=1,L689,0)</f>
        <v>2184.6</v>
      </c>
    </row>
    <row r="690" customHeight="1" spans="1:27">
      <c r="A690" s="21" t="s">
        <v>1394</v>
      </c>
      <c r="B690" s="21" t="s">
        <v>45</v>
      </c>
      <c r="C690" s="21" t="s">
        <v>141</v>
      </c>
      <c r="D690" s="21" t="s">
        <v>142</v>
      </c>
      <c r="E690" s="21" t="s">
        <v>142</v>
      </c>
      <c r="F690" s="21" t="s">
        <v>143</v>
      </c>
      <c r="G690" s="21" t="s">
        <v>100</v>
      </c>
      <c r="H690" s="21" t="s">
        <v>146</v>
      </c>
      <c r="I690" s="26">
        <v>2</v>
      </c>
      <c r="J690" s="26">
        <v>30</v>
      </c>
      <c r="K690" s="21" t="s">
        <v>52</v>
      </c>
      <c r="L690" s="27">
        <v>2184.6</v>
      </c>
      <c r="M690" s="21"/>
      <c r="N690" s="21"/>
      <c r="O690" s="21" t="s">
        <v>1395</v>
      </c>
      <c r="P690" s="21" t="s">
        <v>54</v>
      </c>
      <c r="Q690" s="28">
        <v>46155</v>
      </c>
      <c r="R690" s="29">
        <v>46154.4791203704</v>
      </c>
      <c r="S690" s="21" t="s">
        <v>145</v>
      </c>
      <c r="T690" s="21"/>
      <c r="U690" s="21" t="s">
        <v>142</v>
      </c>
      <c r="V690" s="29">
        <v>46154.4790740741</v>
      </c>
      <c r="W690">
        <f>VLOOKUP(H690,物料編碼!A:B,2,0)</f>
        <v>1300603041</v>
      </c>
      <c r="X690">
        <v>1300603</v>
      </c>
      <c r="Y690" t="str">
        <f>VLOOKUP(X690,物料編碼!D:G,4,0)</f>
        <v>帶骨全腿</v>
      </c>
      <c r="Z690" t="str">
        <f>VLOOKUP(C690,客戶屬性1!A:C,2,0)</f>
        <v>新昌冻肉</v>
      </c>
      <c r="AA690">
        <f>IF(COUNTIF($O$1:O690,O690)=1,L690,0)</f>
        <v>0</v>
      </c>
    </row>
    <row r="691" customHeight="1" spans="1:27">
      <c r="A691" s="21" t="s">
        <v>1394</v>
      </c>
      <c r="B691" s="21" t="s">
        <v>45</v>
      </c>
      <c r="C691" s="21" t="s">
        <v>141</v>
      </c>
      <c r="D691" s="21" t="s">
        <v>142</v>
      </c>
      <c r="E691" s="21" t="s">
        <v>142</v>
      </c>
      <c r="F691" s="21" t="s">
        <v>143</v>
      </c>
      <c r="G691" s="21" t="s">
        <v>100</v>
      </c>
      <c r="H691" s="21" t="s">
        <v>302</v>
      </c>
      <c r="I691" s="26">
        <v>1</v>
      </c>
      <c r="J691" s="26">
        <v>12</v>
      </c>
      <c r="K691" s="21" t="s">
        <v>52</v>
      </c>
      <c r="L691" s="27">
        <v>2184.6</v>
      </c>
      <c r="M691" s="21"/>
      <c r="N691" s="21"/>
      <c r="O691" s="21" t="s">
        <v>1395</v>
      </c>
      <c r="P691" s="21" t="s">
        <v>54</v>
      </c>
      <c r="Q691" s="28">
        <v>46155</v>
      </c>
      <c r="R691" s="29">
        <v>46154.4791203704</v>
      </c>
      <c r="S691" s="21" t="s">
        <v>145</v>
      </c>
      <c r="T691" s="21"/>
      <c r="U691" s="21" t="s">
        <v>142</v>
      </c>
      <c r="V691" s="29">
        <v>46154.4790740741</v>
      </c>
      <c r="W691">
        <f>VLOOKUP(H691,物料編碼!A:B,2,0)</f>
        <v>1300609018</v>
      </c>
      <c r="X691">
        <v>1300609</v>
      </c>
      <c r="Y691" t="str">
        <f>VLOOKUP(X691,物料編碼!D:G,4,0)</f>
        <v>去皮上腿肉</v>
      </c>
      <c r="Z691" t="str">
        <f>VLOOKUP(C691,客戶屬性1!A:C,2,0)</f>
        <v>新昌冻肉</v>
      </c>
      <c r="AA691">
        <f>IF(COUNTIF($O$1:O691,O691)=1,L691,0)</f>
        <v>0</v>
      </c>
    </row>
    <row r="692" customHeight="1" spans="1:27">
      <c r="A692" s="21" t="s">
        <v>1394</v>
      </c>
      <c r="B692" s="21" t="s">
        <v>45</v>
      </c>
      <c r="C692" s="21" t="s">
        <v>141</v>
      </c>
      <c r="D692" s="21" t="s">
        <v>142</v>
      </c>
      <c r="E692" s="21" t="s">
        <v>142</v>
      </c>
      <c r="F692" s="21" t="s">
        <v>143</v>
      </c>
      <c r="G692" s="21" t="s">
        <v>100</v>
      </c>
      <c r="H692" s="21" t="s">
        <v>117</v>
      </c>
      <c r="I692" s="26">
        <v>3</v>
      </c>
      <c r="J692" s="26">
        <v>45</v>
      </c>
      <c r="K692" s="21" t="s">
        <v>52</v>
      </c>
      <c r="L692" s="27">
        <v>2184.6</v>
      </c>
      <c r="M692" s="21"/>
      <c r="N692" s="21"/>
      <c r="O692" s="21" t="s">
        <v>1395</v>
      </c>
      <c r="P692" s="21" t="s">
        <v>54</v>
      </c>
      <c r="Q692" s="28">
        <v>46155</v>
      </c>
      <c r="R692" s="29">
        <v>46154.4791203704</v>
      </c>
      <c r="S692" s="21" t="s">
        <v>145</v>
      </c>
      <c r="T692" s="21"/>
      <c r="U692" s="21" t="s">
        <v>142</v>
      </c>
      <c r="V692" s="29">
        <v>46154.4790740741</v>
      </c>
      <c r="W692">
        <f>VLOOKUP(H692,物料編碼!A:B,2,0)</f>
        <v>1300607015</v>
      </c>
      <c r="X692">
        <v>1300607</v>
      </c>
      <c r="Y692" t="str">
        <f>VLOOKUP(X692,物料編碼!D:G,4,0)</f>
        <v>帶皮腿扒</v>
      </c>
      <c r="Z692" t="str">
        <f>VLOOKUP(C692,客戶屬性1!A:C,2,0)</f>
        <v>新昌冻肉</v>
      </c>
      <c r="AA692">
        <f>IF(COUNTIF($O$1:O692,O692)=1,L692,0)</f>
        <v>0</v>
      </c>
    </row>
    <row r="693" customHeight="1" spans="1:27">
      <c r="A693" s="21" t="s">
        <v>1396</v>
      </c>
      <c r="B693" s="21" t="s">
        <v>45</v>
      </c>
      <c r="C693" s="21" t="s">
        <v>197</v>
      </c>
      <c r="D693" s="21" t="s">
        <v>198</v>
      </c>
      <c r="E693" s="21" t="s">
        <v>199</v>
      </c>
      <c r="F693" s="21" t="s">
        <v>49</v>
      </c>
      <c r="G693" s="21" t="s">
        <v>136</v>
      </c>
      <c r="H693" s="21" t="s">
        <v>161</v>
      </c>
      <c r="I693" s="26">
        <v>10</v>
      </c>
      <c r="J693" s="26">
        <v>200</v>
      </c>
      <c r="K693" s="21" t="s">
        <v>52</v>
      </c>
      <c r="L693" s="27">
        <v>18600</v>
      </c>
      <c r="M693" s="21"/>
      <c r="N693" s="21"/>
      <c r="O693" s="21" t="s">
        <v>1397</v>
      </c>
      <c r="P693" s="21" t="s">
        <v>54</v>
      </c>
      <c r="Q693" s="28">
        <v>46155</v>
      </c>
      <c r="R693" s="29">
        <v>46154.4718865741</v>
      </c>
      <c r="S693" s="21" t="s">
        <v>202</v>
      </c>
      <c r="T693" s="21"/>
      <c r="U693" s="21" t="s">
        <v>203</v>
      </c>
      <c r="V693" s="29">
        <v>46154.4718402778</v>
      </c>
      <c r="W693">
        <f>VLOOKUP(H693,物料編碼!A:B,2,0)</f>
        <v>1300501020</v>
      </c>
      <c r="X693">
        <v>1300501</v>
      </c>
      <c r="Y693" t="str">
        <f>VLOOKUP(X693,物料編碼!D:G,4,0)</f>
        <v>羊排</v>
      </c>
      <c r="Z693" t="str">
        <f>VLOOKUP(C693,客戶屬性1!A:C,2,0)</f>
        <v>信隆(亚洲)有限公司</v>
      </c>
      <c r="AA693">
        <f>IF(COUNTIF($O$1:O693,O693)=1,L693,0)</f>
        <v>18600</v>
      </c>
    </row>
    <row r="694" customHeight="1" spans="1:27">
      <c r="A694" s="21" t="s">
        <v>1398</v>
      </c>
      <c r="B694" s="21" t="s">
        <v>45</v>
      </c>
      <c r="C694" s="21" t="s">
        <v>158</v>
      </c>
      <c r="D694" s="21" t="s">
        <v>159</v>
      </c>
      <c r="E694" s="21" t="s">
        <v>160</v>
      </c>
      <c r="F694" s="21" t="s">
        <v>49</v>
      </c>
      <c r="G694" s="21" t="s">
        <v>68</v>
      </c>
      <c r="H694" s="21" t="s">
        <v>283</v>
      </c>
      <c r="I694" s="26">
        <v>2</v>
      </c>
      <c r="J694" s="26">
        <v>50</v>
      </c>
      <c r="K694" s="21" t="s">
        <v>52</v>
      </c>
      <c r="L694" s="27">
        <v>990</v>
      </c>
      <c r="M694" s="21"/>
      <c r="N694" s="21"/>
      <c r="O694" s="21" t="s">
        <v>1399</v>
      </c>
      <c r="P694" s="21" t="s">
        <v>54</v>
      </c>
      <c r="Q694" s="28">
        <v>46155</v>
      </c>
      <c r="R694" s="29">
        <v>46154.4379282407</v>
      </c>
      <c r="S694" s="21" t="s">
        <v>163</v>
      </c>
      <c r="T694" s="21"/>
      <c r="U694" s="21" t="s">
        <v>164</v>
      </c>
      <c r="V694" s="29">
        <v>46154.4378819444</v>
      </c>
      <c r="W694">
        <f>VLOOKUP(H694,物料編碼!A:B,2,0)</f>
        <v>1300104005</v>
      </c>
      <c r="X694">
        <v>1300104</v>
      </c>
      <c r="Y694" t="str">
        <f>VLOOKUP(X694,物料編碼!D:G,4,0)</f>
        <v>四號肉</v>
      </c>
      <c r="Z694" t="str">
        <f>VLOOKUP(C694,客戶屬性1!A:C,2,0)</f>
        <v>先进食品国际有限公司</v>
      </c>
      <c r="AA694">
        <f>IF(COUNTIF($O$1:O694,O694)=1,L694,0)</f>
        <v>990</v>
      </c>
    </row>
    <row r="695" customHeight="1" spans="1:27">
      <c r="A695" s="21" t="s">
        <v>1400</v>
      </c>
      <c r="B695" s="21" t="s">
        <v>45</v>
      </c>
      <c r="C695" s="21" t="s">
        <v>1401</v>
      </c>
      <c r="D695" s="21" t="s">
        <v>1402</v>
      </c>
      <c r="E695" s="21" t="s">
        <v>1403</v>
      </c>
      <c r="F695" s="21" t="s">
        <v>49</v>
      </c>
      <c r="G695" s="21" t="s">
        <v>541</v>
      </c>
      <c r="H695" s="21" t="s">
        <v>60</v>
      </c>
      <c r="I695" s="26">
        <v>3</v>
      </c>
      <c r="J695" s="26">
        <v>75</v>
      </c>
      <c r="K695" s="21" t="s">
        <v>52</v>
      </c>
      <c r="L695" s="27">
        <v>2917.5</v>
      </c>
      <c r="M695" s="21"/>
      <c r="N695" s="21"/>
      <c r="O695" s="21" t="s">
        <v>1404</v>
      </c>
      <c r="P695" s="21" t="s">
        <v>54</v>
      </c>
      <c r="Q695" s="28">
        <v>46155</v>
      </c>
      <c r="R695" s="29">
        <v>46154.4375231481</v>
      </c>
      <c r="S695" s="21" t="s">
        <v>1405</v>
      </c>
      <c r="T695" s="21"/>
      <c r="U695" s="21" t="s">
        <v>1406</v>
      </c>
      <c r="V695" s="29">
        <v>46154.4374652778</v>
      </c>
      <c r="W695">
        <f>VLOOKUP(H695,物料編碼!A:B,2,0)</f>
        <v>1300101043</v>
      </c>
      <c r="X695">
        <v>1300101</v>
      </c>
      <c r="Y695" t="str">
        <f>VLOOKUP(X695,物料編碼!D:G,4,0)</f>
        <v>一號肉</v>
      </c>
      <c r="Z695" t="str">
        <f>VLOOKUP(C695,客戶屬性1!A:C,2,0)</f>
        <v>再兴烧腊饭店有限公司</v>
      </c>
      <c r="AA695">
        <f>IF(COUNTIF($O$1:O695,O695)=1,L695,0)</f>
        <v>2917.5</v>
      </c>
    </row>
    <row r="696" customHeight="1" spans="1:27">
      <c r="A696" s="21" t="s">
        <v>1407</v>
      </c>
      <c r="B696" s="21" t="s">
        <v>45</v>
      </c>
      <c r="C696" s="21" t="s">
        <v>72</v>
      </c>
      <c r="D696" s="21" t="s">
        <v>73</v>
      </c>
      <c r="E696" s="21" t="s">
        <v>74</v>
      </c>
      <c r="F696" s="21" t="s">
        <v>49</v>
      </c>
      <c r="G696" s="21" t="s">
        <v>50</v>
      </c>
      <c r="H696" s="21" t="s">
        <v>117</v>
      </c>
      <c r="I696" s="26">
        <v>2</v>
      </c>
      <c r="J696" s="26">
        <v>30</v>
      </c>
      <c r="K696" s="21" t="s">
        <v>52</v>
      </c>
      <c r="L696" s="27">
        <v>443.4</v>
      </c>
      <c r="M696" s="21"/>
      <c r="N696" s="21"/>
      <c r="O696" s="21" t="s">
        <v>1408</v>
      </c>
      <c r="P696" s="21" t="s">
        <v>54</v>
      </c>
      <c r="Q696" s="28">
        <v>46154</v>
      </c>
      <c r="R696" s="29">
        <v>46154.403125</v>
      </c>
      <c r="S696" s="21" t="s">
        <v>77</v>
      </c>
      <c r="T696" s="21"/>
      <c r="U696" s="21" t="s">
        <v>74</v>
      </c>
      <c r="V696" s="29">
        <v>46154.4030671296</v>
      </c>
      <c r="W696">
        <f>VLOOKUP(H696,物料編碼!A:B,2,0)</f>
        <v>1300607015</v>
      </c>
      <c r="X696">
        <v>1300607</v>
      </c>
      <c r="Y696" t="str">
        <f>VLOOKUP(X696,物料編碼!D:G,4,0)</f>
        <v>帶皮腿扒</v>
      </c>
      <c r="Z696" t="str">
        <f>VLOOKUP(C696,客戶屬性1!A:C,2,0)</f>
        <v>恒辉贸易公司</v>
      </c>
      <c r="AA696">
        <f>IF(COUNTIF($O$1:O696,O696)=1,L696,0)</f>
        <v>443.4</v>
      </c>
    </row>
    <row r="697" customHeight="1" spans="1:27">
      <c r="A697" s="21" t="s">
        <v>1409</v>
      </c>
      <c r="B697" s="21" t="s">
        <v>45</v>
      </c>
      <c r="C697" s="21" t="s">
        <v>538</v>
      </c>
      <c r="D697" s="21" t="s">
        <v>539</v>
      </c>
      <c r="E697" s="21" t="s">
        <v>540</v>
      </c>
      <c r="F697" s="21" t="s">
        <v>49</v>
      </c>
      <c r="G697" s="21" t="s">
        <v>541</v>
      </c>
      <c r="H697" s="21" t="s">
        <v>63</v>
      </c>
      <c r="I697" s="26">
        <v>3</v>
      </c>
      <c r="J697" s="26">
        <v>75</v>
      </c>
      <c r="K697" s="21" t="s">
        <v>52</v>
      </c>
      <c r="L697" s="27">
        <v>2445</v>
      </c>
      <c r="M697" s="21"/>
      <c r="N697" s="21"/>
      <c r="O697" s="21" t="s">
        <v>1410</v>
      </c>
      <c r="P697" s="21" t="s">
        <v>54</v>
      </c>
      <c r="Q697" s="28">
        <v>46158</v>
      </c>
      <c r="R697" s="29">
        <v>46153.923900463</v>
      </c>
      <c r="S697" s="21" t="s">
        <v>543</v>
      </c>
      <c r="T697" s="21"/>
      <c r="U697" s="21" t="s">
        <v>539</v>
      </c>
      <c r="V697" s="29">
        <v>46153.9238194444</v>
      </c>
      <c r="W697">
        <f>VLOOKUP(H697,物料編碼!A:B,2,0)</f>
        <v>1300109002</v>
      </c>
      <c r="X697">
        <v>1300109</v>
      </c>
      <c r="Y697" t="str">
        <f>VLOOKUP(X697,物料編碼!D:G,4,0)</f>
        <v>面精肉</v>
      </c>
      <c r="Z697" t="str">
        <f>VLOOKUP(C697,客戶屬性1!A:C,2,0)</f>
        <v>诚信冻肉有限公司</v>
      </c>
      <c r="AA697">
        <f>IF(COUNTIF($O$1:O697,O697)=1,L697,0)</f>
        <v>2445</v>
      </c>
    </row>
    <row r="698" customHeight="1" spans="1:27">
      <c r="A698" s="21" t="s">
        <v>1411</v>
      </c>
      <c r="B698" s="21" t="s">
        <v>45</v>
      </c>
      <c r="C698" s="21" t="s">
        <v>538</v>
      </c>
      <c r="D698" s="21" t="s">
        <v>539</v>
      </c>
      <c r="E698" s="21" t="s">
        <v>540</v>
      </c>
      <c r="F698" s="21" t="s">
        <v>49</v>
      </c>
      <c r="G698" s="21" t="s">
        <v>541</v>
      </c>
      <c r="H698" s="21" t="s">
        <v>63</v>
      </c>
      <c r="I698" s="26">
        <v>1</v>
      </c>
      <c r="J698" s="26">
        <v>25</v>
      </c>
      <c r="K698" s="21" t="s">
        <v>52</v>
      </c>
      <c r="L698" s="27">
        <v>815</v>
      </c>
      <c r="M698" s="21"/>
      <c r="N698" s="21"/>
      <c r="O698" s="21" t="s">
        <v>1412</v>
      </c>
      <c r="P698" s="21" t="s">
        <v>183</v>
      </c>
      <c r="Q698" s="28">
        <v>46520</v>
      </c>
      <c r="R698" s="29">
        <v>46153.7814583333</v>
      </c>
      <c r="S698" s="21" t="s">
        <v>543</v>
      </c>
      <c r="T698" s="21"/>
      <c r="U698" s="21" t="s">
        <v>539</v>
      </c>
      <c r="V698" s="29">
        <v>46153.781412037</v>
      </c>
      <c r="W698">
        <f>VLOOKUP(H698,物料編碼!A:B,2,0)</f>
        <v>1300109002</v>
      </c>
      <c r="X698">
        <v>1300109</v>
      </c>
      <c r="Y698" t="str">
        <f>VLOOKUP(X698,物料編碼!D:G,4,0)</f>
        <v>面精肉</v>
      </c>
      <c r="Z698" t="str">
        <f>VLOOKUP(C698,客戶屬性1!A:C,2,0)</f>
        <v>诚信冻肉有限公司</v>
      </c>
      <c r="AA698">
        <f>IF(COUNTIF($O$1:O698,O698)=1,L698,0)</f>
        <v>815</v>
      </c>
    </row>
    <row r="699" customHeight="1" spans="1:27">
      <c r="A699" s="21" t="s">
        <v>1413</v>
      </c>
      <c r="B699" s="21" t="s">
        <v>45</v>
      </c>
      <c r="C699" s="21" t="s">
        <v>538</v>
      </c>
      <c r="D699" s="21" t="s">
        <v>539</v>
      </c>
      <c r="E699" s="21" t="s">
        <v>540</v>
      </c>
      <c r="F699" s="21" t="s">
        <v>49</v>
      </c>
      <c r="G699" s="21" t="s">
        <v>541</v>
      </c>
      <c r="H699" s="21" t="s">
        <v>63</v>
      </c>
      <c r="I699" s="26">
        <v>1</v>
      </c>
      <c r="J699" s="26">
        <v>25</v>
      </c>
      <c r="K699" s="21" t="s">
        <v>52</v>
      </c>
      <c r="L699" s="27">
        <v>815</v>
      </c>
      <c r="M699" s="21"/>
      <c r="N699" s="21"/>
      <c r="O699" s="21" t="s">
        <v>1414</v>
      </c>
      <c r="P699" s="21" t="s">
        <v>54</v>
      </c>
      <c r="Q699" s="28">
        <v>46154</v>
      </c>
      <c r="R699" s="29">
        <v>46153.7347569444</v>
      </c>
      <c r="S699" s="21" t="s">
        <v>543</v>
      </c>
      <c r="T699" s="21"/>
      <c r="U699" s="21" t="s">
        <v>539</v>
      </c>
      <c r="V699" s="29">
        <v>46153.7346990741</v>
      </c>
      <c r="W699">
        <f>VLOOKUP(H699,物料編碼!A:B,2,0)</f>
        <v>1300109002</v>
      </c>
      <c r="X699">
        <v>1300109</v>
      </c>
      <c r="Y699" t="str">
        <f>VLOOKUP(X699,物料編碼!D:G,4,0)</f>
        <v>面精肉</v>
      </c>
      <c r="Z699" t="str">
        <f>VLOOKUP(C699,客戶屬性1!A:C,2,0)</f>
        <v>诚信冻肉有限公司</v>
      </c>
      <c r="AA699">
        <f>IF(COUNTIF($O$1:O699,O699)=1,L699,0)</f>
        <v>815</v>
      </c>
    </row>
    <row r="700" customHeight="1" spans="1:27">
      <c r="A700" s="21" t="s">
        <v>1415</v>
      </c>
      <c r="B700" s="21" t="s">
        <v>45</v>
      </c>
      <c r="C700" s="21" t="s">
        <v>1218</v>
      </c>
      <c r="D700" s="21" t="s">
        <v>1219</v>
      </c>
      <c r="E700" s="21" t="s">
        <v>1220</v>
      </c>
      <c r="F700" s="21" t="s">
        <v>49</v>
      </c>
      <c r="G700" s="21" t="s">
        <v>541</v>
      </c>
      <c r="H700" s="21" t="s">
        <v>838</v>
      </c>
      <c r="I700" s="26">
        <v>2</v>
      </c>
      <c r="J700" s="26">
        <v>20</v>
      </c>
      <c r="K700" s="21" t="s">
        <v>52</v>
      </c>
      <c r="L700" s="27">
        <v>1525</v>
      </c>
      <c r="M700" s="21"/>
      <c r="N700" s="21"/>
      <c r="O700" s="21" t="s">
        <v>1416</v>
      </c>
      <c r="P700" s="21" t="s">
        <v>183</v>
      </c>
      <c r="Q700" s="28">
        <v>46154</v>
      </c>
      <c r="R700" s="29">
        <v>46153.660474537</v>
      </c>
      <c r="S700" s="21" t="s">
        <v>1222</v>
      </c>
      <c r="T700" s="21"/>
      <c r="U700" s="21" t="s">
        <v>1219</v>
      </c>
      <c r="V700" s="29">
        <v>46153.6604282407</v>
      </c>
      <c r="W700">
        <f>VLOOKUP(H700,物料編碼!A:B,2,0)</f>
        <v>1300902002</v>
      </c>
      <c r="X700">
        <v>1300902</v>
      </c>
      <c r="Y700" t="str">
        <f>VLOOKUP(X700,物料編碼!D:G,4,0)</f>
        <v>帶骨整腿</v>
      </c>
      <c r="Z700" t="str">
        <f>VLOOKUP(C700,客戶屬性1!A:C,2,0)</f>
        <v>新华冻肉超级市场(葵芳)</v>
      </c>
      <c r="AA700">
        <f>IF(COUNTIF($O$1:O700,O700)=1,L700,0)</f>
        <v>1525</v>
      </c>
    </row>
    <row r="701" customHeight="1" spans="1:27">
      <c r="A701" s="21" t="s">
        <v>1415</v>
      </c>
      <c r="B701" s="21" t="s">
        <v>45</v>
      </c>
      <c r="C701" s="21" t="s">
        <v>1218</v>
      </c>
      <c r="D701" s="21" t="s">
        <v>1219</v>
      </c>
      <c r="E701" s="21" t="s">
        <v>1220</v>
      </c>
      <c r="F701" s="21" t="s">
        <v>49</v>
      </c>
      <c r="G701" s="21" t="s">
        <v>541</v>
      </c>
      <c r="H701" s="21" t="s">
        <v>861</v>
      </c>
      <c r="I701" s="26">
        <v>1</v>
      </c>
      <c r="J701" s="26">
        <v>10</v>
      </c>
      <c r="K701" s="21" t="s">
        <v>52</v>
      </c>
      <c r="L701" s="27">
        <v>1525</v>
      </c>
      <c r="M701" s="21"/>
      <c r="N701" s="21"/>
      <c r="O701" s="21" t="s">
        <v>1416</v>
      </c>
      <c r="P701" s="21" t="s">
        <v>183</v>
      </c>
      <c r="Q701" s="28">
        <v>46154</v>
      </c>
      <c r="R701" s="29">
        <v>46153.660474537</v>
      </c>
      <c r="S701" s="21" t="s">
        <v>1222</v>
      </c>
      <c r="T701" s="21"/>
      <c r="U701" s="21" t="s">
        <v>1219</v>
      </c>
      <c r="V701" s="29">
        <v>46153.6604282407</v>
      </c>
      <c r="W701">
        <f>VLOOKUP(H701,物料編碼!A:B,2,0)</f>
        <v>1800108098</v>
      </c>
      <c r="X701">
        <v>1800108</v>
      </c>
      <c r="Y701" t="str">
        <f>VLOOKUP(X701,物料編碼!D:G,4,0)</f>
        <v>魚.其他</v>
      </c>
      <c r="Z701" t="str">
        <f>VLOOKUP(C701,客戶屬性1!A:C,2,0)</f>
        <v>新华冻肉超级市场(葵芳)</v>
      </c>
      <c r="AA701">
        <f>IF(COUNTIF($O$1:O701,O701)=1,L701,0)</f>
        <v>0</v>
      </c>
    </row>
    <row r="702" customHeight="1" spans="1:27">
      <c r="A702" s="21" t="s">
        <v>1415</v>
      </c>
      <c r="B702" s="21" t="s">
        <v>45</v>
      </c>
      <c r="C702" s="21" t="s">
        <v>1218</v>
      </c>
      <c r="D702" s="21" t="s">
        <v>1219</v>
      </c>
      <c r="E702" s="21" t="s">
        <v>1220</v>
      </c>
      <c r="F702" s="21" t="s">
        <v>49</v>
      </c>
      <c r="G702" s="21" t="s">
        <v>541</v>
      </c>
      <c r="H702" s="21" t="s">
        <v>1417</v>
      </c>
      <c r="I702" s="26">
        <v>1</v>
      </c>
      <c r="J702" s="27">
        <v>15</v>
      </c>
      <c r="K702" s="21" t="s">
        <v>112</v>
      </c>
      <c r="L702" s="27">
        <v>1525</v>
      </c>
      <c r="M702" s="21"/>
      <c r="N702" s="21"/>
      <c r="O702" s="21" t="s">
        <v>1416</v>
      </c>
      <c r="P702" s="21" t="s">
        <v>183</v>
      </c>
      <c r="Q702" s="28">
        <v>46154</v>
      </c>
      <c r="R702" s="29">
        <v>46153.660474537</v>
      </c>
      <c r="S702" s="21" t="s">
        <v>1222</v>
      </c>
      <c r="T702" s="21"/>
      <c r="U702" s="21" t="s">
        <v>1219</v>
      </c>
      <c r="V702" s="29">
        <v>46153.6604282407</v>
      </c>
      <c r="W702">
        <f>VLOOKUP(H702,物料編碼!A:B,2,0)</f>
        <v>1310701011</v>
      </c>
      <c r="X702">
        <v>1310701</v>
      </c>
      <c r="Y702" t="str">
        <f>VLOOKUP(X702,物料編碼!D:G,4,0)</f>
        <v>凍海產品.魚類</v>
      </c>
      <c r="Z702" t="str">
        <f>VLOOKUP(C702,客戶屬性1!A:C,2,0)</f>
        <v>新华冻肉超级市场(葵芳)</v>
      </c>
      <c r="AA702">
        <f>IF(COUNTIF($O$1:O702,O702)=1,L702,0)</f>
        <v>0</v>
      </c>
    </row>
    <row r="703" customHeight="1" spans="1:27">
      <c r="A703" s="21" t="s">
        <v>1418</v>
      </c>
      <c r="B703" s="21" t="s">
        <v>45</v>
      </c>
      <c r="C703" s="21" t="s">
        <v>1308</v>
      </c>
      <c r="D703" s="21" t="s">
        <v>1309</v>
      </c>
      <c r="E703" s="21" t="s">
        <v>1310</v>
      </c>
      <c r="F703" s="21" t="s">
        <v>49</v>
      </c>
      <c r="G703" s="21" t="s">
        <v>541</v>
      </c>
      <c r="H703" s="21" t="s">
        <v>362</v>
      </c>
      <c r="I703" s="26">
        <v>1</v>
      </c>
      <c r="J703" s="26">
        <v>13.6</v>
      </c>
      <c r="K703" s="21" t="s">
        <v>52</v>
      </c>
      <c r="L703" s="27">
        <v>144.16</v>
      </c>
      <c r="M703" s="21"/>
      <c r="N703" s="21"/>
      <c r="O703" s="21" t="s">
        <v>1419</v>
      </c>
      <c r="P703" s="21" t="s">
        <v>183</v>
      </c>
      <c r="Q703" s="28">
        <v>46154</v>
      </c>
      <c r="R703" s="29">
        <v>46153.6474305556</v>
      </c>
      <c r="S703" s="21" t="s">
        <v>1312</v>
      </c>
      <c r="T703" s="21"/>
      <c r="U703" s="21" t="s">
        <v>1309</v>
      </c>
      <c r="V703" s="29">
        <v>46153.6473958333</v>
      </c>
      <c r="W703">
        <f>VLOOKUP(H703,物料編碼!A:B,2,0)</f>
        <v>1300901005</v>
      </c>
      <c r="X703">
        <v>1300901</v>
      </c>
      <c r="Y703" t="str">
        <f>VLOOKUP(X703,物料編碼!D:G,4,0)</f>
        <v>整鴨</v>
      </c>
      <c r="Z703" t="str">
        <f>VLOOKUP(C703,客戶屬性1!A:C,2,0)</f>
        <v>再丰有限公司</v>
      </c>
      <c r="AA703">
        <f>IF(COUNTIF($O$1:O703,O703)=1,L703,0)</f>
        <v>144.16</v>
      </c>
    </row>
    <row r="704" customHeight="1" spans="1:27">
      <c r="A704" s="21" t="s">
        <v>1420</v>
      </c>
      <c r="B704" s="21" t="s">
        <v>45</v>
      </c>
      <c r="C704" s="21" t="s">
        <v>1308</v>
      </c>
      <c r="D704" s="21" t="s">
        <v>1309</v>
      </c>
      <c r="E704" s="21" t="s">
        <v>1310</v>
      </c>
      <c r="F704" s="21" t="s">
        <v>49</v>
      </c>
      <c r="G704" s="21" t="s">
        <v>541</v>
      </c>
      <c r="H704" s="21" t="s">
        <v>146</v>
      </c>
      <c r="I704" s="26">
        <v>1</v>
      </c>
      <c r="J704" s="26">
        <v>15</v>
      </c>
      <c r="K704" s="21" t="s">
        <v>52</v>
      </c>
      <c r="L704" s="27">
        <v>191.85</v>
      </c>
      <c r="M704" s="21"/>
      <c r="N704" s="21"/>
      <c r="O704" s="21" t="s">
        <v>1421</v>
      </c>
      <c r="P704" s="21" t="s">
        <v>183</v>
      </c>
      <c r="Q704" s="28">
        <v>46154</v>
      </c>
      <c r="R704" s="29">
        <v>46153.640775463</v>
      </c>
      <c r="S704" s="21" t="s">
        <v>1312</v>
      </c>
      <c r="T704" s="21"/>
      <c r="U704" s="21" t="s">
        <v>1309</v>
      </c>
      <c r="V704" s="29">
        <v>46153.6407407407</v>
      </c>
      <c r="W704">
        <f>VLOOKUP(H704,物料編碼!A:B,2,0)</f>
        <v>1300603041</v>
      </c>
      <c r="X704">
        <v>1300603</v>
      </c>
      <c r="Y704" t="str">
        <f>VLOOKUP(X704,物料編碼!D:G,4,0)</f>
        <v>帶骨全腿</v>
      </c>
      <c r="Z704" t="str">
        <f>VLOOKUP(C704,客戶屬性1!A:C,2,0)</f>
        <v>再丰有限公司</v>
      </c>
      <c r="AA704">
        <f>IF(COUNTIF($O$1:O704,O704)=1,L704,0)</f>
        <v>191.85</v>
      </c>
    </row>
    <row r="705" customHeight="1" spans="1:27">
      <c r="A705" s="21" t="s">
        <v>1422</v>
      </c>
      <c r="B705" s="21" t="s">
        <v>45</v>
      </c>
      <c r="C705" s="21" t="s">
        <v>105</v>
      </c>
      <c r="D705" s="21" t="s">
        <v>106</v>
      </c>
      <c r="E705" s="21" t="s">
        <v>107</v>
      </c>
      <c r="F705" s="21" t="s">
        <v>49</v>
      </c>
      <c r="G705" s="21" t="s">
        <v>68</v>
      </c>
      <c r="H705" s="21" t="s">
        <v>302</v>
      </c>
      <c r="I705" s="26">
        <v>10</v>
      </c>
      <c r="J705" s="26">
        <v>120</v>
      </c>
      <c r="K705" s="21" t="s">
        <v>52</v>
      </c>
      <c r="L705" s="27">
        <v>1896</v>
      </c>
      <c r="M705" s="21"/>
      <c r="N705" s="21"/>
      <c r="O705" s="21" t="s">
        <v>1423</v>
      </c>
      <c r="P705" s="21" t="s">
        <v>54</v>
      </c>
      <c r="Q705" s="28">
        <v>46154</v>
      </c>
      <c r="R705" s="29">
        <v>46153.6003356481</v>
      </c>
      <c r="S705" s="21" t="s">
        <v>109</v>
      </c>
      <c r="T705" s="21"/>
      <c r="U705" s="21" t="s">
        <v>110</v>
      </c>
      <c r="V705" s="29">
        <v>46153.6002893519</v>
      </c>
      <c r="W705">
        <f>VLOOKUP(H705,物料編碼!A:B,2,0)</f>
        <v>1300609018</v>
      </c>
      <c r="X705">
        <v>1300609</v>
      </c>
      <c r="Y705" t="str">
        <f>VLOOKUP(X705,物料編碼!D:G,4,0)</f>
        <v>去皮上腿肉</v>
      </c>
      <c r="Z705" t="str">
        <f>VLOOKUP(C705,客戶屬性1!A:C,2,0)</f>
        <v>MING KEE</v>
      </c>
      <c r="AA705">
        <f>IF(COUNTIF($O$1:O705,O705)=1,L705,0)</f>
        <v>1896</v>
      </c>
    </row>
    <row r="706" customHeight="1" spans="1:27">
      <c r="A706" s="21" t="s">
        <v>1424</v>
      </c>
      <c r="B706" s="21" t="s">
        <v>45</v>
      </c>
      <c r="C706" s="21" t="s">
        <v>1425</v>
      </c>
      <c r="D706" s="21" t="s">
        <v>1426</v>
      </c>
      <c r="E706" s="21" t="s">
        <v>1066</v>
      </c>
      <c r="F706" s="21" t="s">
        <v>49</v>
      </c>
      <c r="G706" s="21" t="s">
        <v>541</v>
      </c>
      <c r="H706" s="21" t="s">
        <v>671</v>
      </c>
      <c r="I706" s="26">
        <v>5</v>
      </c>
      <c r="J706" s="26">
        <v>60</v>
      </c>
      <c r="K706" s="21" t="s">
        <v>52</v>
      </c>
      <c r="L706" s="27">
        <v>696</v>
      </c>
      <c r="M706" s="21"/>
      <c r="N706" s="21"/>
      <c r="O706" s="21" t="s">
        <v>1427</v>
      </c>
      <c r="P706" s="21" t="s">
        <v>54</v>
      </c>
      <c r="Q706" s="28">
        <v>46154</v>
      </c>
      <c r="R706" s="29">
        <v>46153.5215740741</v>
      </c>
      <c r="S706" s="21" t="s">
        <v>1428</v>
      </c>
      <c r="T706" s="21"/>
      <c r="U706" s="21" t="s">
        <v>1426</v>
      </c>
      <c r="V706" s="29">
        <v>46153.5215393519</v>
      </c>
      <c r="W706">
        <f>VLOOKUP(H706,物料編碼!A:B,2,0)</f>
        <v>1300612023</v>
      </c>
      <c r="X706">
        <v>1300612</v>
      </c>
      <c r="Y706" t="str">
        <f>VLOOKUP(X706,物料編碼!D:G,4,0)</f>
        <v>去皮胸肉</v>
      </c>
      <c r="Z706" t="str">
        <f>VLOOKUP(C706,客戶屬性1!A:C,2,0)</f>
        <v>明兴冻肉食品有限公司</v>
      </c>
      <c r="AA706">
        <f>IF(COUNTIF($O$1:O706,O706)=1,L706,0)</f>
        <v>696</v>
      </c>
    </row>
    <row r="707" customHeight="1" spans="1:27">
      <c r="A707" s="21" t="s">
        <v>1429</v>
      </c>
      <c r="B707" s="21" t="s">
        <v>45</v>
      </c>
      <c r="C707" s="21" t="s">
        <v>72</v>
      </c>
      <c r="D707" s="21" t="s">
        <v>73</v>
      </c>
      <c r="E707" s="21" t="s">
        <v>74</v>
      </c>
      <c r="F707" s="21" t="s">
        <v>49</v>
      </c>
      <c r="G707" s="21" t="s">
        <v>50</v>
      </c>
      <c r="H707" s="21" t="s">
        <v>75</v>
      </c>
      <c r="I707" s="26">
        <v>1</v>
      </c>
      <c r="J707" s="26">
        <v>15</v>
      </c>
      <c r="K707" s="21" t="s">
        <v>52</v>
      </c>
      <c r="L707" s="27">
        <v>1965.45</v>
      </c>
      <c r="M707" s="21"/>
      <c r="N707" s="21"/>
      <c r="O707" s="21" t="s">
        <v>1430</v>
      </c>
      <c r="P707" s="21" t="s">
        <v>54</v>
      </c>
      <c r="Q707" s="28">
        <v>46154</v>
      </c>
      <c r="R707" s="29">
        <v>46153.5024537037</v>
      </c>
      <c r="S707" s="21" t="s">
        <v>77</v>
      </c>
      <c r="T707" s="21"/>
      <c r="U707" s="21" t="s">
        <v>74</v>
      </c>
      <c r="V707" s="29">
        <v>46153.5023958333</v>
      </c>
      <c r="W707">
        <f>VLOOKUP(H707,物料編碼!A:B,2,0)</f>
        <v>1300603040</v>
      </c>
      <c r="X707">
        <v>1300603</v>
      </c>
      <c r="Y707" t="str">
        <f>VLOOKUP(X707,物料編碼!D:G,4,0)</f>
        <v>帶骨全腿</v>
      </c>
      <c r="Z707" t="str">
        <f>VLOOKUP(C707,客戶屬性1!A:C,2,0)</f>
        <v>恒辉贸易公司</v>
      </c>
      <c r="AA707">
        <f>IF(COUNTIF($O$1:O707,O707)=1,L707,0)</f>
        <v>1965.45</v>
      </c>
    </row>
    <row r="708" customHeight="1" spans="1:27">
      <c r="A708" s="21" t="s">
        <v>1429</v>
      </c>
      <c r="B708" s="21" t="s">
        <v>45</v>
      </c>
      <c r="C708" s="21" t="s">
        <v>72</v>
      </c>
      <c r="D708" s="21" t="s">
        <v>73</v>
      </c>
      <c r="E708" s="21" t="s">
        <v>74</v>
      </c>
      <c r="F708" s="21" t="s">
        <v>49</v>
      </c>
      <c r="G708" s="21" t="s">
        <v>50</v>
      </c>
      <c r="H708" s="21" t="s">
        <v>78</v>
      </c>
      <c r="I708" s="26">
        <v>8</v>
      </c>
      <c r="J708" s="26">
        <v>120</v>
      </c>
      <c r="K708" s="21" t="s">
        <v>52</v>
      </c>
      <c r="L708" s="27">
        <v>1965.45</v>
      </c>
      <c r="M708" s="21"/>
      <c r="N708" s="21"/>
      <c r="O708" s="21" t="s">
        <v>1430</v>
      </c>
      <c r="P708" s="21" t="s">
        <v>54</v>
      </c>
      <c r="Q708" s="28">
        <v>46154</v>
      </c>
      <c r="R708" s="29">
        <v>46153.5024537037</v>
      </c>
      <c r="S708" s="21" t="s">
        <v>77</v>
      </c>
      <c r="T708" s="21"/>
      <c r="U708" s="21" t="s">
        <v>74</v>
      </c>
      <c r="V708" s="29">
        <v>46153.5023958333</v>
      </c>
      <c r="W708">
        <f>VLOOKUP(H708,物料編碼!A:B,2,0)</f>
        <v>1300607014</v>
      </c>
      <c r="X708">
        <v>1300607</v>
      </c>
      <c r="Y708" t="str">
        <f>VLOOKUP(X708,物料編碼!D:G,4,0)</f>
        <v>帶皮腿扒</v>
      </c>
      <c r="Z708" t="str">
        <f>VLOOKUP(C708,客戶屬性1!A:C,2,0)</f>
        <v>恒辉贸易公司</v>
      </c>
      <c r="AA708">
        <f>IF(COUNTIF($O$1:O708,O708)=1,L708,0)</f>
        <v>0</v>
      </c>
    </row>
    <row r="709" customHeight="1" spans="1:27">
      <c r="A709" s="21" t="s">
        <v>1431</v>
      </c>
      <c r="B709" s="21" t="s">
        <v>45</v>
      </c>
      <c r="C709" s="21" t="s">
        <v>538</v>
      </c>
      <c r="D709" s="21" t="s">
        <v>539</v>
      </c>
      <c r="E709" s="21" t="s">
        <v>540</v>
      </c>
      <c r="F709" s="21" t="s">
        <v>49</v>
      </c>
      <c r="G709" s="21" t="s">
        <v>541</v>
      </c>
      <c r="H709" s="21" t="s">
        <v>63</v>
      </c>
      <c r="I709" s="26">
        <v>1</v>
      </c>
      <c r="J709" s="26">
        <v>25</v>
      </c>
      <c r="K709" s="21" t="s">
        <v>52</v>
      </c>
      <c r="L709" s="27">
        <v>815</v>
      </c>
      <c r="M709" s="21"/>
      <c r="N709" s="21"/>
      <c r="O709" s="21" t="s">
        <v>1432</v>
      </c>
      <c r="P709" s="21" t="s">
        <v>54</v>
      </c>
      <c r="Q709" s="28">
        <v>46153</v>
      </c>
      <c r="R709" s="29">
        <v>46153.4592592593</v>
      </c>
      <c r="S709" s="21" t="s">
        <v>543</v>
      </c>
      <c r="T709" s="21"/>
      <c r="U709" s="21" t="s">
        <v>539</v>
      </c>
      <c r="V709" s="29">
        <v>46153.459212963</v>
      </c>
      <c r="W709">
        <f>VLOOKUP(H709,物料編碼!A:B,2,0)</f>
        <v>1300109002</v>
      </c>
      <c r="X709">
        <v>1300109</v>
      </c>
      <c r="Y709" t="str">
        <f>VLOOKUP(X709,物料編碼!D:G,4,0)</f>
        <v>面精肉</v>
      </c>
      <c r="Z709" t="str">
        <f>VLOOKUP(C709,客戶屬性1!A:C,2,0)</f>
        <v>诚信冻肉有限公司</v>
      </c>
      <c r="AA709">
        <f>IF(COUNTIF($O$1:O709,O709)=1,L709,0)</f>
        <v>815</v>
      </c>
    </row>
    <row r="710" customHeight="1" spans="1:27">
      <c r="A710" s="21" t="s">
        <v>1433</v>
      </c>
      <c r="B710" s="21" t="s">
        <v>45</v>
      </c>
      <c r="C710" s="21" t="s">
        <v>46</v>
      </c>
      <c r="D710" s="21" t="s">
        <v>47</v>
      </c>
      <c r="E710" s="21" t="s">
        <v>48</v>
      </c>
      <c r="F710" s="21" t="s">
        <v>49</v>
      </c>
      <c r="G710" s="21" t="s">
        <v>50</v>
      </c>
      <c r="H710" s="21" t="s">
        <v>63</v>
      </c>
      <c r="I710" s="26">
        <v>1</v>
      </c>
      <c r="J710" s="26">
        <v>25</v>
      </c>
      <c r="K710" s="21" t="s">
        <v>52</v>
      </c>
      <c r="L710" s="27">
        <v>912</v>
      </c>
      <c r="M710" s="21"/>
      <c r="N710" s="21"/>
      <c r="O710" s="21" t="s">
        <v>1434</v>
      </c>
      <c r="P710" s="21" t="s">
        <v>54</v>
      </c>
      <c r="Q710" s="28">
        <v>46153</v>
      </c>
      <c r="R710" s="29">
        <v>46153.4397916667</v>
      </c>
      <c r="S710" s="21" t="s">
        <v>55</v>
      </c>
      <c r="T710" s="21"/>
      <c r="U710" s="21" t="s">
        <v>47</v>
      </c>
      <c r="V710" s="29">
        <v>46153.4397453704</v>
      </c>
      <c r="W710">
        <f>VLOOKUP(H710,物料編碼!A:B,2,0)</f>
        <v>1300109002</v>
      </c>
      <c r="X710">
        <v>1300109</v>
      </c>
      <c r="Y710" t="str">
        <f>VLOOKUP(X710,物料編碼!D:G,4,0)</f>
        <v>面精肉</v>
      </c>
      <c r="Z710" t="str">
        <f>VLOOKUP(C710,客戶屬性1!A:C,2,0)</f>
        <v>明记冻肉</v>
      </c>
      <c r="AA710">
        <f>IF(COUNTIF($O$1:O710,O710)=1,L710,0)</f>
        <v>912</v>
      </c>
    </row>
    <row r="711" customHeight="1" spans="1:27">
      <c r="A711" s="21" t="s">
        <v>1433</v>
      </c>
      <c r="B711" s="21" t="s">
        <v>45</v>
      </c>
      <c r="C711" s="21" t="s">
        <v>46</v>
      </c>
      <c r="D711" s="21" t="s">
        <v>47</v>
      </c>
      <c r="E711" s="21" t="s">
        <v>48</v>
      </c>
      <c r="F711" s="21" t="s">
        <v>49</v>
      </c>
      <c r="G711" s="21" t="s">
        <v>50</v>
      </c>
      <c r="H711" s="21" t="s">
        <v>168</v>
      </c>
      <c r="I711" s="26">
        <v>1</v>
      </c>
      <c r="J711" s="26">
        <v>10</v>
      </c>
      <c r="K711" s="21" t="s">
        <v>52</v>
      </c>
      <c r="L711" s="27">
        <v>912</v>
      </c>
      <c r="M711" s="21"/>
      <c r="N711" s="21"/>
      <c r="O711" s="21" t="s">
        <v>1434</v>
      </c>
      <c r="P711" s="21" t="s">
        <v>54</v>
      </c>
      <c r="Q711" s="28">
        <v>46153</v>
      </c>
      <c r="R711" s="29">
        <v>46153.4397916667</v>
      </c>
      <c r="S711" s="21" t="s">
        <v>55</v>
      </c>
      <c r="T711" s="21"/>
      <c r="U711" s="21" t="s">
        <v>47</v>
      </c>
      <c r="V711" s="29">
        <v>46153.4397453704</v>
      </c>
      <c r="W711">
        <f>VLOOKUP(H711,物料編碼!A:B,2,0)</f>
        <v>1300627002</v>
      </c>
      <c r="X711">
        <v>1300627</v>
      </c>
      <c r="Y711" t="str">
        <f>VLOOKUP(X711,物料編碼!D:G,4,0)</f>
        <v>翅尖</v>
      </c>
      <c r="Z711" t="str">
        <f>VLOOKUP(C711,客戶屬性1!A:C,2,0)</f>
        <v>明记冻肉</v>
      </c>
      <c r="AA711">
        <f>IF(COUNTIF($O$1:O711,O711)=1,L711,0)</f>
        <v>0</v>
      </c>
    </row>
    <row r="712" customHeight="1" spans="1:27">
      <c r="A712" s="21" t="s">
        <v>1435</v>
      </c>
      <c r="B712" s="21" t="s">
        <v>45</v>
      </c>
      <c r="C712" s="21" t="s">
        <v>72</v>
      </c>
      <c r="D712" s="21" t="s">
        <v>73</v>
      </c>
      <c r="E712" s="21" t="s">
        <v>74</v>
      </c>
      <c r="F712" s="21" t="s">
        <v>49</v>
      </c>
      <c r="G712" s="21" t="s">
        <v>50</v>
      </c>
      <c r="H712" s="21" t="s">
        <v>1389</v>
      </c>
      <c r="I712" s="26">
        <v>2</v>
      </c>
      <c r="J712" s="26">
        <v>30</v>
      </c>
      <c r="K712" s="21" t="s">
        <v>52</v>
      </c>
      <c r="L712" s="27">
        <v>450</v>
      </c>
      <c r="M712" s="21"/>
      <c r="N712" s="21"/>
      <c r="O712" s="21" t="s">
        <v>1436</v>
      </c>
      <c r="P712" s="21" t="s">
        <v>54</v>
      </c>
      <c r="Q712" s="28">
        <v>46153</v>
      </c>
      <c r="R712" s="29">
        <v>46153.4375231481</v>
      </c>
      <c r="S712" s="21" t="s">
        <v>377</v>
      </c>
      <c r="T712" s="21"/>
      <c r="U712" s="21" t="s">
        <v>82</v>
      </c>
      <c r="V712" s="29">
        <v>46153.4374768519</v>
      </c>
      <c r="W712">
        <f>VLOOKUP(H712,物料編碼!A:B,2,0)</f>
        <v>1300607032</v>
      </c>
      <c r="X712">
        <v>1300607</v>
      </c>
      <c r="Y712" t="str">
        <f>VLOOKUP(X712,物料編碼!D:G,4,0)</f>
        <v>帶皮腿扒</v>
      </c>
      <c r="Z712" t="str">
        <f>VLOOKUP(C712,客戶屬性1!A:C,2,0)</f>
        <v>恒辉贸易公司</v>
      </c>
      <c r="AA712">
        <f>IF(COUNTIF($O$1:O712,O712)=1,L712,0)</f>
        <v>450</v>
      </c>
    </row>
    <row r="713" customHeight="1" spans="1:27">
      <c r="A713" s="21" t="s">
        <v>1437</v>
      </c>
      <c r="B713" s="21" t="s">
        <v>45</v>
      </c>
      <c r="C713" s="21" t="s">
        <v>57</v>
      </c>
      <c r="D713" s="21" t="s">
        <v>58</v>
      </c>
      <c r="E713" s="21" t="s">
        <v>59</v>
      </c>
      <c r="F713" s="21" t="s">
        <v>49</v>
      </c>
      <c r="G713" s="21" t="s">
        <v>50</v>
      </c>
      <c r="H713" s="21" t="s">
        <v>63</v>
      </c>
      <c r="I713" s="26">
        <v>3</v>
      </c>
      <c r="J713" s="26">
        <v>75</v>
      </c>
      <c r="K713" s="21" t="s">
        <v>52</v>
      </c>
      <c r="L713" s="27">
        <v>2445</v>
      </c>
      <c r="M713" s="21"/>
      <c r="N713" s="21"/>
      <c r="O713" s="21" t="s">
        <v>1438</v>
      </c>
      <c r="P713" s="21" t="s">
        <v>54</v>
      </c>
      <c r="Q713" s="28">
        <v>46154</v>
      </c>
      <c r="R713" s="29">
        <v>46153.4258564815</v>
      </c>
      <c r="S713" s="21" t="s">
        <v>62</v>
      </c>
      <c r="T713" s="21"/>
      <c r="U713" s="21" t="s">
        <v>59</v>
      </c>
      <c r="V713" s="29">
        <v>46153.4258101852</v>
      </c>
      <c r="W713">
        <f>VLOOKUP(H713,物料編碼!A:B,2,0)</f>
        <v>1300109002</v>
      </c>
      <c r="X713">
        <v>1300109</v>
      </c>
      <c r="Y713" t="str">
        <f>VLOOKUP(X713,物料編碼!D:G,4,0)</f>
        <v>面精肉</v>
      </c>
      <c r="Z713" t="str">
        <f>VLOOKUP(C713,客戶屬性1!A:C,2,0)</f>
        <v>翎凰冻肉有限公司</v>
      </c>
      <c r="AA713">
        <f>IF(COUNTIF($O$1:O713,O713)=1,L713,0)</f>
        <v>2445</v>
      </c>
    </row>
    <row r="714" customHeight="1" spans="1:27">
      <c r="A714" s="21" t="s">
        <v>1439</v>
      </c>
      <c r="B714" s="21" t="s">
        <v>45</v>
      </c>
      <c r="C714" s="21" t="s">
        <v>86</v>
      </c>
      <c r="D714" s="21" t="s">
        <v>87</v>
      </c>
      <c r="E714" s="21" t="s">
        <v>88</v>
      </c>
      <c r="F714" s="21" t="s">
        <v>49</v>
      </c>
      <c r="G714" s="21" t="s">
        <v>89</v>
      </c>
      <c r="H714" s="21" t="s">
        <v>63</v>
      </c>
      <c r="I714" s="26">
        <v>4</v>
      </c>
      <c r="J714" s="26">
        <v>100</v>
      </c>
      <c r="K714" s="21" t="s">
        <v>52</v>
      </c>
      <c r="L714" s="27">
        <v>3260</v>
      </c>
      <c r="M714" s="21"/>
      <c r="N714" s="21"/>
      <c r="O714" s="21" t="s">
        <v>1440</v>
      </c>
      <c r="P714" s="21" t="s">
        <v>54</v>
      </c>
      <c r="Q714" s="28">
        <v>46154</v>
      </c>
      <c r="R714" s="29">
        <v>46153.4079976852</v>
      </c>
      <c r="S714" s="21" t="s">
        <v>91</v>
      </c>
      <c r="T714" s="21"/>
      <c r="U714" s="21" t="s">
        <v>88</v>
      </c>
      <c r="V714" s="29">
        <v>46153.4079513889</v>
      </c>
      <c r="W714">
        <f>VLOOKUP(H714,物料編碼!A:B,2,0)</f>
        <v>1300109002</v>
      </c>
      <c r="X714">
        <v>1300109</v>
      </c>
      <c r="Y714" t="str">
        <f>VLOOKUP(X714,物料編碼!D:G,4,0)</f>
        <v>面精肉</v>
      </c>
      <c r="Z714" t="str">
        <f>VLOOKUP(C714,客戶屬性1!A:C,2,0)</f>
        <v>新城发食品有限公司</v>
      </c>
      <c r="AA714">
        <f>IF(COUNTIF($O$1:O714,O714)=1,L714,0)</f>
        <v>3260</v>
      </c>
    </row>
    <row r="715" customHeight="1" spans="1:27">
      <c r="A715" s="21" t="s">
        <v>1441</v>
      </c>
      <c r="B715" s="21" t="s">
        <v>45</v>
      </c>
      <c r="C715" s="21" t="s">
        <v>1064</v>
      </c>
      <c r="D715" s="21" t="s">
        <v>1065</v>
      </c>
      <c r="E715" s="21" t="s">
        <v>1066</v>
      </c>
      <c r="F715" s="21" t="s">
        <v>49</v>
      </c>
      <c r="G715" s="21" t="s">
        <v>89</v>
      </c>
      <c r="H715" s="21" t="s">
        <v>63</v>
      </c>
      <c r="I715" s="26">
        <v>5</v>
      </c>
      <c r="J715" s="26">
        <v>125</v>
      </c>
      <c r="K715" s="21" t="s">
        <v>52</v>
      </c>
      <c r="L715" s="27">
        <v>4075</v>
      </c>
      <c r="M715" s="21"/>
      <c r="N715" s="21"/>
      <c r="O715" s="21" t="s">
        <v>1442</v>
      </c>
      <c r="P715" s="21" t="s">
        <v>54</v>
      </c>
      <c r="Q715" s="28">
        <v>46154</v>
      </c>
      <c r="R715" s="29">
        <v>46153.4074305556</v>
      </c>
      <c r="S715" s="21" t="s">
        <v>1068</v>
      </c>
      <c r="T715" s="21"/>
      <c r="U715" s="21" t="s">
        <v>1065</v>
      </c>
      <c r="V715" s="29">
        <v>46153.4073611111</v>
      </c>
      <c r="W715">
        <f>VLOOKUP(H715,物料編碼!A:B,2,0)</f>
        <v>1300109002</v>
      </c>
      <c r="X715">
        <v>1300109</v>
      </c>
      <c r="Y715" t="str">
        <f>VLOOKUP(X715,物料編碼!D:G,4,0)</f>
        <v>面精肉</v>
      </c>
      <c r="Z715" t="str">
        <f>VLOOKUP(C715,客戶屬性1!A:C,2,0)</f>
        <v>明兴食品有限公司(元朗)</v>
      </c>
      <c r="AA715">
        <f>IF(COUNTIF($O$1:O715,O715)=1,L715,0)</f>
        <v>4075</v>
      </c>
    </row>
    <row r="716" customHeight="1" spans="1:27">
      <c r="A716" s="21" t="s">
        <v>1443</v>
      </c>
      <c r="B716" s="21" t="s">
        <v>45</v>
      </c>
      <c r="C716" s="21" t="s">
        <v>72</v>
      </c>
      <c r="D716" s="21" t="s">
        <v>73</v>
      </c>
      <c r="E716" s="21" t="s">
        <v>74</v>
      </c>
      <c r="F716" s="21" t="s">
        <v>49</v>
      </c>
      <c r="G716" s="21" t="s">
        <v>50</v>
      </c>
      <c r="H716" s="21" t="s">
        <v>838</v>
      </c>
      <c r="I716" s="26">
        <v>1</v>
      </c>
      <c r="J716" s="26">
        <v>10</v>
      </c>
      <c r="K716" s="21" t="s">
        <v>52</v>
      </c>
      <c r="L716" s="27">
        <v>135</v>
      </c>
      <c r="M716" s="21"/>
      <c r="N716" s="21"/>
      <c r="O716" s="21" t="s">
        <v>1444</v>
      </c>
      <c r="P716" s="21" t="s">
        <v>54</v>
      </c>
      <c r="Q716" s="28">
        <v>46153</v>
      </c>
      <c r="R716" s="29">
        <v>46151.6069675926</v>
      </c>
      <c r="S716" s="21" t="s">
        <v>81</v>
      </c>
      <c r="T716" s="21"/>
      <c r="U716" s="21" t="s">
        <v>82</v>
      </c>
      <c r="V716" s="29">
        <v>46151.6069097222</v>
      </c>
      <c r="W716">
        <f>VLOOKUP(H716,物料編碼!A:B,2,0)</f>
        <v>1300902002</v>
      </c>
      <c r="X716">
        <v>1300902</v>
      </c>
      <c r="Y716" t="str">
        <f>VLOOKUP(X716,物料編碼!D:G,4,0)</f>
        <v>帶骨整腿</v>
      </c>
      <c r="Z716" t="str">
        <f>VLOOKUP(C716,客戶屬性1!A:C,2,0)</f>
        <v>恒辉贸易公司</v>
      </c>
      <c r="AA716">
        <f>IF(COUNTIF($O$1:O716,O716)=1,L716,0)</f>
        <v>135</v>
      </c>
    </row>
    <row r="717" customHeight="1" spans="1:27">
      <c r="A717" s="21" t="s">
        <v>1445</v>
      </c>
      <c r="B717" s="21" t="s">
        <v>45</v>
      </c>
      <c r="C717" s="21" t="s">
        <v>72</v>
      </c>
      <c r="D717" s="21" t="s">
        <v>73</v>
      </c>
      <c r="E717" s="21" t="s">
        <v>74</v>
      </c>
      <c r="F717" s="21" t="s">
        <v>49</v>
      </c>
      <c r="G717" s="21" t="s">
        <v>50</v>
      </c>
      <c r="H717" s="21" t="s">
        <v>117</v>
      </c>
      <c r="I717" s="26">
        <v>3</v>
      </c>
      <c r="J717" s="26">
        <v>45</v>
      </c>
      <c r="K717" s="21" t="s">
        <v>52</v>
      </c>
      <c r="L717" s="27">
        <v>665.1</v>
      </c>
      <c r="M717" s="21"/>
      <c r="N717" s="21"/>
      <c r="O717" s="21" t="s">
        <v>1446</v>
      </c>
      <c r="P717" s="21" t="s">
        <v>54</v>
      </c>
      <c r="Q717" s="28">
        <v>46153</v>
      </c>
      <c r="R717" s="29">
        <v>46151.6052893518</v>
      </c>
      <c r="S717" s="21" t="s">
        <v>81</v>
      </c>
      <c r="T717" s="21"/>
      <c r="U717" s="21" t="s">
        <v>82</v>
      </c>
      <c r="V717" s="29">
        <v>46151.6052314815</v>
      </c>
      <c r="W717">
        <f>VLOOKUP(H717,物料編碼!A:B,2,0)</f>
        <v>1300607015</v>
      </c>
      <c r="X717">
        <v>1300607</v>
      </c>
      <c r="Y717" t="str">
        <f>VLOOKUP(X717,物料編碼!D:G,4,0)</f>
        <v>帶皮腿扒</v>
      </c>
      <c r="Z717" t="str">
        <f>VLOOKUP(C717,客戶屬性1!A:C,2,0)</f>
        <v>恒辉贸易公司</v>
      </c>
      <c r="AA717">
        <f>IF(COUNTIF($O$1:O717,O717)=1,L717,0)</f>
        <v>665.1</v>
      </c>
    </row>
    <row r="718" customHeight="1" spans="1:27">
      <c r="A718" s="21" t="s">
        <v>1447</v>
      </c>
      <c r="B718" s="21" t="s">
        <v>45</v>
      </c>
      <c r="C718" s="21" t="s">
        <v>72</v>
      </c>
      <c r="D718" s="21" t="s">
        <v>73</v>
      </c>
      <c r="E718" s="21" t="s">
        <v>74</v>
      </c>
      <c r="F718" s="21" t="s">
        <v>49</v>
      </c>
      <c r="G718" s="21" t="s">
        <v>50</v>
      </c>
      <c r="H718" s="21" t="s">
        <v>63</v>
      </c>
      <c r="I718" s="26">
        <v>5</v>
      </c>
      <c r="J718" s="26">
        <v>125</v>
      </c>
      <c r="K718" s="21" t="s">
        <v>52</v>
      </c>
      <c r="L718" s="27">
        <v>4175</v>
      </c>
      <c r="M718" s="21"/>
      <c r="N718" s="21"/>
      <c r="O718" s="21" t="s">
        <v>1448</v>
      </c>
      <c r="P718" s="21" t="s">
        <v>54</v>
      </c>
      <c r="Q718" s="28">
        <v>46153</v>
      </c>
      <c r="R718" s="29">
        <v>46151.5494444444</v>
      </c>
      <c r="S718" s="21" t="s">
        <v>81</v>
      </c>
      <c r="T718" s="21"/>
      <c r="U718" s="21" t="s">
        <v>82</v>
      </c>
      <c r="V718" s="29">
        <v>46151.5493981481</v>
      </c>
      <c r="W718">
        <f>VLOOKUP(H718,物料編碼!A:B,2,0)</f>
        <v>1300109002</v>
      </c>
      <c r="X718">
        <v>1300109</v>
      </c>
      <c r="Y718" t="str">
        <f>VLOOKUP(X718,物料編碼!D:G,4,0)</f>
        <v>面精肉</v>
      </c>
      <c r="Z718" t="str">
        <f>VLOOKUP(C718,客戶屬性1!A:C,2,0)</f>
        <v>恒辉贸易公司</v>
      </c>
      <c r="AA718">
        <f>IF(COUNTIF($O$1:O718,O718)=1,L718,0)</f>
        <v>4175</v>
      </c>
    </row>
    <row r="719" customHeight="1" spans="1:27">
      <c r="A719" s="21" t="s">
        <v>1449</v>
      </c>
      <c r="B719" s="21" t="s">
        <v>45</v>
      </c>
      <c r="C719" s="21" t="s">
        <v>538</v>
      </c>
      <c r="D719" s="21" t="s">
        <v>539</v>
      </c>
      <c r="E719" s="21" t="s">
        <v>540</v>
      </c>
      <c r="F719" s="21" t="s">
        <v>49</v>
      </c>
      <c r="G719" s="21" t="s">
        <v>541</v>
      </c>
      <c r="H719" s="21" t="s">
        <v>63</v>
      </c>
      <c r="I719" s="26">
        <v>1</v>
      </c>
      <c r="J719" s="26">
        <v>25</v>
      </c>
      <c r="K719" s="21" t="s">
        <v>52</v>
      </c>
      <c r="L719" s="27">
        <v>835</v>
      </c>
      <c r="M719" s="21"/>
      <c r="N719" s="21"/>
      <c r="O719" s="21" t="s">
        <v>1450</v>
      </c>
      <c r="P719" s="21" t="s">
        <v>54</v>
      </c>
      <c r="Q719" s="28">
        <v>46151</v>
      </c>
      <c r="R719" s="29">
        <v>46151.4942013889</v>
      </c>
      <c r="S719" s="21" t="s">
        <v>543</v>
      </c>
      <c r="T719" s="21"/>
      <c r="U719" s="21" t="s">
        <v>539</v>
      </c>
      <c r="V719" s="29">
        <v>46151.4941550926</v>
      </c>
      <c r="W719">
        <f>VLOOKUP(H719,物料編碼!A:B,2,0)</f>
        <v>1300109002</v>
      </c>
      <c r="X719">
        <v>1300109</v>
      </c>
      <c r="Y719" t="str">
        <f>VLOOKUP(X719,物料編碼!D:G,4,0)</f>
        <v>面精肉</v>
      </c>
      <c r="Z719" t="str">
        <f>VLOOKUP(C719,客戶屬性1!A:C,2,0)</f>
        <v>诚信冻肉有限公司</v>
      </c>
      <c r="AA719">
        <f>IF(COUNTIF($O$1:O719,O719)=1,L719,0)</f>
        <v>835</v>
      </c>
    </row>
    <row r="720" customHeight="1" spans="1:27">
      <c r="A720" s="21" t="s">
        <v>1451</v>
      </c>
      <c r="B720" s="21" t="s">
        <v>45</v>
      </c>
      <c r="C720" s="21" t="s">
        <v>538</v>
      </c>
      <c r="D720" s="21" t="s">
        <v>539</v>
      </c>
      <c r="E720" s="21" t="s">
        <v>540</v>
      </c>
      <c r="F720" s="21" t="s">
        <v>49</v>
      </c>
      <c r="G720" s="21" t="s">
        <v>541</v>
      </c>
      <c r="H720" s="21" t="s">
        <v>781</v>
      </c>
      <c r="I720" s="26">
        <v>1</v>
      </c>
      <c r="J720" s="26">
        <v>10</v>
      </c>
      <c r="K720" s="21" t="s">
        <v>52</v>
      </c>
      <c r="L720" s="27">
        <v>220</v>
      </c>
      <c r="M720" s="21"/>
      <c r="N720" s="21"/>
      <c r="O720" s="21" t="s">
        <v>1452</v>
      </c>
      <c r="P720" s="21" t="s">
        <v>54</v>
      </c>
      <c r="Q720" s="28">
        <v>46151</v>
      </c>
      <c r="R720" s="29">
        <v>46151.492349537</v>
      </c>
      <c r="S720" s="21" t="s">
        <v>543</v>
      </c>
      <c r="T720" s="21"/>
      <c r="U720" s="21" t="s">
        <v>539</v>
      </c>
      <c r="V720" s="29">
        <v>46151.4923032407</v>
      </c>
      <c r="W720">
        <f>VLOOKUP(H720,物料編碼!A:B,2,0)</f>
        <v>1300904022</v>
      </c>
      <c r="X720">
        <v>1300904</v>
      </c>
      <c r="Y720" t="str">
        <f>VLOOKUP(X720,物料編碼!D:G,4,0)</f>
        <v>煙熏鴨胸</v>
      </c>
      <c r="Z720" t="str">
        <f>VLOOKUP(C720,客戶屬性1!A:C,2,0)</f>
        <v>诚信冻肉有限公司</v>
      </c>
      <c r="AA720">
        <f>IF(COUNTIF($O$1:O720,O720)=1,L720,0)</f>
        <v>220</v>
      </c>
    </row>
    <row r="721" customHeight="1" spans="1:27">
      <c r="A721" s="21" t="s">
        <v>1453</v>
      </c>
      <c r="B721" s="21" t="s">
        <v>45</v>
      </c>
      <c r="C721" s="21" t="s">
        <v>1308</v>
      </c>
      <c r="D721" s="21" t="s">
        <v>1309</v>
      </c>
      <c r="E721" s="21" t="s">
        <v>1310</v>
      </c>
      <c r="F721" s="21" t="s">
        <v>49</v>
      </c>
      <c r="G721" s="21" t="s">
        <v>541</v>
      </c>
      <c r="H721" s="21" t="s">
        <v>75</v>
      </c>
      <c r="I721" s="26">
        <v>1</v>
      </c>
      <c r="J721" s="26">
        <v>15</v>
      </c>
      <c r="K721" s="21" t="s">
        <v>52</v>
      </c>
      <c r="L721" s="27">
        <v>191.85</v>
      </c>
      <c r="M721" s="21"/>
      <c r="N721" s="21"/>
      <c r="O721" s="21" t="s">
        <v>1454</v>
      </c>
      <c r="P721" s="21" t="s">
        <v>54</v>
      </c>
      <c r="Q721" s="28">
        <v>46153</v>
      </c>
      <c r="R721" s="29">
        <v>46151.4577893519</v>
      </c>
      <c r="S721" s="21" t="s">
        <v>1312</v>
      </c>
      <c r="T721" s="21"/>
      <c r="U721" s="21" t="s">
        <v>1309</v>
      </c>
      <c r="V721" s="29">
        <v>46151.4577314815</v>
      </c>
      <c r="W721">
        <f>VLOOKUP(H721,物料編碼!A:B,2,0)</f>
        <v>1300603040</v>
      </c>
      <c r="X721">
        <v>1300603</v>
      </c>
      <c r="Y721" t="str">
        <f>VLOOKUP(X721,物料編碼!D:G,4,0)</f>
        <v>帶骨全腿</v>
      </c>
      <c r="Z721" t="str">
        <f>VLOOKUP(C721,客戶屬性1!A:C,2,0)</f>
        <v>再丰有限公司</v>
      </c>
      <c r="AA721">
        <f>IF(COUNTIF($O$1:O721,O721)=1,L721,0)</f>
        <v>191.85</v>
      </c>
    </row>
    <row r="722" customHeight="1" spans="1:27">
      <c r="A722" s="21" t="s">
        <v>1455</v>
      </c>
      <c r="B722" s="21" t="s">
        <v>45</v>
      </c>
      <c r="C722" s="21" t="s">
        <v>46</v>
      </c>
      <c r="D722" s="21" t="s">
        <v>47</v>
      </c>
      <c r="E722" s="21" t="s">
        <v>48</v>
      </c>
      <c r="F722" s="21" t="s">
        <v>49</v>
      </c>
      <c r="G722" s="21" t="s">
        <v>50</v>
      </c>
      <c r="H722" s="21" t="s">
        <v>63</v>
      </c>
      <c r="I722" s="26">
        <v>1</v>
      </c>
      <c r="J722" s="26">
        <v>25</v>
      </c>
      <c r="K722" s="21" t="s">
        <v>52</v>
      </c>
      <c r="L722" s="27">
        <v>835</v>
      </c>
      <c r="M722" s="21"/>
      <c r="N722" s="21"/>
      <c r="O722" s="21" t="s">
        <v>1456</v>
      </c>
      <c r="P722" s="21" t="s">
        <v>54</v>
      </c>
      <c r="Q722" s="28">
        <v>46151</v>
      </c>
      <c r="R722" s="29">
        <v>46151.4412037037</v>
      </c>
      <c r="S722" s="21" t="s">
        <v>55</v>
      </c>
      <c r="T722" s="21"/>
      <c r="U722" s="21" t="s">
        <v>47</v>
      </c>
      <c r="V722" s="29">
        <v>46151.4411574074</v>
      </c>
      <c r="W722">
        <f>VLOOKUP(H722,物料編碼!A:B,2,0)</f>
        <v>1300109002</v>
      </c>
      <c r="X722">
        <v>1300109</v>
      </c>
      <c r="Y722" t="str">
        <f>VLOOKUP(X722,物料編碼!D:G,4,0)</f>
        <v>面精肉</v>
      </c>
      <c r="Z722" t="str">
        <f>VLOOKUP(C722,客戶屬性1!A:C,2,0)</f>
        <v>明记冻肉</v>
      </c>
      <c r="AA722">
        <f>IF(COUNTIF($O$1:O722,O722)=1,L722,0)</f>
        <v>835</v>
      </c>
    </row>
    <row r="723" customHeight="1" spans="1:27">
      <c r="A723" s="21" t="s">
        <v>1457</v>
      </c>
      <c r="B723" s="21" t="s">
        <v>45</v>
      </c>
      <c r="C723" s="21" t="s">
        <v>171</v>
      </c>
      <c r="D723" s="21" t="s">
        <v>172</v>
      </c>
      <c r="E723" s="21" t="s">
        <v>173</v>
      </c>
      <c r="F723" s="21" t="s">
        <v>49</v>
      </c>
      <c r="G723" s="21" t="s">
        <v>174</v>
      </c>
      <c r="H723" s="21" t="s">
        <v>283</v>
      </c>
      <c r="I723" s="26">
        <v>30</v>
      </c>
      <c r="J723" s="26">
        <v>750</v>
      </c>
      <c r="K723" s="21" t="s">
        <v>52</v>
      </c>
      <c r="L723" s="27">
        <v>14850</v>
      </c>
      <c r="M723" s="21"/>
      <c r="N723" s="21"/>
      <c r="O723" s="21" t="s">
        <v>1458</v>
      </c>
      <c r="P723" s="21" t="s">
        <v>54</v>
      </c>
      <c r="Q723" s="28">
        <v>46153</v>
      </c>
      <c r="R723" s="29">
        <v>46151.4410300926</v>
      </c>
      <c r="S723" s="21" t="s">
        <v>177</v>
      </c>
      <c r="T723" s="21"/>
      <c r="U723" s="21" t="s">
        <v>172</v>
      </c>
      <c r="V723" s="29">
        <v>46151.4409722222</v>
      </c>
      <c r="W723">
        <f>VLOOKUP(H723,物料編碼!A:B,2,0)</f>
        <v>1300104005</v>
      </c>
      <c r="X723">
        <v>1300104</v>
      </c>
      <c r="Y723" t="str">
        <f>VLOOKUP(X723,物料編碼!D:G,4,0)</f>
        <v>四號肉</v>
      </c>
      <c r="Z723" t="str">
        <f>VLOOKUP(C723,客戶屬性1!A:C,2,0)</f>
        <v>豪气有限公司</v>
      </c>
      <c r="AA723">
        <f>IF(COUNTIF($O$1:O723,O723)=1,L723,0)</f>
        <v>14850</v>
      </c>
    </row>
    <row r="724" customHeight="1" spans="1:27">
      <c r="A724" s="21" t="s">
        <v>1459</v>
      </c>
      <c r="B724" s="21" t="s">
        <v>45</v>
      </c>
      <c r="C724" s="21" t="s">
        <v>1460</v>
      </c>
      <c r="D724" s="21" t="s">
        <v>1461</v>
      </c>
      <c r="E724" s="21" t="s">
        <v>1462</v>
      </c>
      <c r="F724" s="21" t="s">
        <v>49</v>
      </c>
      <c r="G724" s="21" t="s">
        <v>541</v>
      </c>
      <c r="H724" s="21" t="s">
        <v>861</v>
      </c>
      <c r="I724" s="26">
        <v>1</v>
      </c>
      <c r="J724" s="26">
        <v>10</v>
      </c>
      <c r="K724" s="21" t="s">
        <v>52</v>
      </c>
      <c r="L724" s="27">
        <v>370</v>
      </c>
      <c r="M724" s="21"/>
      <c r="N724" s="21"/>
      <c r="O724" s="21" t="s">
        <v>1463</v>
      </c>
      <c r="P724" s="21" t="s">
        <v>54</v>
      </c>
      <c r="Q724" s="28">
        <v>46153</v>
      </c>
      <c r="R724" s="29">
        <v>46151.4365625</v>
      </c>
      <c r="S724" s="21" t="s">
        <v>1464</v>
      </c>
      <c r="T724" s="21"/>
      <c r="U724" s="21" t="s">
        <v>1461</v>
      </c>
      <c r="V724" s="29">
        <v>46151.4365162037</v>
      </c>
      <c r="W724">
        <f>VLOOKUP(H724,物料編碼!A:B,2,0)</f>
        <v>1800108098</v>
      </c>
      <c r="X724">
        <v>1800108</v>
      </c>
      <c r="Y724" t="str">
        <f>VLOOKUP(X724,物料編碼!D:G,4,0)</f>
        <v>魚.其他</v>
      </c>
      <c r="Z724" t="str">
        <f>VLOOKUP(C724,客戶屬性1!A:C,2,0)</f>
        <v>新江公司</v>
      </c>
      <c r="AA724">
        <f>IF(COUNTIF($O$1:O724,O724)=1,L724,0)</f>
        <v>370</v>
      </c>
    </row>
    <row r="725" customHeight="1" spans="1:27">
      <c r="A725" s="21" t="s">
        <v>1465</v>
      </c>
      <c r="B725" s="21" t="s">
        <v>45</v>
      </c>
      <c r="C725" s="21" t="s">
        <v>72</v>
      </c>
      <c r="D725" s="21" t="s">
        <v>73</v>
      </c>
      <c r="E725" s="21" t="s">
        <v>74</v>
      </c>
      <c r="F725" s="21" t="s">
        <v>49</v>
      </c>
      <c r="G725" s="21" t="s">
        <v>50</v>
      </c>
      <c r="H725" s="21" t="s">
        <v>402</v>
      </c>
      <c r="I725" s="26">
        <v>1</v>
      </c>
      <c r="J725" s="26">
        <v>10</v>
      </c>
      <c r="K725" s="21" t="s">
        <v>52</v>
      </c>
      <c r="L725" s="27">
        <v>136</v>
      </c>
      <c r="M725" s="21"/>
      <c r="N725" s="21"/>
      <c r="O725" s="21" t="s">
        <v>1466</v>
      </c>
      <c r="P725" s="21" t="s">
        <v>54</v>
      </c>
      <c r="Q725" s="28">
        <v>46151</v>
      </c>
      <c r="R725" s="29">
        <v>46151.4193402778</v>
      </c>
      <c r="S725" s="21" t="s">
        <v>81</v>
      </c>
      <c r="T725" s="21"/>
      <c r="U725" s="21" t="s">
        <v>82</v>
      </c>
      <c r="V725" s="29">
        <v>46151.4192939815</v>
      </c>
      <c r="W725">
        <f>VLOOKUP(H725,物料編碼!A:B,2,0)</f>
        <v>1300903002</v>
      </c>
      <c r="X725">
        <v>1300903</v>
      </c>
      <c r="Y725" t="str">
        <f>VLOOKUP(X725,物料編碼!D:G,4,0)</f>
        <v>生鴨胸</v>
      </c>
      <c r="Z725" t="str">
        <f>VLOOKUP(C725,客戶屬性1!A:C,2,0)</f>
        <v>恒辉贸易公司</v>
      </c>
      <c r="AA725">
        <f>IF(COUNTIF($O$1:O725,O725)=1,L725,0)</f>
        <v>136</v>
      </c>
    </row>
    <row r="726" customHeight="1" spans="1:27">
      <c r="A726" s="21" t="s">
        <v>1467</v>
      </c>
      <c r="B726" s="21" t="s">
        <v>45</v>
      </c>
      <c r="C726" s="21" t="s">
        <v>1308</v>
      </c>
      <c r="D726" s="21" t="s">
        <v>1309</v>
      </c>
      <c r="E726" s="21" t="s">
        <v>1310</v>
      </c>
      <c r="F726" s="21" t="s">
        <v>49</v>
      </c>
      <c r="G726" s="21" t="s">
        <v>541</v>
      </c>
      <c r="H726" s="21" t="s">
        <v>117</v>
      </c>
      <c r="I726" s="26">
        <v>4</v>
      </c>
      <c r="J726" s="26">
        <v>60</v>
      </c>
      <c r="K726" s="21" t="s">
        <v>52</v>
      </c>
      <c r="L726" s="27">
        <v>886.8</v>
      </c>
      <c r="M726" s="21"/>
      <c r="N726" s="21"/>
      <c r="O726" s="21" t="s">
        <v>1468</v>
      </c>
      <c r="P726" s="21" t="s">
        <v>54</v>
      </c>
      <c r="Q726" s="28">
        <v>46153</v>
      </c>
      <c r="R726" s="29">
        <v>46151.4170486111</v>
      </c>
      <c r="S726" s="21" t="s">
        <v>1312</v>
      </c>
      <c r="T726" s="21"/>
      <c r="U726" s="21" t="s">
        <v>1309</v>
      </c>
      <c r="V726" s="29">
        <v>46151.4170023148</v>
      </c>
      <c r="W726">
        <f>VLOOKUP(H726,物料編碼!A:B,2,0)</f>
        <v>1300607015</v>
      </c>
      <c r="X726">
        <v>1300607</v>
      </c>
      <c r="Y726" t="str">
        <f>VLOOKUP(X726,物料編碼!D:G,4,0)</f>
        <v>帶皮腿扒</v>
      </c>
      <c r="Z726" t="str">
        <f>VLOOKUP(C726,客戶屬性1!A:C,2,0)</f>
        <v>再丰有限公司</v>
      </c>
      <c r="AA726">
        <f>IF(COUNTIF($O$1:O726,O726)=1,L726,0)</f>
        <v>886.8</v>
      </c>
    </row>
    <row r="727" customHeight="1" spans="1:27">
      <c r="A727" s="21" t="s">
        <v>1469</v>
      </c>
      <c r="B727" s="21" t="s">
        <v>45</v>
      </c>
      <c r="C727" s="21" t="s">
        <v>72</v>
      </c>
      <c r="D727" s="21" t="s">
        <v>73</v>
      </c>
      <c r="E727" s="21" t="s">
        <v>74</v>
      </c>
      <c r="F727" s="21" t="s">
        <v>49</v>
      </c>
      <c r="G727" s="21" t="s">
        <v>50</v>
      </c>
      <c r="H727" s="21" t="s">
        <v>117</v>
      </c>
      <c r="I727" s="26">
        <v>5</v>
      </c>
      <c r="J727" s="26">
        <v>75</v>
      </c>
      <c r="K727" s="21" t="s">
        <v>52</v>
      </c>
      <c r="L727" s="27">
        <v>1108.5</v>
      </c>
      <c r="M727" s="21"/>
      <c r="N727" s="21"/>
      <c r="O727" s="21" t="s">
        <v>1470</v>
      </c>
      <c r="P727" s="21" t="s">
        <v>54</v>
      </c>
      <c r="Q727" s="28">
        <v>46151</v>
      </c>
      <c r="R727" s="29">
        <v>46150.6517592593</v>
      </c>
      <c r="S727" s="21" t="s">
        <v>377</v>
      </c>
      <c r="T727" s="21"/>
      <c r="U727" s="21" t="s">
        <v>82</v>
      </c>
      <c r="V727" s="29">
        <v>46150.651712963</v>
      </c>
      <c r="W727">
        <f>VLOOKUP(H727,物料編碼!A:B,2,0)</f>
        <v>1300607015</v>
      </c>
      <c r="X727">
        <v>1300607</v>
      </c>
      <c r="Y727" t="str">
        <f>VLOOKUP(X727,物料編碼!D:G,4,0)</f>
        <v>帶皮腿扒</v>
      </c>
      <c r="Z727" t="str">
        <f>VLOOKUP(C727,客戶屬性1!A:C,2,0)</f>
        <v>恒辉贸易公司</v>
      </c>
      <c r="AA727">
        <f>IF(COUNTIF($O$1:O727,O727)=1,L727,0)</f>
        <v>1108.5</v>
      </c>
    </row>
    <row r="728" customHeight="1" spans="1:27">
      <c r="A728" s="21" t="s">
        <v>1471</v>
      </c>
      <c r="B728" s="21" t="s">
        <v>45</v>
      </c>
      <c r="C728" s="21" t="s">
        <v>1218</v>
      </c>
      <c r="D728" s="21" t="s">
        <v>1219</v>
      </c>
      <c r="E728" s="21" t="s">
        <v>1220</v>
      </c>
      <c r="F728" s="21" t="s">
        <v>49</v>
      </c>
      <c r="G728" s="21" t="s">
        <v>541</v>
      </c>
      <c r="H728" s="21" t="s">
        <v>154</v>
      </c>
      <c r="I728" s="26">
        <v>5</v>
      </c>
      <c r="J728" s="26">
        <v>75</v>
      </c>
      <c r="K728" s="21" t="s">
        <v>52</v>
      </c>
      <c r="L728" s="27">
        <v>1190.25</v>
      </c>
      <c r="M728" s="21"/>
      <c r="N728" s="21"/>
      <c r="O728" s="21" t="s">
        <v>1472</v>
      </c>
      <c r="P728" s="21" t="s">
        <v>54</v>
      </c>
      <c r="Q728" s="28">
        <v>46151</v>
      </c>
      <c r="R728" s="29">
        <v>46150.6045023148</v>
      </c>
      <c r="S728" s="21" t="s">
        <v>1222</v>
      </c>
      <c r="T728" s="21"/>
      <c r="U728" s="21" t="s">
        <v>1219</v>
      </c>
      <c r="V728" s="29">
        <v>46150.6044560185</v>
      </c>
      <c r="W728">
        <f>VLOOKUP(H728,物料編碼!A:B,2,0)</f>
        <v>1300603036</v>
      </c>
      <c r="X728">
        <v>1300603</v>
      </c>
      <c r="Y728" t="str">
        <f>VLOOKUP(X728,物料編碼!D:G,4,0)</f>
        <v>帶骨全腿</v>
      </c>
      <c r="Z728" t="str">
        <f>VLOOKUP(C728,客戶屬性1!A:C,2,0)</f>
        <v>新华冻肉超级市场(葵芳)</v>
      </c>
      <c r="AA728">
        <f>IF(COUNTIF($O$1:O728,O728)=1,L728,0)</f>
        <v>1190.25</v>
      </c>
    </row>
    <row r="729" customHeight="1" spans="1:27">
      <c r="A729" s="21" t="s">
        <v>1473</v>
      </c>
      <c r="B729" s="21" t="s">
        <v>45</v>
      </c>
      <c r="C729" s="21" t="s">
        <v>1474</v>
      </c>
      <c r="D729" s="21" t="s">
        <v>1475</v>
      </c>
      <c r="E729" s="21" t="s">
        <v>1476</v>
      </c>
      <c r="F729" s="21" t="s">
        <v>49</v>
      </c>
      <c r="G729" s="21" t="s">
        <v>541</v>
      </c>
      <c r="H729" s="21" t="s">
        <v>248</v>
      </c>
      <c r="I729" s="26">
        <v>5</v>
      </c>
      <c r="J729" s="26">
        <v>125</v>
      </c>
      <c r="K729" s="21" t="s">
        <v>52</v>
      </c>
      <c r="L729" s="27">
        <v>3412.5</v>
      </c>
      <c r="M729" s="21"/>
      <c r="N729" s="21"/>
      <c r="O729" s="21" t="s">
        <v>1477</v>
      </c>
      <c r="P729" s="21" t="s">
        <v>54</v>
      </c>
      <c r="Q729" s="28">
        <v>46151</v>
      </c>
      <c r="R729" s="29">
        <v>46150.5612384259</v>
      </c>
      <c r="S729" s="21" t="s">
        <v>1478</v>
      </c>
      <c r="T729" s="21"/>
      <c r="U729" s="21" t="s">
        <v>1475</v>
      </c>
      <c r="V729" s="29">
        <v>46150.5611805556</v>
      </c>
      <c r="W729">
        <f>VLOOKUP(H729,物料編碼!A:B,2,0)</f>
        <v>1300101007</v>
      </c>
      <c r="X729">
        <v>1300101</v>
      </c>
      <c r="Y729" t="str">
        <f>VLOOKUP(X729,物料編碼!D:G,4,0)</f>
        <v>一號肉</v>
      </c>
      <c r="Z729" t="str">
        <f>VLOOKUP(C729,客戶屬性1!A:C,2,0)</f>
        <v>荣兴烧腊(单回公司)</v>
      </c>
      <c r="AA729">
        <f>IF(COUNTIF($O$1:O729,O729)=1,L729,0)</f>
        <v>3412.5</v>
      </c>
    </row>
    <row r="730" customHeight="1" spans="1:27">
      <c r="A730" s="21" t="s">
        <v>1479</v>
      </c>
      <c r="B730" s="21" t="s">
        <v>45</v>
      </c>
      <c r="C730" s="21" t="s">
        <v>141</v>
      </c>
      <c r="D730" s="21" t="s">
        <v>142</v>
      </c>
      <c r="E730" s="21" t="s">
        <v>142</v>
      </c>
      <c r="F730" s="21" t="s">
        <v>143</v>
      </c>
      <c r="G730" s="21" t="s">
        <v>100</v>
      </c>
      <c r="H730" s="21" t="s">
        <v>117</v>
      </c>
      <c r="I730" s="26">
        <v>3</v>
      </c>
      <c r="J730" s="26">
        <v>45</v>
      </c>
      <c r="K730" s="21" t="s">
        <v>52</v>
      </c>
      <c r="L730" s="27">
        <v>3019.6</v>
      </c>
      <c r="M730" s="21"/>
      <c r="N730" s="21"/>
      <c r="O730" s="21" t="s">
        <v>1480</v>
      </c>
      <c r="P730" s="21" t="s">
        <v>54</v>
      </c>
      <c r="Q730" s="28">
        <v>46153</v>
      </c>
      <c r="R730" s="29">
        <v>46150.5386226852</v>
      </c>
      <c r="S730" s="21" t="s">
        <v>145</v>
      </c>
      <c r="T730" s="21"/>
      <c r="U730" s="21" t="s">
        <v>142</v>
      </c>
      <c r="V730" s="29">
        <v>46150.5385763889</v>
      </c>
      <c r="W730">
        <f>VLOOKUP(H730,物料編碼!A:B,2,0)</f>
        <v>1300607015</v>
      </c>
      <c r="X730">
        <v>1300607</v>
      </c>
      <c r="Y730" t="str">
        <f>VLOOKUP(X730,物料編碼!D:G,4,0)</f>
        <v>帶皮腿扒</v>
      </c>
      <c r="Z730" t="str">
        <f>VLOOKUP(C730,客戶屬性1!A:C,2,0)</f>
        <v>新昌冻肉</v>
      </c>
      <c r="AA730">
        <f>IF(COUNTIF($O$1:O730,O730)=1,L730,0)</f>
        <v>3019.6</v>
      </c>
    </row>
    <row r="731" customHeight="1" spans="1:27">
      <c r="A731" s="21" t="s">
        <v>1479</v>
      </c>
      <c r="B731" s="21" t="s">
        <v>45</v>
      </c>
      <c r="C731" s="21" t="s">
        <v>141</v>
      </c>
      <c r="D731" s="21" t="s">
        <v>142</v>
      </c>
      <c r="E731" s="21" t="s">
        <v>142</v>
      </c>
      <c r="F731" s="21" t="s">
        <v>143</v>
      </c>
      <c r="G731" s="21" t="s">
        <v>100</v>
      </c>
      <c r="H731" s="21" t="s">
        <v>63</v>
      </c>
      <c r="I731" s="26">
        <v>1</v>
      </c>
      <c r="J731" s="26">
        <v>25</v>
      </c>
      <c r="K731" s="21" t="s">
        <v>52</v>
      </c>
      <c r="L731" s="27">
        <v>3019.6</v>
      </c>
      <c r="M731" s="21"/>
      <c r="N731" s="21"/>
      <c r="O731" s="21" t="s">
        <v>1480</v>
      </c>
      <c r="P731" s="21" t="s">
        <v>54</v>
      </c>
      <c r="Q731" s="28">
        <v>46153</v>
      </c>
      <c r="R731" s="29">
        <v>46150.5386226852</v>
      </c>
      <c r="S731" s="21" t="s">
        <v>145</v>
      </c>
      <c r="T731" s="21"/>
      <c r="U731" s="21" t="s">
        <v>142</v>
      </c>
      <c r="V731" s="29">
        <v>46150.5385763889</v>
      </c>
      <c r="W731">
        <f>VLOOKUP(H731,物料編碼!A:B,2,0)</f>
        <v>1300109002</v>
      </c>
      <c r="X731">
        <v>1300109</v>
      </c>
      <c r="Y731" t="str">
        <f>VLOOKUP(X731,物料編碼!D:G,4,0)</f>
        <v>面精肉</v>
      </c>
      <c r="Z731" t="str">
        <f>VLOOKUP(C731,客戶屬性1!A:C,2,0)</f>
        <v>新昌冻肉</v>
      </c>
      <c r="AA731">
        <f>IF(COUNTIF($O$1:O731,O731)=1,L731,0)</f>
        <v>0</v>
      </c>
    </row>
    <row r="732" customHeight="1" spans="1:27">
      <c r="A732" s="21" t="s">
        <v>1479</v>
      </c>
      <c r="B732" s="21" t="s">
        <v>45</v>
      </c>
      <c r="C732" s="21" t="s">
        <v>141</v>
      </c>
      <c r="D732" s="21" t="s">
        <v>142</v>
      </c>
      <c r="E732" s="21" t="s">
        <v>142</v>
      </c>
      <c r="F732" s="21" t="s">
        <v>143</v>
      </c>
      <c r="G732" s="21" t="s">
        <v>100</v>
      </c>
      <c r="H732" s="21" t="s">
        <v>146</v>
      </c>
      <c r="I732" s="26">
        <v>2</v>
      </c>
      <c r="J732" s="26">
        <v>30</v>
      </c>
      <c r="K732" s="21" t="s">
        <v>52</v>
      </c>
      <c r="L732" s="27">
        <v>3019.6</v>
      </c>
      <c r="M732" s="21"/>
      <c r="N732" s="21"/>
      <c r="O732" s="21" t="s">
        <v>1480</v>
      </c>
      <c r="P732" s="21" t="s">
        <v>54</v>
      </c>
      <c r="Q732" s="28">
        <v>46153</v>
      </c>
      <c r="R732" s="29">
        <v>46150.5386226852</v>
      </c>
      <c r="S732" s="21" t="s">
        <v>145</v>
      </c>
      <c r="T732" s="21"/>
      <c r="U732" s="21" t="s">
        <v>142</v>
      </c>
      <c r="V732" s="29">
        <v>46150.5385763889</v>
      </c>
      <c r="W732">
        <f>VLOOKUP(H732,物料編碼!A:B,2,0)</f>
        <v>1300603041</v>
      </c>
      <c r="X732">
        <v>1300603</v>
      </c>
      <c r="Y732" t="str">
        <f>VLOOKUP(X732,物料編碼!D:G,4,0)</f>
        <v>帶骨全腿</v>
      </c>
      <c r="Z732" t="str">
        <f>VLOOKUP(C732,客戶屬性1!A:C,2,0)</f>
        <v>新昌冻肉</v>
      </c>
      <c r="AA732">
        <f>IF(COUNTIF($O$1:O732,O732)=1,L732,0)</f>
        <v>0</v>
      </c>
    </row>
    <row r="733" customHeight="1" spans="1:27">
      <c r="A733" s="21" t="s">
        <v>1479</v>
      </c>
      <c r="B733" s="21" t="s">
        <v>45</v>
      </c>
      <c r="C733" s="21" t="s">
        <v>141</v>
      </c>
      <c r="D733" s="21" t="s">
        <v>142</v>
      </c>
      <c r="E733" s="21" t="s">
        <v>142</v>
      </c>
      <c r="F733" s="21" t="s">
        <v>143</v>
      </c>
      <c r="G733" s="21" t="s">
        <v>100</v>
      </c>
      <c r="H733" s="21" t="s">
        <v>302</v>
      </c>
      <c r="I733" s="26">
        <v>1</v>
      </c>
      <c r="J733" s="26">
        <v>12</v>
      </c>
      <c r="K733" s="21" t="s">
        <v>52</v>
      </c>
      <c r="L733" s="27">
        <v>3019.6</v>
      </c>
      <c r="M733" s="21"/>
      <c r="N733" s="21"/>
      <c r="O733" s="21" t="s">
        <v>1480</v>
      </c>
      <c r="P733" s="21" t="s">
        <v>54</v>
      </c>
      <c r="Q733" s="28">
        <v>46153</v>
      </c>
      <c r="R733" s="29">
        <v>46150.5386226852</v>
      </c>
      <c r="S733" s="21" t="s">
        <v>145</v>
      </c>
      <c r="T733" s="21"/>
      <c r="U733" s="21" t="s">
        <v>142</v>
      </c>
      <c r="V733" s="29">
        <v>46150.5385763889</v>
      </c>
      <c r="W733">
        <f>VLOOKUP(H733,物料編碼!A:B,2,0)</f>
        <v>1300609018</v>
      </c>
      <c r="X733">
        <v>1300609</v>
      </c>
      <c r="Y733" t="str">
        <f>VLOOKUP(X733,物料編碼!D:G,4,0)</f>
        <v>去皮上腿肉</v>
      </c>
      <c r="Z733" t="str">
        <f>VLOOKUP(C733,客戶屬性1!A:C,2,0)</f>
        <v>新昌冻肉</v>
      </c>
      <c r="AA733">
        <f>IF(COUNTIF($O$1:O733,O733)=1,L733,0)</f>
        <v>0</v>
      </c>
    </row>
    <row r="734" customHeight="1" spans="1:27">
      <c r="A734" s="21" t="s">
        <v>1479</v>
      </c>
      <c r="B734" s="21" t="s">
        <v>45</v>
      </c>
      <c r="C734" s="21" t="s">
        <v>141</v>
      </c>
      <c r="D734" s="21" t="s">
        <v>142</v>
      </c>
      <c r="E734" s="21" t="s">
        <v>142</v>
      </c>
      <c r="F734" s="21" t="s">
        <v>143</v>
      </c>
      <c r="G734" s="21" t="s">
        <v>100</v>
      </c>
      <c r="H734" s="21" t="s">
        <v>60</v>
      </c>
      <c r="I734" s="26">
        <v>1</v>
      </c>
      <c r="J734" s="26">
        <v>25</v>
      </c>
      <c r="K734" s="21" t="s">
        <v>52</v>
      </c>
      <c r="L734" s="27">
        <v>3019.6</v>
      </c>
      <c r="M734" s="21"/>
      <c r="N734" s="21"/>
      <c r="O734" s="21" t="s">
        <v>1480</v>
      </c>
      <c r="P734" s="21" t="s">
        <v>54</v>
      </c>
      <c r="Q734" s="28">
        <v>46153</v>
      </c>
      <c r="R734" s="29">
        <v>46150.5386226852</v>
      </c>
      <c r="S734" s="21" t="s">
        <v>145</v>
      </c>
      <c r="T734" s="21"/>
      <c r="U734" s="21" t="s">
        <v>142</v>
      </c>
      <c r="V734" s="29">
        <v>46150.5385763889</v>
      </c>
      <c r="W734">
        <f>VLOOKUP(H734,物料編碼!A:B,2,0)</f>
        <v>1300101043</v>
      </c>
      <c r="X734">
        <v>1300101</v>
      </c>
      <c r="Y734" t="str">
        <f>VLOOKUP(X734,物料編碼!D:G,4,0)</f>
        <v>一號肉</v>
      </c>
      <c r="Z734" t="str">
        <f>VLOOKUP(C734,客戶屬性1!A:C,2,0)</f>
        <v>新昌冻肉</v>
      </c>
      <c r="AA734">
        <f>IF(COUNTIF($O$1:O734,O734)=1,L734,0)</f>
        <v>0</v>
      </c>
    </row>
    <row r="735" customHeight="1" spans="1:27">
      <c r="A735" s="21" t="s">
        <v>1481</v>
      </c>
      <c r="B735" s="21" t="s">
        <v>45</v>
      </c>
      <c r="C735" s="21" t="s">
        <v>1482</v>
      </c>
      <c r="D735" s="21" t="s">
        <v>1483</v>
      </c>
      <c r="E735" s="21" t="s">
        <v>1484</v>
      </c>
      <c r="F735" s="21" t="s">
        <v>49</v>
      </c>
      <c r="G735" s="21" t="s">
        <v>541</v>
      </c>
      <c r="H735" s="21" t="s">
        <v>219</v>
      </c>
      <c r="I735" s="26">
        <v>2</v>
      </c>
      <c r="J735" s="26">
        <v>20</v>
      </c>
      <c r="K735" s="21" t="s">
        <v>52</v>
      </c>
      <c r="L735" s="27">
        <v>2102</v>
      </c>
      <c r="M735" s="21"/>
      <c r="N735" s="21"/>
      <c r="O735" s="21" t="s">
        <v>1485</v>
      </c>
      <c r="P735" s="21" t="s">
        <v>54</v>
      </c>
      <c r="Q735" s="28">
        <v>46151</v>
      </c>
      <c r="R735" s="29">
        <v>46150.5284490741</v>
      </c>
      <c r="S735" s="21" t="s">
        <v>1486</v>
      </c>
      <c r="T735" s="21"/>
      <c r="U735" s="21" t="s">
        <v>1484</v>
      </c>
      <c r="V735" s="29">
        <v>46150.5284027778</v>
      </c>
      <c r="W735">
        <f>VLOOKUP(H735,物料編碼!A:B,2,0)</f>
        <v>1300501022</v>
      </c>
      <c r="X735">
        <v>1300501</v>
      </c>
      <c r="Y735" t="str">
        <f>VLOOKUP(X735,物料編碼!D:G,4,0)</f>
        <v>羊排</v>
      </c>
      <c r="Z735" t="str">
        <f>VLOOKUP(C735,客戶屬性1!A:C,2,0)</f>
        <v>裕丰优质食材专门店</v>
      </c>
      <c r="AA735">
        <f>IF(COUNTIF($O$1:O735,O735)=1,L735,0)</f>
        <v>2102</v>
      </c>
    </row>
    <row r="736" customHeight="1" spans="1:27">
      <c r="A736" s="21" t="s">
        <v>1487</v>
      </c>
      <c r="B736" s="21" t="s">
        <v>45</v>
      </c>
      <c r="C736" s="21" t="s">
        <v>1425</v>
      </c>
      <c r="D736" s="21" t="s">
        <v>1426</v>
      </c>
      <c r="E736" s="21" t="s">
        <v>1066</v>
      </c>
      <c r="F736" s="21" t="s">
        <v>49</v>
      </c>
      <c r="G736" s="21" t="s">
        <v>541</v>
      </c>
      <c r="H736" s="21" t="s">
        <v>154</v>
      </c>
      <c r="I736" s="26">
        <v>1</v>
      </c>
      <c r="J736" s="26">
        <v>15</v>
      </c>
      <c r="K736" s="21" t="s">
        <v>52</v>
      </c>
      <c r="L736" s="27">
        <v>238.05</v>
      </c>
      <c r="M736" s="21"/>
      <c r="N736" s="21"/>
      <c r="O736" s="21" t="s">
        <v>1488</v>
      </c>
      <c r="P736" s="21" t="s">
        <v>54</v>
      </c>
      <c r="Q736" s="28">
        <v>46151</v>
      </c>
      <c r="R736" s="29">
        <v>46150.5182291667</v>
      </c>
      <c r="S736" s="21" t="s">
        <v>1428</v>
      </c>
      <c r="T736" s="21"/>
      <c r="U736" s="21" t="s">
        <v>1426</v>
      </c>
      <c r="V736" s="29">
        <v>46150.5181828704</v>
      </c>
      <c r="W736">
        <f>VLOOKUP(H736,物料編碼!A:B,2,0)</f>
        <v>1300603036</v>
      </c>
      <c r="X736">
        <v>1300603</v>
      </c>
      <c r="Y736" t="str">
        <f>VLOOKUP(X736,物料編碼!D:G,4,0)</f>
        <v>帶骨全腿</v>
      </c>
      <c r="Z736" t="str">
        <f>VLOOKUP(C736,客戶屬性1!A:C,2,0)</f>
        <v>明兴冻肉食品有限公司</v>
      </c>
      <c r="AA736">
        <f>IF(COUNTIF($O$1:O736,O736)=1,L736,0)</f>
        <v>238.05</v>
      </c>
    </row>
    <row r="737" customHeight="1" spans="1:27">
      <c r="A737" s="21" t="s">
        <v>1489</v>
      </c>
      <c r="B737" s="21" t="s">
        <v>45</v>
      </c>
      <c r="C737" s="21" t="s">
        <v>1425</v>
      </c>
      <c r="D737" s="21" t="s">
        <v>1426</v>
      </c>
      <c r="E737" s="21" t="s">
        <v>1066</v>
      </c>
      <c r="F737" s="21" t="s">
        <v>49</v>
      </c>
      <c r="G737" s="21" t="s">
        <v>541</v>
      </c>
      <c r="H737" s="21" t="s">
        <v>1490</v>
      </c>
      <c r="I737" s="26">
        <v>8</v>
      </c>
      <c r="J737" s="26">
        <v>120</v>
      </c>
      <c r="K737" s="21" t="s">
        <v>52</v>
      </c>
      <c r="L737" s="27">
        <v>1719.6</v>
      </c>
      <c r="M737" s="21"/>
      <c r="N737" s="21"/>
      <c r="O737" s="21" t="s">
        <v>1491</v>
      </c>
      <c r="P737" s="21" t="s">
        <v>54</v>
      </c>
      <c r="Q737" s="28">
        <v>46151</v>
      </c>
      <c r="R737" s="29">
        <v>46150.5140509259</v>
      </c>
      <c r="S737" s="21" t="s">
        <v>1428</v>
      </c>
      <c r="T737" s="21"/>
      <c r="U737" s="21" t="s">
        <v>1426</v>
      </c>
      <c r="V737" s="29">
        <v>46150.5140046296</v>
      </c>
      <c r="W737">
        <f>VLOOKUP(H737,物料編碼!A:B,2,0)</f>
        <v>1300603039</v>
      </c>
      <c r="X737">
        <v>1300603</v>
      </c>
      <c r="Y737" t="str">
        <f>VLOOKUP(X737,物料編碼!D:G,4,0)</f>
        <v>帶骨全腿</v>
      </c>
      <c r="Z737" t="str">
        <f>VLOOKUP(C737,客戶屬性1!A:C,2,0)</f>
        <v>明兴冻肉食品有限公司</v>
      </c>
      <c r="AA737">
        <f>IF(COUNTIF($O$1:O737,O737)=1,L737,0)</f>
        <v>1719.6</v>
      </c>
    </row>
    <row r="738" customHeight="1" spans="1:27">
      <c r="A738" s="21" t="s">
        <v>1492</v>
      </c>
      <c r="B738" s="21" t="s">
        <v>45</v>
      </c>
      <c r="C738" s="21" t="s">
        <v>1386</v>
      </c>
      <c r="D738" s="21" t="s">
        <v>1387</v>
      </c>
      <c r="E738" s="21" t="s">
        <v>1388</v>
      </c>
      <c r="F738" s="21" t="s">
        <v>49</v>
      </c>
      <c r="G738" s="21" t="s">
        <v>541</v>
      </c>
      <c r="H738" s="21" t="s">
        <v>1493</v>
      </c>
      <c r="I738" s="26">
        <v>10</v>
      </c>
      <c r="J738" s="26">
        <v>150</v>
      </c>
      <c r="K738" s="21" t="s">
        <v>52</v>
      </c>
      <c r="L738" s="27">
        <v>1819.5</v>
      </c>
      <c r="M738" s="21"/>
      <c r="N738" s="21"/>
      <c r="O738" s="21" t="s">
        <v>1494</v>
      </c>
      <c r="P738" s="21" t="s">
        <v>54</v>
      </c>
      <c r="Q738" s="28">
        <v>46151</v>
      </c>
      <c r="R738" s="29">
        <v>46150.5062037037</v>
      </c>
      <c r="S738" s="21" t="s">
        <v>1391</v>
      </c>
      <c r="T738" s="21"/>
      <c r="U738" s="21" t="s">
        <v>1387</v>
      </c>
      <c r="V738" s="29">
        <v>46150.5061458333</v>
      </c>
      <c r="W738">
        <f>VLOOKUP(H738,物料編碼!A:B,2,0)</f>
        <v>1311001016</v>
      </c>
      <c r="X738">
        <v>1311001</v>
      </c>
      <c r="Y738" t="e">
        <f>VLOOKUP(X738,物料編碼!D:G,4,0)</f>
        <v>#N/A</v>
      </c>
      <c r="Z738" t="str">
        <f>VLOOKUP(C738,客戶屬性1!A:C,2,0)</f>
        <v>东浩冷冻食品公司</v>
      </c>
      <c r="AA738">
        <f>IF(COUNTIF($O$1:O738,O738)=1,L738,0)</f>
        <v>1819.5</v>
      </c>
    </row>
    <row r="739" customHeight="1" spans="1:27">
      <c r="A739" s="21" t="s">
        <v>1495</v>
      </c>
      <c r="B739" s="21" t="s">
        <v>45</v>
      </c>
      <c r="C739" s="21" t="s">
        <v>133</v>
      </c>
      <c r="D739" s="21" t="s">
        <v>134</v>
      </c>
      <c r="E739" s="21" t="s">
        <v>135</v>
      </c>
      <c r="F739" s="21" t="s">
        <v>49</v>
      </c>
      <c r="G739" s="21" t="s">
        <v>136</v>
      </c>
      <c r="H739" s="21" t="s">
        <v>137</v>
      </c>
      <c r="I739" s="26">
        <v>2</v>
      </c>
      <c r="J739" s="26">
        <v>36</v>
      </c>
      <c r="K739" s="21" t="s">
        <v>52</v>
      </c>
      <c r="L739" s="27">
        <v>2880</v>
      </c>
      <c r="M739" s="21"/>
      <c r="N739" s="21"/>
      <c r="O739" s="21" t="s">
        <v>1496</v>
      </c>
      <c r="P739" s="21" t="s">
        <v>54</v>
      </c>
      <c r="Q739" s="28">
        <v>46150</v>
      </c>
      <c r="R739" s="29">
        <v>46150.5030208333</v>
      </c>
      <c r="S739" s="21" t="s">
        <v>139</v>
      </c>
      <c r="T739" s="21"/>
      <c r="U739" s="21" t="s">
        <v>134</v>
      </c>
      <c r="V739" s="29">
        <v>46150.502974537</v>
      </c>
      <c r="W739">
        <f>VLOOKUP(H739,物料編碼!A:B,2,0)</f>
        <v>1300503009</v>
      </c>
      <c r="X739">
        <v>1300503</v>
      </c>
      <c r="Y739" t="str">
        <f>VLOOKUP(X739,物料編碼!D:G,4,0)</f>
        <v>羊肩卷肉</v>
      </c>
      <c r="Z739" t="str">
        <f>VLOOKUP(C739,客戶屬性1!A:C,2,0)</f>
        <v>恒昌冻肉食品有限公司</v>
      </c>
      <c r="AA739">
        <f>IF(COUNTIF($O$1:O739,O739)=1,L739,0)</f>
        <v>2880</v>
      </c>
    </row>
    <row r="740" customHeight="1" spans="1:27">
      <c r="A740" s="21" t="s">
        <v>1497</v>
      </c>
      <c r="B740" s="21" t="s">
        <v>45</v>
      </c>
      <c r="C740" s="21" t="s">
        <v>290</v>
      </c>
      <c r="D740" s="21" t="s">
        <v>291</v>
      </c>
      <c r="E740" s="21" t="s">
        <v>292</v>
      </c>
      <c r="F740" s="21" t="s">
        <v>49</v>
      </c>
      <c r="G740" s="21" t="s">
        <v>50</v>
      </c>
      <c r="H740" s="21" t="s">
        <v>121</v>
      </c>
      <c r="I740" s="26">
        <v>2</v>
      </c>
      <c r="J740" s="26">
        <v>40</v>
      </c>
      <c r="K740" s="21" t="s">
        <v>52</v>
      </c>
      <c r="L740" s="27">
        <v>936</v>
      </c>
      <c r="M740" s="21"/>
      <c r="N740" s="21"/>
      <c r="O740" s="21" t="s">
        <v>1498</v>
      </c>
      <c r="P740" s="21" t="s">
        <v>54</v>
      </c>
      <c r="Q740" s="28">
        <v>46151</v>
      </c>
      <c r="R740" s="29">
        <v>46150.4959143518</v>
      </c>
      <c r="S740" s="21" t="s">
        <v>294</v>
      </c>
      <c r="T740" s="21"/>
      <c r="U740" s="21" t="s">
        <v>292</v>
      </c>
      <c r="V740" s="29">
        <v>46150.4958680556</v>
      </c>
      <c r="W740">
        <f>VLOOKUP(H740,物料編碼!A:B,2,0)</f>
        <v>1300114011</v>
      </c>
      <c r="X740">
        <v>1300114</v>
      </c>
      <c r="Y740" t="str">
        <f>VLOOKUP(X740,物料編碼!D:G,4,0)</f>
        <v>熟食</v>
      </c>
      <c r="Z740" t="str">
        <f>VLOOKUP(C740,客戶屬性1!A:C,2,0)</f>
        <v>溢利食品(香港)有限公司</v>
      </c>
      <c r="AA740">
        <f>IF(COUNTIF($O$1:O740,O740)=1,L740,0)</f>
        <v>936</v>
      </c>
    </row>
    <row r="741" customHeight="1" spans="1:27">
      <c r="A741" s="21" t="s">
        <v>1499</v>
      </c>
      <c r="B741" s="21" t="s">
        <v>45</v>
      </c>
      <c r="C741" s="21" t="s">
        <v>1308</v>
      </c>
      <c r="D741" s="21" t="s">
        <v>1309</v>
      </c>
      <c r="E741" s="21" t="s">
        <v>1310</v>
      </c>
      <c r="F741" s="21" t="s">
        <v>49</v>
      </c>
      <c r="G741" s="21" t="s">
        <v>541</v>
      </c>
      <c r="H741" s="21" t="s">
        <v>168</v>
      </c>
      <c r="I741" s="26">
        <v>2</v>
      </c>
      <c r="J741" s="26">
        <v>20</v>
      </c>
      <c r="K741" s="21" t="s">
        <v>52</v>
      </c>
      <c r="L741" s="27">
        <v>194</v>
      </c>
      <c r="M741" s="21"/>
      <c r="N741" s="21"/>
      <c r="O741" s="21" t="s">
        <v>1500</v>
      </c>
      <c r="P741" s="21" t="s">
        <v>54</v>
      </c>
      <c r="Q741" s="28">
        <v>46151</v>
      </c>
      <c r="R741" s="29">
        <v>46150.4947685185</v>
      </c>
      <c r="S741" s="21" t="s">
        <v>1312</v>
      </c>
      <c r="T741" s="21"/>
      <c r="U741" s="21" t="s">
        <v>1309</v>
      </c>
      <c r="V741" s="29">
        <v>46150.4947222222</v>
      </c>
      <c r="W741">
        <f>VLOOKUP(H741,物料編碼!A:B,2,0)</f>
        <v>1300627002</v>
      </c>
      <c r="X741">
        <v>1300627</v>
      </c>
      <c r="Y741" t="str">
        <f>VLOOKUP(X741,物料編碼!D:G,4,0)</f>
        <v>翅尖</v>
      </c>
      <c r="Z741" t="str">
        <f>VLOOKUP(C741,客戶屬性1!A:C,2,0)</f>
        <v>再丰有限公司</v>
      </c>
      <c r="AA741">
        <f>IF(COUNTIF($O$1:O741,O741)=1,L741,0)</f>
        <v>194</v>
      </c>
    </row>
    <row r="742" customHeight="1" spans="1:27">
      <c r="A742" s="21" t="s">
        <v>1501</v>
      </c>
      <c r="B742" s="21" t="s">
        <v>45</v>
      </c>
      <c r="C742" s="21" t="s">
        <v>197</v>
      </c>
      <c r="D742" s="21" t="s">
        <v>198</v>
      </c>
      <c r="E742" s="21" t="s">
        <v>199</v>
      </c>
      <c r="F742" s="21" t="s">
        <v>49</v>
      </c>
      <c r="G742" s="21" t="s">
        <v>136</v>
      </c>
      <c r="H742" s="21" t="s">
        <v>179</v>
      </c>
      <c r="I742" s="26">
        <v>5</v>
      </c>
      <c r="J742" s="26">
        <v>125</v>
      </c>
      <c r="K742" s="21" t="s">
        <v>52</v>
      </c>
      <c r="L742" s="27">
        <v>3975</v>
      </c>
      <c r="M742" s="21"/>
      <c r="N742" s="21"/>
      <c r="O742" s="21" t="s">
        <v>1502</v>
      </c>
      <c r="P742" s="21" t="s">
        <v>54</v>
      </c>
      <c r="Q742" s="28">
        <v>46151</v>
      </c>
      <c r="R742" s="29">
        <v>46150.4921296296</v>
      </c>
      <c r="S742" s="21" t="s">
        <v>202</v>
      </c>
      <c r="T742" s="21"/>
      <c r="U742" s="21" t="s">
        <v>203</v>
      </c>
      <c r="V742" s="29">
        <v>46150.4920833333</v>
      </c>
      <c r="W742">
        <f>VLOOKUP(H742,物料編碼!A:B,2,0)</f>
        <v>1300109012</v>
      </c>
      <c r="X742">
        <v>1300109</v>
      </c>
      <c r="Y742" t="str">
        <f>VLOOKUP(X742,物料編碼!D:G,4,0)</f>
        <v>面精肉</v>
      </c>
      <c r="Z742" t="str">
        <f>VLOOKUP(C742,客戶屬性1!A:C,2,0)</f>
        <v>信隆(亚洲)有限公司</v>
      </c>
      <c r="AA742">
        <f>IF(COUNTIF($O$1:O742,O742)=1,L742,0)</f>
        <v>3975</v>
      </c>
    </row>
    <row r="743" customHeight="1" spans="1:27">
      <c r="A743" s="21" t="s">
        <v>1503</v>
      </c>
      <c r="B743" s="21" t="s">
        <v>45</v>
      </c>
      <c r="C743" s="21" t="s">
        <v>1482</v>
      </c>
      <c r="D743" s="21" t="s">
        <v>1483</v>
      </c>
      <c r="E743" s="21" t="s">
        <v>1484</v>
      </c>
      <c r="F743" s="21" t="s">
        <v>49</v>
      </c>
      <c r="G743" s="21" t="s">
        <v>541</v>
      </c>
      <c r="H743" s="21" t="s">
        <v>219</v>
      </c>
      <c r="I743" s="26">
        <v>3</v>
      </c>
      <c r="J743" s="26">
        <v>30</v>
      </c>
      <c r="K743" s="21" t="s">
        <v>52</v>
      </c>
      <c r="L743" s="27">
        <v>3153</v>
      </c>
      <c r="M743" s="21"/>
      <c r="N743" s="21"/>
      <c r="O743" s="21" t="s">
        <v>1504</v>
      </c>
      <c r="P743" s="21" t="s">
        <v>54</v>
      </c>
      <c r="Q743" s="28">
        <v>46153</v>
      </c>
      <c r="R743" s="29">
        <v>46150.4917824074</v>
      </c>
      <c r="S743" s="21" t="s">
        <v>1486</v>
      </c>
      <c r="T743" s="21"/>
      <c r="U743" s="21" t="s">
        <v>1484</v>
      </c>
      <c r="V743" s="29">
        <v>46150.4917361111</v>
      </c>
      <c r="W743">
        <f>VLOOKUP(H743,物料編碼!A:B,2,0)</f>
        <v>1300501022</v>
      </c>
      <c r="X743">
        <v>1300501</v>
      </c>
      <c r="Y743" t="str">
        <f>VLOOKUP(X743,物料編碼!D:G,4,0)</f>
        <v>羊排</v>
      </c>
      <c r="Z743" t="str">
        <f>VLOOKUP(C743,客戶屬性1!A:C,2,0)</f>
        <v>裕丰优质食材专门店</v>
      </c>
      <c r="AA743">
        <f>IF(COUNTIF($O$1:O743,O743)=1,L743,0)</f>
        <v>3153</v>
      </c>
    </row>
    <row r="744" customHeight="1" spans="1:27">
      <c r="A744" s="21" t="s">
        <v>1505</v>
      </c>
      <c r="B744" s="21" t="s">
        <v>45</v>
      </c>
      <c r="C744" s="21" t="s">
        <v>1482</v>
      </c>
      <c r="D744" s="21" t="s">
        <v>1483</v>
      </c>
      <c r="E744" s="21" t="s">
        <v>1484</v>
      </c>
      <c r="F744" s="21" t="s">
        <v>49</v>
      </c>
      <c r="G744" s="21" t="s">
        <v>541</v>
      </c>
      <c r="H744" s="21" t="s">
        <v>219</v>
      </c>
      <c r="I744" s="26">
        <v>3</v>
      </c>
      <c r="J744" s="26">
        <v>30</v>
      </c>
      <c r="K744" s="21" t="s">
        <v>52</v>
      </c>
      <c r="L744" s="27">
        <v>3153</v>
      </c>
      <c r="M744" s="21"/>
      <c r="N744" s="21"/>
      <c r="O744" s="21" t="s">
        <v>1506</v>
      </c>
      <c r="P744" s="21" t="s">
        <v>54</v>
      </c>
      <c r="Q744" s="28">
        <v>46151</v>
      </c>
      <c r="R744" s="29">
        <v>46150.4899189815</v>
      </c>
      <c r="S744" s="21" t="s">
        <v>1486</v>
      </c>
      <c r="T744" s="21"/>
      <c r="U744" s="21" t="s">
        <v>1484</v>
      </c>
      <c r="V744" s="29">
        <v>46150.4898726852</v>
      </c>
      <c r="W744">
        <f>VLOOKUP(H744,物料編碼!A:B,2,0)</f>
        <v>1300501022</v>
      </c>
      <c r="X744">
        <v>1300501</v>
      </c>
      <c r="Y744" t="str">
        <f>VLOOKUP(X744,物料編碼!D:G,4,0)</f>
        <v>羊排</v>
      </c>
      <c r="Z744" t="str">
        <f>VLOOKUP(C744,客戶屬性1!A:C,2,0)</f>
        <v>裕丰优质食材专门店</v>
      </c>
      <c r="AA744">
        <f>IF(COUNTIF($O$1:O744,O744)=1,L744,0)</f>
        <v>3153</v>
      </c>
    </row>
    <row r="745" customHeight="1" spans="1:27">
      <c r="A745" s="21" t="s">
        <v>1507</v>
      </c>
      <c r="B745" s="21" t="s">
        <v>45</v>
      </c>
      <c r="C745" s="21" t="s">
        <v>290</v>
      </c>
      <c r="D745" s="21" t="s">
        <v>291</v>
      </c>
      <c r="E745" s="21" t="s">
        <v>292</v>
      </c>
      <c r="F745" s="21" t="s">
        <v>49</v>
      </c>
      <c r="G745" s="21" t="s">
        <v>50</v>
      </c>
      <c r="H745" s="21" t="s">
        <v>121</v>
      </c>
      <c r="I745" s="26">
        <v>2</v>
      </c>
      <c r="J745" s="26">
        <v>40</v>
      </c>
      <c r="K745" s="21" t="s">
        <v>52</v>
      </c>
      <c r="L745" s="27">
        <v>936</v>
      </c>
      <c r="M745" s="21"/>
      <c r="N745" s="21"/>
      <c r="O745" s="21" t="s">
        <v>1508</v>
      </c>
      <c r="P745" s="21" t="s">
        <v>183</v>
      </c>
      <c r="Q745" s="28">
        <v>46151</v>
      </c>
      <c r="R745" s="29">
        <v>46150.4897685185</v>
      </c>
      <c r="S745" s="21" t="s">
        <v>294</v>
      </c>
      <c r="T745" s="21"/>
      <c r="U745" s="21" t="s">
        <v>292</v>
      </c>
      <c r="V745" s="29">
        <v>46150.4897106482</v>
      </c>
      <c r="W745">
        <f>VLOOKUP(H745,物料編碼!A:B,2,0)</f>
        <v>1300114011</v>
      </c>
      <c r="X745">
        <v>1300114</v>
      </c>
      <c r="Y745" t="str">
        <f>VLOOKUP(X745,物料編碼!D:G,4,0)</f>
        <v>熟食</v>
      </c>
      <c r="Z745" t="str">
        <f>VLOOKUP(C745,客戶屬性1!A:C,2,0)</f>
        <v>溢利食品(香港)有限公司</v>
      </c>
      <c r="AA745">
        <f>IF(COUNTIF($O$1:O745,O745)=1,L745,0)</f>
        <v>936</v>
      </c>
    </row>
    <row r="746" customHeight="1" spans="1:27">
      <c r="A746" s="21" t="s">
        <v>1509</v>
      </c>
      <c r="B746" s="21" t="s">
        <v>45</v>
      </c>
      <c r="C746" s="21" t="s">
        <v>72</v>
      </c>
      <c r="D746" s="21" t="s">
        <v>73</v>
      </c>
      <c r="E746" s="21" t="s">
        <v>74</v>
      </c>
      <c r="F746" s="21" t="s">
        <v>49</v>
      </c>
      <c r="G746" s="21" t="s">
        <v>50</v>
      </c>
      <c r="H746" s="21" t="s">
        <v>78</v>
      </c>
      <c r="I746" s="26">
        <v>1</v>
      </c>
      <c r="J746" s="26">
        <v>15</v>
      </c>
      <c r="K746" s="21" t="s">
        <v>52</v>
      </c>
      <c r="L746" s="27">
        <v>221.7</v>
      </c>
      <c r="M746" s="21"/>
      <c r="N746" s="21"/>
      <c r="O746" s="21" t="s">
        <v>1510</v>
      </c>
      <c r="P746" s="21" t="s">
        <v>54</v>
      </c>
      <c r="Q746" s="28">
        <v>46151</v>
      </c>
      <c r="R746" s="29">
        <v>46150.4790972222</v>
      </c>
      <c r="S746" s="21" t="s">
        <v>77</v>
      </c>
      <c r="T746" s="21"/>
      <c r="U746" s="21" t="s">
        <v>74</v>
      </c>
      <c r="V746" s="29">
        <v>46150.4790509259</v>
      </c>
      <c r="W746">
        <f>VLOOKUP(H746,物料編碼!A:B,2,0)</f>
        <v>1300607014</v>
      </c>
      <c r="X746">
        <v>1300607</v>
      </c>
      <c r="Y746" t="str">
        <f>VLOOKUP(X746,物料編碼!D:G,4,0)</f>
        <v>帶皮腿扒</v>
      </c>
      <c r="Z746" t="str">
        <f>VLOOKUP(C746,客戶屬性1!A:C,2,0)</f>
        <v>恒辉贸易公司</v>
      </c>
      <c r="AA746">
        <f>IF(COUNTIF($O$1:O746,O746)=1,L746,0)</f>
        <v>221.7</v>
      </c>
    </row>
    <row r="747" customHeight="1" spans="1:27">
      <c r="A747" s="21" t="s">
        <v>1511</v>
      </c>
      <c r="B747" s="21" t="s">
        <v>45</v>
      </c>
      <c r="C747" s="21" t="s">
        <v>158</v>
      </c>
      <c r="D747" s="21" t="s">
        <v>159</v>
      </c>
      <c r="E747" s="21" t="s">
        <v>160</v>
      </c>
      <c r="F747" s="21" t="s">
        <v>49</v>
      </c>
      <c r="G747" s="21" t="s">
        <v>68</v>
      </c>
      <c r="H747" s="21" t="s">
        <v>283</v>
      </c>
      <c r="I747" s="26">
        <v>2</v>
      </c>
      <c r="J747" s="26">
        <v>50</v>
      </c>
      <c r="K747" s="21" t="s">
        <v>52</v>
      </c>
      <c r="L747" s="27">
        <v>990</v>
      </c>
      <c r="M747" s="21"/>
      <c r="N747" s="21"/>
      <c r="O747" s="21" t="s">
        <v>1512</v>
      </c>
      <c r="P747" s="21" t="s">
        <v>54</v>
      </c>
      <c r="Q747" s="28">
        <v>46153</v>
      </c>
      <c r="R747" s="29">
        <v>46150.4755902778</v>
      </c>
      <c r="S747" s="21" t="s">
        <v>163</v>
      </c>
      <c r="T747" s="21"/>
      <c r="U747" s="21" t="s">
        <v>164</v>
      </c>
      <c r="V747" s="29">
        <v>46150.4755439815</v>
      </c>
      <c r="W747">
        <f>VLOOKUP(H747,物料編碼!A:B,2,0)</f>
        <v>1300104005</v>
      </c>
      <c r="X747">
        <v>1300104</v>
      </c>
      <c r="Y747" t="str">
        <f>VLOOKUP(X747,物料編碼!D:G,4,0)</f>
        <v>四號肉</v>
      </c>
      <c r="Z747" t="str">
        <f>VLOOKUP(C747,客戶屬性1!A:C,2,0)</f>
        <v>先进食品国际有限公司</v>
      </c>
      <c r="AA747">
        <f>IF(COUNTIF($O$1:O747,O747)=1,L747,0)</f>
        <v>990</v>
      </c>
    </row>
    <row r="748" customHeight="1" spans="1:27">
      <c r="A748" s="21" t="s">
        <v>1513</v>
      </c>
      <c r="B748" s="21" t="s">
        <v>45</v>
      </c>
      <c r="C748" s="21" t="s">
        <v>133</v>
      </c>
      <c r="D748" s="21" t="s">
        <v>134</v>
      </c>
      <c r="E748" s="21" t="s">
        <v>135</v>
      </c>
      <c r="F748" s="21" t="s">
        <v>49</v>
      </c>
      <c r="G748" s="21" t="s">
        <v>136</v>
      </c>
      <c r="H748" s="21" t="s">
        <v>205</v>
      </c>
      <c r="I748" s="26">
        <v>10</v>
      </c>
      <c r="J748" s="26">
        <v>112</v>
      </c>
      <c r="K748" s="21" t="s">
        <v>52</v>
      </c>
      <c r="L748" s="27">
        <v>1176</v>
      </c>
      <c r="M748" s="21"/>
      <c r="N748" s="21"/>
      <c r="O748" s="21" t="s">
        <v>1514</v>
      </c>
      <c r="P748" s="21" t="s">
        <v>54</v>
      </c>
      <c r="Q748" s="28">
        <v>46150</v>
      </c>
      <c r="R748" s="29">
        <v>46150.4622569444</v>
      </c>
      <c r="S748" s="21" t="s">
        <v>139</v>
      </c>
      <c r="T748" s="21"/>
      <c r="U748" s="21" t="s">
        <v>134</v>
      </c>
      <c r="V748" s="29">
        <v>46150.4621990741</v>
      </c>
      <c r="W748">
        <f>VLOOKUP(H748,物料編碼!A:B,2,0)</f>
        <v>1300901002</v>
      </c>
      <c r="X748">
        <v>1300901</v>
      </c>
      <c r="Y748" t="str">
        <f>VLOOKUP(X748,物料編碼!D:G,4,0)</f>
        <v>整鴨</v>
      </c>
      <c r="Z748" t="str">
        <f>VLOOKUP(C748,客戶屬性1!A:C,2,0)</f>
        <v>恒昌冻肉食品有限公司</v>
      </c>
      <c r="AA748">
        <f>IF(COUNTIF($O$1:O748,O748)=1,L748,0)</f>
        <v>1176</v>
      </c>
    </row>
    <row r="749" customHeight="1" spans="1:27">
      <c r="A749" s="21" t="s">
        <v>1515</v>
      </c>
      <c r="B749" s="21" t="s">
        <v>45</v>
      </c>
      <c r="C749" s="21" t="s">
        <v>1380</v>
      </c>
      <c r="D749" s="21" t="s">
        <v>1381</v>
      </c>
      <c r="E749" s="21" t="s">
        <v>1382</v>
      </c>
      <c r="F749" s="21" t="s">
        <v>49</v>
      </c>
      <c r="G749" s="21" t="s">
        <v>541</v>
      </c>
      <c r="H749" s="21" t="s">
        <v>60</v>
      </c>
      <c r="I749" s="26">
        <v>2</v>
      </c>
      <c r="J749" s="26">
        <v>50</v>
      </c>
      <c r="K749" s="21" t="s">
        <v>52</v>
      </c>
      <c r="L749" s="27">
        <v>1945</v>
      </c>
      <c r="M749" s="21"/>
      <c r="N749" s="21"/>
      <c r="O749" s="21" t="s">
        <v>1516</v>
      </c>
      <c r="P749" s="21" t="s">
        <v>54</v>
      </c>
      <c r="Q749" s="28">
        <v>46153</v>
      </c>
      <c r="R749" s="29">
        <v>46150.4586921296</v>
      </c>
      <c r="S749" s="21" t="s">
        <v>1384</v>
      </c>
      <c r="T749" s="21"/>
      <c r="U749" s="21" t="s">
        <v>1381</v>
      </c>
      <c r="V749" s="29">
        <v>46150.4586458333</v>
      </c>
      <c r="W749">
        <f>VLOOKUP(H749,物料編碼!A:B,2,0)</f>
        <v>1300101043</v>
      </c>
      <c r="X749">
        <v>1300101</v>
      </c>
      <c r="Y749" t="str">
        <f>VLOOKUP(X749,物料編碼!D:G,4,0)</f>
        <v>一號肉</v>
      </c>
      <c r="Z749" t="str">
        <f>VLOOKUP(C749,客戶屬性1!A:C,2,0)</f>
        <v>英丰(香港)贸易有限公司</v>
      </c>
      <c r="AA749">
        <f>IF(COUNTIF($O$1:O749,O749)=1,L749,0)</f>
        <v>1945</v>
      </c>
    </row>
    <row r="750" customHeight="1" spans="1:27">
      <c r="A750" s="21" t="s">
        <v>1517</v>
      </c>
      <c r="B750" s="21" t="s">
        <v>45</v>
      </c>
      <c r="C750" s="21" t="s">
        <v>141</v>
      </c>
      <c r="D750" s="21" t="s">
        <v>142</v>
      </c>
      <c r="E750" s="21" t="s">
        <v>142</v>
      </c>
      <c r="F750" s="21" t="s">
        <v>143</v>
      </c>
      <c r="G750" s="21" t="s">
        <v>100</v>
      </c>
      <c r="H750" s="21" t="s">
        <v>60</v>
      </c>
      <c r="I750" s="26">
        <v>1</v>
      </c>
      <c r="J750" s="26">
        <v>25</v>
      </c>
      <c r="K750" s="21" t="s">
        <v>52</v>
      </c>
      <c r="L750" s="27">
        <v>945</v>
      </c>
      <c r="M750" s="21"/>
      <c r="N750" s="21"/>
      <c r="O750" s="21" t="s">
        <v>1518</v>
      </c>
      <c r="P750" s="21" t="s">
        <v>183</v>
      </c>
      <c r="Q750" s="28">
        <v>46153</v>
      </c>
      <c r="R750" s="29">
        <v>46150.4565972222</v>
      </c>
      <c r="S750" s="21" t="s">
        <v>145</v>
      </c>
      <c r="T750" s="21"/>
      <c r="U750" s="21" t="s">
        <v>142</v>
      </c>
      <c r="V750" s="29">
        <v>46150.4565625</v>
      </c>
      <c r="W750">
        <f>VLOOKUP(H750,物料編碼!A:B,2,0)</f>
        <v>1300101043</v>
      </c>
      <c r="X750">
        <v>1300101</v>
      </c>
      <c r="Y750" t="str">
        <f>VLOOKUP(X750,物料編碼!D:G,4,0)</f>
        <v>一號肉</v>
      </c>
      <c r="Z750" t="str">
        <f>VLOOKUP(C750,客戶屬性1!A:C,2,0)</f>
        <v>新昌冻肉</v>
      </c>
      <c r="AA750">
        <f>IF(COUNTIF($O$1:O750,O750)=1,L750,0)</f>
        <v>945</v>
      </c>
    </row>
    <row r="751" customHeight="1" spans="1:27">
      <c r="A751" s="21" t="s">
        <v>1519</v>
      </c>
      <c r="B751" s="21" t="s">
        <v>45</v>
      </c>
      <c r="C751" s="21" t="s">
        <v>1380</v>
      </c>
      <c r="D751" s="21" t="s">
        <v>1381</v>
      </c>
      <c r="E751" s="21" t="s">
        <v>1382</v>
      </c>
      <c r="F751" s="21" t="s">
        <v>49</v>
      </c>
      <c r="G751" s="21" t="s">
        <v>541</v>
      </c>
      <c r="H751" s="21" t="s">
        <v>60</v>
      </c>
      <c r="I751" s="26">
        <v>4</v>
      </c>
      <c r="J751" s="26">
        <v>100</v>
      </c>
      <c r="K751" s="21" t="s">
        <v>52</v>
      </c>
      <c r="L751" s="27">
        <v>3890</v>
      </c>
      <c r="M751" s="21"/>
      <c r="N751" s="21"/>
      <c r="O751" s="21" t="s">
        <v>1520</v>
      </c>
      <c r="P751" s="21" t="s">
        <v>54</v>
      </c>
      <c r="Q751" s="28">
        <v>46151</v>
      </c>
      <c r="R751" s="29">
        <v>46150.4565856481</v>
      </c>
      <c r="S751" s="21" t="s">
        <v>1384</v>
      </c>
      <c r="T751" s="21"/>
      <c r="U751" s="21" t="s">
        <v>1381</v>
      </c>
      <c r="V751" s="29">
        <v>46150.4565393518</v>
      </c>
      <c r="W751">
        <f>VLOOKUP(H751,物料編碼!A:B,2,0)</f>
        <v>1300101043</v>
      </c>
      <c r="X751">
        <v>1300101</v>
      </c>
      <c r="Y751" t="str">
        <f>VLOOKUP(X751,物料編碼!D:G,4,0)</f>
        <v>一號肉</v>
      </c>
      <c r="Z751" t="str">
        <f>VLOOKUP(C751,客戶屬性1!A:C,2,0)</f>
        <v>英丰(香港)贸易有限公司</v>
      </c>
      <c r="AA751">
        <f>IF(COUNTIF($O$1:O751,O751)=1,L751,0)</f>
        <v>3890</v>
      </c>
    </row>
    <row r="752" customHeight="1" spans="1:27">
      <c r="A752" s="21" t="s">
        <v>1521</v>
      </c>
      <c r="B752" s="21" t="s">
        <v>45</v>
      </c>
      <c r="C752" s="21" t="s">
        <v>141</v>
      </c>
      <c r="D752" s="21" t="s">
        <v>142</v>
      </c>
      <c r="E752" s="21" t="s">
        <v>142</v>
      </c>
      <c r="F752" s="21" t="s">
        <v>143</v>
      </c>
      <c r="G752" s="21" t="s">
        <v>100</v>
      </c>
      <c r="H752" s="21" t="s">
        <v>117</v>
      </c>
      <c r="I752" s="26">
        <v>3</v>
      </c>
      <c r="J752" s="26">
        <v>45</v>
      </c>
      <c r="K752" s="21" t="s">
        <v>52</v>
      </c>
      <c r="L752" s="27">
        <v>2594.6</v>
      </c>
      <c r="M752" s="21"/>
      <c r="N752" s="21"/>
      <c r="O752" s="21" t="s">
        <v>1522</v>
      </c>
      <c r="P752" s="21" t="s">
        <v>183</v>
      </c>
      <c r="Q752" s="28">
        <v>46153</v>
      </c>
      <c r="R752" s="29">
        <v>46150.4554398148</v>
      </c>
      <c r="S752" s="21" t="s">
        <v>145</v>
      </c>
      <c r="T752" s="21"/>
      <c r="U752" s="21" t="s">
        <v>142</v>
      </c>
      <c r="V752" s="29">
        <v>46150.4553935185</v>
      </c>
      <c r="W752">
        <f>VLOOKUP(H752,物料編碼!A:B,2,0)</f>
        <v>1300607015</v>
      </c>
      <c r="X752">
        <v>1300607</v>
      </c>
      <c r="Y752" t="str">
        <f>VLOOKUP(X752,物料編碼!D:G,4,0)</f>
        <v>帶皮腿扒</v>
      </c>
      <c r="Z752" t="str">
        <f>VLOOKUP(C752,客戶屬性1!A:C,2,0)</f>
        <v>新昌冻肉</v>
      </c>
      <c r="AA752">
        <f>IF(COUNTIF($O$1:O752,O752)=1,L752,0)</f>
        <v>2594.6</v>
      </c>
    </row>
    <row r="753" customHeight="1" spans="1:27">
      <c r="A753" s="21" t="s">
        <v>1521</v>
      </c>
      <c r="B753" s="21" t="s">
        <v>45</v>
      </c>
      <c r="C753" s="21" t="s">
        <v>141</v>
      </c>
      <c r="D753" s="21" t="s">
        <v>142</v>
      </c>
      <c r="E753" s="21" t="s">
        <v>142</v>
      </c>
      <c r="F753" s="21" t="s">
        <v>143</v>
      </c>
      <c r="G753" s="21" t="s">
        <v>100</v>
      </c>
      <c r="H753" s="21" t="s">
        <v>63</v>
      </c>
      <c r="I753" s="26">
        <v>1</v>
      </c>
      <c r="J753" s="26">
        <v>25</v>
      </c>
      <c r="K753" s="21" t="s">
        <v>52</v>
      </c>
      <c r="L753" s="27">
        <v>2594.6</v>
      </c>
      <c r="M753" s="21"/>
      <c r="N753" s="21"/>
      <c r="O753" s="21" t="s">
        <v>1522</v>
      </c>
      <c r="P753" s="21" t="s">
        <v>183</v>
      </c>
      <c r="Q753" s="28">
        <v>46153</v>
      </c>
      <c r="R753" s="29">
        <v>46150.4554398148</v>
      </c>
      <c r="S753" s="21" t="s">
        <v>145</v>
      </c>
      <c r="T753" s="21"/>
      <c r="U753" s="21" t="s">
        <v>142</v>
      </c>
      <c r="V753" s="29">
        <v>46150.4553935185</v>
      </c>
      <c r="W753">
        <f>VLOOKUP(H753,物料編碼!A:B,2,0)</f>
        <v>1300109002</v>
      </c>
      <c r="X753">
        <v>1300109</v>
      </c>
      <c r="Y753" t="str">
        <f>VLOOKUP(X753,物料編碼!D:G,4,0)</f>
        <v>面精肉</v>
      </c>
      <c r="Z753" t="str">
        <f>VLOOKUP(C753,客戶屬性1!A:C,2,0)</f>
        <v>新昌冻肉</v>
      </c>
      <c r="AA753">
        <f>IF(COUNTIF($O$1:O753,O753)=1,L753,0)</f>
        <v>0</v>
      </c>
    </row>
    <row r="754" customHeight="1" spans="1:27">
      <c r="A754" s="21" t="s">
        <v>1521</v>
      </c>
      <c r="B754" s="21" t="s">
        <v>45</v>
      </c>
      <c r="C754" s="21" t="s">
        <v>141</v>
      </c>
      <c r="D754" s="21" t="s">
        <v>142</v>
      </c>
      <c r="E754" s="21" t="s">
        <v>142</v>
      </c>
      <c r="F754" s="21" t="s">
        <v>143</v>
      </c>
      <c r="G754" s="21" t="s">
        <v>100</v>
      </c>
      <c r="H754" s="21" t="s">
        <v>298</v>
      </c>
      <c r="I754" s="26">
        <v>1</v>
      </c>
      <c r="J754" s="26">
        <v>10</v>
      </c>
      <c r="K754" s="21" t="s">
        <v>52</v>
      </c>
      <c r="L754" s="27">
        <v>2594.6</v>
      </c>
      <c r="M754" s="21"/>
      <c r="N754" s="21"/>
      <c r="O754" s="21" t="s">
        <v>1522</v>
      </c>
      <c r="P754" s="21" t="s">
        <v>183</v>
      </c>
      <c r="Q754" s="28">
        <v>46153</v>
      </c>
      <c r="R754" s="29">
        <v>46150.4554398148</v>
      </c>
      <c r="S754" s="21" t="s">
        <v>145</v>
      </c>
      <c r="T754" s="21"/>
      <c r="U754" s="21" t="s">
        <v>142</v>
      </c>
      <c r="V754" s="29">
        <v>46150.4553935185</v>
      </c>
      <c r="W754">
        <f>VLOOKUP(H754,物料編碼!A:B,2,0)</f>
        <v>1300111003</v>
      </c>
      <c r="X754">
        <v>1300111</v>
      </c>
      <c r="Y754" t="str">
        <f>VLOOKUP(X754,物料編碼!D:G,4,0)</f>
        <v>寸骨</v>
      </c>
      <c r="Z754" t="str">
        <f>VLOOKUP(C754,客戶屬性1!A:C,2,0)</f>
        <v>新昌冻肉</v>
      </c>
      <c r="AA754">
        <f>IF(COUNTIF($O$1:O754,O754)=1,L754,0)</f>
        <v>0</v>
      </c>
    </row>
    <row r="755" customHeight="1" spans="1:27">
      <c r="A755" s="21" t="s">
        <v>1521</v>
      </c>
      <c r="B755" s="21" t="s">
        <v>45</v>
      </c>
      <c r="C755" s="21" t="s">
        <v>141</v>
      </c>
      <c r="D755" s="21" t="s">
        <v>142</v>
      </c>
      <c r="E755" s="21" t="s">
        <v>142</v>
      </c>
      <c r="F755" s="21" t="s">
        <v>143</v>
      </c>
      <c r="G755" s="21" t="s">
        <v>100</v>
      </c>
      <c r="H755" s="21" t="s">
        <v>146</v>
      </c>
      <c r="I755" s="26">
        <v>2</v>
      </c>
      <c r="J755" s="26">
        <v>30</v>
      </c>
      <c r="K755" s="21" t="s">
        <v>52</v>
      </c>
      <c r="L755" s="27">
        <v>2594.6</v>
      </c>
      <c r="M755" s="21"/>
      <c r="N755" s="21"/>
      <c r="O755" s="21" t="s">
        <v>1522</v>
      </c>
      <c r="P755" s="21" t="s">
        <v>183</v>
      </c>
      <c r="Q755" s="28">
        <v>46153</v>
      </c>
      <c r="R755" s="29">
        <v>46150.4554398148</v>
      </c>
      <c r="S755" s="21" t="s">
        <v>145</v>
      </c>
      <c r="T755" s="21"/>
      <c r="U755" s="21" t="s">
        <v>142</v>
      </c>
      <c r="V755" s="29">
        <v>46150.4553935185</v>
      </c>
      <c r="W755">
        <f>VLOOKUP(H755,物料編碼!A:B,2,0)</f>
        <v>1300603041</v>
      </c>
      <c r="X755">
        <v>1300603</v>
      </c>
      <c r="Y755" t="str">
        <f>VLOOKUP(X755,物料編碼!D:G,4,0)</f>
        <v>帶骨全腿</v>
      </c>
      <c r="Z755" t="str">
        <f>VLOOKUP(C755,客戶屬性1!A:C,2,0)</f>
        <v>新昌冻肉</v>
      </c>
      <c r="AA755">
        <f>IF(COUNTIF($O$1:O755,O755)=1,L755,0)</f>
        <v>0</v>
      </c>
    </row>
    <row r="756" customHeight="1" spans="1:27">
      <c r="A756" s="21" t="s">
        <v>1521</v>
      </c>
      <c r="B756" s="21" t="s">
        <v>45</v>
      </c>
      <c r="C756" s="21" t="s">
        <v>141</v>
      </c>
      <c r="D756" s="21" t="s">
        <v>142</v>
      </c>
      <c r="E756" s="21" t="s">
        <v>142</v>
      </c>
      <c r="F756" s="21" t="s">
        <v>143</v>
      </c>
      <c r="G756" s="21" t="s">
        <v>100</v>
      </c>
      <c r="H756" s="21" t="s">
        <v>302</v>
      </c>
      <c r="I756" s="26">
        <v>1</v>
      </c>
      <c r="J756" s="26">
        <v>12</v>
      </c>
      <c r="K756" s="21" t="s">
        <v>52</v>
      </c>
      <c r="L756" s="27">
        <v>2594.6</v>
      </c>
      <c r="M756" s="21"/>
      <c r="N756" s="21"/>
      <c r="O756" s="21" t="s">
        <v>1522</v>
      </c>
      <c r="P756" s="21" t="s">
        <v>183</v>
      </c>
      <c r="Q756" s="28">
        <v>46153</v>
      </c>
      <c r="R756" s="29">
        <v>46150.4554398148</v>
      </c>
      <c r="S756" s="21" t="s">
        <v>145</v>
      </c>
      <c r="T756" s="21"/>
      <c r="U756" s="21" t="s">
        <v>142</v>
      </c>
      <c r="V756" s="29">
        <v>46150.4553935185</v>
      </c>
      <c r="W756">
        <f>VLOOKUP(H756,物料編碼!A:B,2,0)</f>
        <v>1300609018</v>
      </c>
      <c r="X756">
        <v>1300609</v>
      </c>
      <c r="Y756" t="str">
        <f>VLOOKUP(X756,物料編碼!D:G,4,0)</f>
        <v>去皮上腿肉</v>
      </c>
      <c r="Z756" t="str">
        <f>VLOOKUP(C756,客戶屬性1!A:C,2,0)</f>
        <v>新昌冻肉</v>
      </c>
      <c r="AA756">
        <f>IF(COUNTIF($O$1:O756,O756)=1,L756,0)</f>
        <v>0</v>
      </c>
    </row>
    <row r="757" customHeight="1" spans="1:27">
      <c r="A757" s="21" t="s">
        <v>1523</v>
      </c>
      <c r="B757" s="21" t="s">
        <v>45</v>
      </c>
      <c r="C757" s="21" t="s">
        <v>141</v>
      </c>
      <c r="D757" s="21" t="s">
        <v>142</v>
      </c>
      <c r="E757" s="21" t="s">
        <v>142</v>
      </c>
      <c r="F757" s="21" t="s">
        <v>143</v>
      </c>
      <c r="G757" s="21" t="s">
        <v>100</v>
      </c>
      <c r="H757" s="21" t="s">
        <v>60</v>
      </c>
      <c r="I757" s="26">
        <v>1</v>
      </c>
      <c r="J757" s="26">
        <v>25</v>
      </c>
      <c r="K757" s="21" t="s">
        <v>52</v>
      </c>
      <c r="L757" s="27">
        <v>2375.4</v>
      </c>
      <c r="M757" s="21"/>
      <c r="N757" s="21"/>
      <c r="O757" s="21" t="s">
        <v>1524</v>
      </c>
      <c r="P757" s="21" t="s">
        <v>54</v>
      </c>
      <c r="Q757" s="28">
        <v>46151</v>
      </c>
      <c r="R757" s="29">
        <v>46150.4513425926</v>
      </c>
      <c r="S757" s="21" t="s">
        <v>145</v>
      </c>
      <c r="T757" s="21"/>
      <c r="U757" s="21" t="s">
        <v>142</v>
      </c>
      <c r="V757" s="29">
        <v>46150.4512962963</v>
      </c>
      <c r="W757">
        <f>VLOOKUP(H757,物料編碼!A:B,2,0)</f>
        <v>1300101043</v>
      </c>
      <c r="X757">
        <v>1300101</v>
      </c>
      <c r="Y757" t="str">
        <f>VLOOKUP(X757,物料編碼!D:G,4,0)</f>
        <v>一號肉</v>
      </c>
      <c r="Z757" t="str">
        <f>VLOOKUP(C757,客戶屬性1!A:C,2,0)</f>
        <v>新昌冻肉</v>
      </c>
      <c r="AA757">
        <f>IF(COUNTIF($O$1:O757,O757)=1,L757,0)</f>
        <v>2375.4</v>
      </c>
    </row>
    <row r="758" customHeight="1" spans="1:27">
      <c r="A758" s="21" t="s">
        <v>1523</v>
      </c>
      <c r="B758" s="21" t="s">
        <v>45</v>
      </c>
      <c r="C758" s="21" t="s">
        <v>141</v>
      </c>
      <c r="D758" s="21" t="s">
        <v>142</v>
      </c>
      <c r="E758" s="21" t="s">
        <v>142</v>
      </c>
      <c r="F758" s="21" t="s">
        <v>143</v>
      </c>
      <c r="G758" s="21" t="s">
        <v>100</v>
      </c>
      <c r="H758" s="21" t="s">
        <v>146</v>
      </c>
      <c r="I758" s="26">
        <v>2</v>
      </c>
      <c r="J758" s="26">
        <v>30</v>
      </c>
      <c r="K758" s="21" t="s">
        <v>52</v>
      </c>
      <c r="L758" s="27">
        <v>2375.4</v>
      </c>
      <c r="M758" s="21"/>
      <c r="N758" s="21"/>
      <c r="O758" s="21" t="s">
        <v>1524</v>
      </c>
      <c r="P758" s="21" t="s">
        <v>54</v>
      </c>
      <c r="Q758" s="28">
        <v>46151</v>
      </c>
      <c r="R758" s="29">
        <v>46150.4513425926</v>
      </c>
      <c r="S758" s="21" t="s">
        <v>145</v>
      </c>
      <c r="T758" s="21"/>
      <c r="U758" s="21" t="s">
        <v>142</v>
      </c>
      <c r="V758" s="29">
        <v>46150.4512962963</v>
      </c>
      <c r="W758">
        <f>VLOOKUP(H758,物料編碼!A:B,2,0)</f>
        <v>1300603041</v>
      </c>
      <c r="X758">
        <v>1300603</v>
      </c>
      <c r="Y758" t="str">
        <f>VLOOKUP(X758,物料編碼!D:G,4,0)</f>
        <v>帶骨全腿</v>
      </c>
      <c r="Z758" t="str">
        <f>VLOOKUP(C758,客戶屬性1!A:C,2,0)</f>
        <v>新昌冻肉</v>
      </c>
      <c r="AA758">
        <f>IF(COUNTIF($O$1:O758,O758)=1,L758,0)</f>
        <v>0</v>
      </c>
    </row>
    <row r="759" customHeight="1" spans="1:27">
      <c r="A759" s="21" t="s">
        <v>1523</v>
      </c>
      <c r="B759" s="21" t="s">
        <v>45</v>
      </c>
      <c r="C759" s="21" t="s">
        <v>141</v>
      </c>
      <c r="D759" s="21" t="s">
        <v>142</v>
      </c>
      <c r="E759" s="21" t="s">
        <v>142</v>
      </c>
      <c r="F759" s="21" t="s">
        <v>143</v>
      </c>
      <c r="G759" s="21" t="s">
        <v>100</v>
      </c>
      <c r="H759" s="21" t="s">
        <v>302</v>
      </c>
      <c r="I759" s="26">
        <v>2</v>
      </c>
      <c r="J759" s="26">
        <v>24</v>
      </c>
      <c r="K759" s="21" t="s">
        <v>52</v>
      </c>
      <c r="L759" s="27">
        <v>2375.4</v>
      </c>
      <c r="M759" s="21"/>
      <c r="N759" s="21"/>
      <c r="O759" s="21" t="s">
        <v>1524</v>
      </c>
      <c r="P759" s="21" t="s">
        <v>54</v>
      </c>
      <c r="Q759" s="28">
        <v>46151</v>
      </c>
      <c r="R759" s="29">
        <v>46150.4513425926</v>
      </c>
      <c r="S759" s="21" t="s">
        <v>145</v>
      </c>
      <c r="T759" s="21"/>
      <c r="U759" s="21" t="s">
        <v>142</v>
      </c>
      <c r="V759" s="29">
        <v>46150.4512962963</v>
      </c>
      <c r="W759">
        <f>VLOOKUP(H759,物料編碼!A:B,2,0)</f>
        <v>1300609018</v>
      </c>
      <c r="X759">
        <v>1300609</v>
      </c>
      <c r="Y759" t="str">
        <f>VLOOKUP(X759,物料編碼!D:G,4,0)</f>
        <v>去皮上腿肉</v>
      </c>
      <c r="Z759" t="str">
        <f>VLOOKUP(C759,客戶屬性1!A:C,2,0)</f>
        <v>新昌冻肉</v>
      </c>
      <c r="AA759">
        <f>IF(COUNTIF($O$1:O759,O759)=1,L759,0)</f>
        <v>0</v>
      </c>
    </row>
    <row r="760" customHeight="1" spans="1:27">
      <c r="A760" s="21" t="s">
        <v>1523</v>
      </c>
      <c r="B760" s="21" t="s">
        <v>45</v>
      </c>
      <c r="C760" s="21" t="s">
        <v>141</v>
      </c>
      <c r="D760" s="21" t="s">
        <v>142</v>
      </c>
      <c r="E760" s="21" t="s">
        <v>142</v>
      </c>
      <c r="F760" s="21" t="s">
        <v>143</v>
      </c>
      <c r="G760" s="21" t="s">
        <v>100</v>
      </c>
      <c r="H760" s="21" t="s">
        <v>117</v>
      </c>
      <c r="I760" s="26">
        <v>3</v>
      </c>
      <c r="J760" s="26">
        <v>45</v>
      </c>
      <c r="K760" s="21" t="s">
        <v>52</v>
      </c>
      <c r="L760" s="27">
        <v>2375.4</v>
      </c>
      <c r="M760" s="21"/>
      <c r="N760" s="21"/>
      <c r="O760" s="21" t="s">
        <v>1524</v>
      </c>
      <c r="P760" s="21" t="s">
        <v>54</v>
      </c>
      <c r="Q760" s="28">
        <v>46151</v>
      </c>
      <c r="R760" s="29">
        <v>46150.4513425926</v>
      </c>
      <c r="S760" s="21" t="s">
        <v>145</v>
      </c>
      <c r="T760" s="21"/>
      <c r="U760" s="21" t="s">
        <v>142</v>
      </c>
      <c r="V760" s="29">
        <v>46150.4512962963</v>
      </c>
      <c r="W760">
        <f>VLOOKUP(H760,物料編碼!A:B,2,0)</f>
        <v>1300607015</v>
      </c>
      <c r="X760">
        <v>1300607</v>
      </c>
      <c r="Y760" t="str">
        <f>VLOOKUP(X760,物料編碼!D:G,4,0)</f>
        <v>帶皮腿扒</v>
      </c>
      <c r="Z760" t="str">
        <f>VLOOKUP(C760,客戶屬性1!A:C,2,0)</f>
        <v>新昌冻肉</v>
      </c>
      <c r="AA760">
        <f>IF(COUNTIF($O$1:O760,O760)=1,L760,0)</f>
        <v>0</v>
      </c>
    </row>
    <row r="761" customHeight="1" spans="1:27">
      <c r="A761" s="21" t="s">
        <v>1525</v>
      </c>
      <c r="B761" s="21" t="s">
        <v>45</v>
      </c>
      <c r="C761" s="21" t="s">
        <v>1401</v>
      </c>
      <c r="D761" s="21" t="s">
        <v>1402</v>
      </c>
      <c r="E761" s="21" t="s">
        <v>1403</v>
      </c>
      <c r="F761" s="21" t="s">
        <v>49</v>
      </c>
      <c r="G761" s="21" t="s">
        <v>541</v>
      </c>
      <c r="H761" s="21" t="s">
        <v>60</v>
      </c>
      <c r="I761" s="26">
        <v>5</v>
      </c>
      <c r="J761" s="26">
        <v>125</v>
      </c>
      <c r="K761" s="21" t="s">
        <v>52</v>
      </c>
      <c r="L761" s="27">
        <v>4862.5</v>
      </c>
      <c r="M761" s="21"/>
      <c r="N761" s="21"/>
      <c r="O761" s="21" t="s">
        <v>1526</v>
      </c>
      <c r="P761" s="21" t="s">
        <v>54</v>
      </c>
      <c r="Q761" s="28">
        <v>46153</v>
      </c>
      <c r="R761" s="29">
        <v>46150.4454513889</v>
      </c>
      <c r="S761" s="21" t="s">
        <v>1405</v>
      </c>
      <c r="T761" s="21"/>
      <c r="U761" s="21" t="s">
        <v>1406</v>
      </c>
      <c r="V761" s="29">
        <v>46150.4453935185</v>
      </c>
      <c r="W761">
        <f>VLOOKUP(H761,物料編碼!A:B,2,0)</f>
        <v>1300101043</v>
      </c>
      <c r="X761">
        <v>1300101</v>
      </c>
      <c r="Y761" t="str">
        <f>VLOOKUP(X761,物料編碼!D:G,4,0)</f>
        <v>一號肉</v>
      </c>
      <c r="Z761" t="str">
        <f>VLOOKUP(C761,客戶屬性1!A:C,2,0)</f>
        <v>再兴烧腊饭店有限公司</v>
      </c>
      <c r="AA761">
        <f>IF(COUNTIF($O$1:O761,O761)=1,L761,0)</f>
        <v>4862.5</v>
      </c>
    </row>
    <row r="762" customHeight="1" spans="1:27">
      <c r="A762" s="21" t="s">
        <v>1527</v>
      </c>
      <c r="B762" s="21" t="s">
        <v>45</v>
      </c>
      <c r="C762" s="21" t="s">
        <v>97</v>
      </c>
      <c r="D762" s="21" t="s">
        <v>98</v>
      </c>
      <c r="E762" s="21" t="s">
        <v>99</v>
      </c>
      <c r="F762" s="21" t="s">
        <v>49</v>
      </c>
      <c r="G762" s="21" t="s">
        <v>100</v>
      </c>
      <c r="H762" s="21" t="s">
        <v>179</v>
      </c>
      <c r="I762" s="26">
        <v>25</v>
      </c>
      <c r="J762" s="26">
        <v>25</v>
      </c>
      <c r="K762" s="21" t="s">
        <v>52</v>
      </c>
      <c r="L762" s="27">
        <v>795</v>
      </c>
      <c r="M762" s="21"/>
      <c r="N762" s="21"/>
      <c r="O762" s="21" t="s">
        <v>1528</v>
      </c>
      <c r="P762" s="21" t="s">
        <v>54</v>
      </c>
      <c r="Q762" s="28">
        <v>46150</v>
      </c>
      <c r="R762" s="29">
        <v>46150.4365625</v>
      </c>
      <c r="S762" s="21" t="s">
        <v>1000</v>
      </c>
      <c r="T762" s="21"/>
      <c r="U762" s="21" t="s">
        <v>1001</v>
      </c>
      <c r="V762" s="29">
        <v>46150.4365162037</v>
      </c>
      <c r="W762">
        <f>VLOOKUP(H762,物料編碼!A:B,2,0)</f>
        <v>1300109012</v>
      </c>
      <c r="X762">
        <v>1300109</v>
      </c>
      <c r="Y762" t="str">
        <f>VLOOKUP(X762,物料編碼!D:G,4,0)</f>
        <v>面精肉</v>
      </c>
      <c r="Z762" t="str">
        <f>VLOOKUP(C762,客戶屬性1!A:C,2,0)</f>
        <v>三明有限公司</v>
      </c>
      <c r="AA762">
        <f>IF(COUNTIF($O$1:O762,O762)=1,L762,0)</f>
        <v>795</v>
      </c>
    </row>
    <row r="763" customHeight="1" spans="1:27">
      <c r="A763" s="21" t="s">
        <v>1529</v>
      </c>
      <c r="B763" s="21" t="s">
        <v>45</v>
      </c>
      <c r="C763" s="21" t="s">
        <v>1308</v>
      </c>
      <c r="D763" s="21" t="s">
        <v>1309</v>
      </c>
      <c r="E763" s="21" t="s">
        <v>1310</v>
      </c>
      <c r="F763" s="21" t="s">
        <v>49</v>
      </c>
      <c r="G763" s="21" t="s">
        <v>541</v>
      </c>
      <c r="H763" s="21" t="s">
        <v>117</v>
      </c>
      <c r="I763" s="26">
        <v>3</v>
      </c>
      <c r="J763" s="26">
        <v>45</v>
      </c>
      <c r="K763" s="21" t="s">
        <v>52</v>
      </c>
      <c r="L763" s="27">
        <v>665.1</v>
      </c>
      <c r="M763" s="21"/>
      <c r="N763" s="21"/>
      <c r="O763" s="21" t="s">
        <v>1530</v>
      </c>
      <c r="P763" s="21" t="s">
        <v>54</v>
      </c>
      <c r="Q763" s="28">
        <v>46150</v>
      </c>
      <c r="R763" s="29">
        <v>46150.392037037</v>
      </c>
      <c r="S763" s="21" t="s">
        <v>1312</v>
      </c>
      <c r="T763" s="21"/>
      <c r="U763" s="21" t="s">
        <v>1309</v>
      </c>
      <c r="V763" s="29">
        <v>46150.3919907407</v>
      </c>
      <c r="W763">
        <f>VLOOKUP(H763,物料編碼!A:B,2,0)</f>
        <v>1300607015</v>
      </c>
      <c r="X763">
        <v>1300607</v>
      </c>
      <c r="Y763" t="str">
        <f>VLOOKUP(X763,物料編碼!D:G,4,0)</f>
        <v>帶皮腿扒</v>
      </c>
      <c r="Z763" t="str">
        <f>VLOOKUP(C763,客戶屬性1!A:C,2,0)</f>
        <v>再丰有限公司</v>
      </c>
      <c r="AA763">
        <f>IF(COUNTIF($O$1:O763,O763)=1,L763,0)</f>
        <v>665.1</v>
      </c>
    </row>
    <row r="764" customHeight="1" spans="1:27">
      <c r="A764" s="21" t="s">
        <v>1531</v>
      </c>
      <c r="B764" s="21" t="s">
        <v>45</v>
      </c>
      <c r="C764" s="21" t="s">
        <v>1308</v>
      </c>
      <c r="D764" s="21" t="s">
        <v>1309</v>
      </c>
      <c r="E764" s="21" t="s">
        <v>1310</v>
      </c>
      <c r="F764" s="21" t="s">
        <v>49</v>
      </c>
      <c r="G764" s="21" t="s">
        <v>541</v>
      </c>
      <c r="H764" s="21" t="s">
        <v>117</v>
      </c>
      <c r="I764" s="26">
        <v>3</v>
      </c>
      <c r="J764" s="26">
        <v>45</v>
      </c>
      <c r="K764" s="21" t="s">
        <v>52</v>
      </c>
      <c r="L764" s="27">
        <v>665.1</v>
      </c>
      <c r="M764" s="21"/>
      <c r="N764" s="21"/>
      <c r="O764" s="21" t="s">
        <v>1532</v>
      </c>
      <c r="P764" s="21" t="s">
        <v>54</v>
      </c>
      <c r="Q764" s="28">
        <v>46150</v>
      </c>
      <c r="R764" s="29">
        <v>46149.6704513889</v>
      </c>
      <c r="S764" s="21" t="s">
        <v>1312</v>
      </c>
      <c r="T764" s="21"/>
      <c r="U764" s="21" t="s">
        <v>1309</v>
      </c>
      <c r="V764" s="29">
        <v>46149.6704050926</v>
      </c>
      <c r="W764">
        <f>VLOOKUP(H764,物料編碼!A:B,2,0)</f>
        <v>1300607015</v>
      </c>
      <c r="X764">
        <v>1300607</v>
      </c>
      <c r="Y764" t="str">
        <f>VLOOKUP(X764,物料編碼!D:G,4,0)</f>
        <v>帶皮腿扒</v>
      </c>
      <c r="Z764" t="str">
        <f>VLOOKUP(C764,客戶屬性1!A:C,2,0)</f>
        <v>再丰有限公司</v>
      </c>
      <c r="AA764">
        <f>IF(COUNTIF($O$1:O764,O764)=1,L764,0)</f>
        <v>665.1</v>
      </c>
    </row>
    <row r="765" customHeight="1" spans="1:27">
      <c r="A765" s="21" t="s">
        <v>1533</v>
      </c>
      <c r="B765" s="21" t="s">
        <v>45</v>
      </c>
      <c r="C765" s="21" t="s">
        <v>72</v>
      </c>
      <c r="D765" s="21" t="s">
        <v>73</v>
      </c>
      <c r="E765" s="21" t="s">
        <v>74</v>
      </c>
      <c r="F765" s="21" t="s">
        <v>49</v>
      </c>
      <c r="G765" s="21" t="s">
        <v>50</v>
      </c>
      <c r="H765" s="21" t="s">
        <v>298</v>
      </c>
      <c r="I765" s="26">
        <v>1</v>
      </c>
      <c r="J765" s="26">
        <v>10</v>
      </c>
      <c r="K765" s="21" t="s">
        <v>52</v>
      </c>
      <c r="L765" s="27">
        <v>1815.2</v>
      </c>
      <c r="M765" s="21"/>
      <c r="N765" s="21"/>
      <c r="O765" s="21" t="s">
        <v>1534</v>
      </c>
      <c r="P765" s="21" t="s">
        <v>54</v>
      </c>
      <c r="Q765" s="28">
        <v>46150</v>
      </c>
      <c r="R765" s="29">
        <v>46149.6263888889</v>
      </c>
      <c r="S765" s="21" t="s">
        <v>377</v>
      </c>
      <c r="T765" s="21"/>
      <c r="U765" s="21" t="s">
        <v>82</v>
      </c>
      <c r="V765" s="29">
        <v>46149.6263425926</v>
      </c>
      <c r="W765">
        <f>VLOOKUP(H765,物料編碼!A:B,2,0)</f>
        <v>1300111003</v>
      </c>
      <c r="X765">
        <v>1300111</v>
      </c>
      <c r="Y765" t="str">
        <f>VLOOKUP(X765,物料編碼!D:G,4,0)</f>
        <v>寸骨</v>
      </c>
      <c r="Z765" t="str">
        <f>VLOOKUP(C765,客戶屬性1!A:C,2,0)</f>
        <v>恒辉贸易公司</v>
      </c>
      <c r="AA765">
        <f>IF(COUNTIF($O$1:O765,O765)=1,L765,0)</f>
        <v>1815.2</v>
      </c>
    </row>
    <row r="766" customHeight="1" spans="1:27">
      <c r="A766" s="21" t="s">
        <v>1533</v>
      </c>
      <c r="B766" s="21" t="s">
        <v>45</v>
      </c>
      <c r="C766" s="21" t="s">
        <v>72</v>
      </c>
      <c r="D766" s="21" t="s">
        <v>73</v>
      </c>
      <c r="E766" s="21" t="s">
        <v>74</v>
      </c>
      <c r="F766" s="21" t="s">
        <v>49</v>
      </c>
      <c r="G766" s="21" t="s">
        <v>50</v>
      </c>
      <c r="H766" s="21" t="s">
        <v>117</v>
      </c>
      <c r="I766" s="26">
        <v>6</v>
      </c>
      <c r="J766" s="26">
        <v>90</v>
      </c>
      <c r="K766" s="21" t="s">
        <v>52</v>
      </c>
      <c r="L766" s="27">
        <v>1815.2</v>
      </c>
      <c r="M766" s="21"/>
      <c r="N766" s="21"/>
      <c r="O766" s="21" t="s">
        <v>1534</v>
      </c>
      <c r="P766" s="21" t="s">
        <v>54</v>
      </c>
      <c r="Q766" s="28">
        <v>46150</v>
      </c>
      <c r="R766" s="29">
        <v>46149.6263888889</v>
      </c>
      <c r="S766" s="21" t="s">
        <v>377</v>
      </c>
      <c r="T766" s="21"/>
      <c r="U766" s="21" t="s">
        <v>82</v>
      </c>
      <c r="V766" s="29">
        <v>46149.6263425926</v>
      </c>
      <c r="W766">
        <f>VLOOKUP(H766,物料編碼!A:B,2,0)</f>
        <v>1300607015</v>
      </c>
      <c r="X766">
        <v>1300607</v>
      </c>
      <c r="Y766" t="str">
        <f>VLOOKUP(X766,物料編碼!D:G,4,0)</f>
        <v>帶皮腿扒</v>
      </c>
      <c r="Z766" t="str">
        <f>VLOOKUP(C766,客戶屬性1!A:C,2,0)</f>
        <v>恒辉贸易公司</v>
      </c>
      <c r="AA766">
        <f>IF(COUNTIF($O$1:O766,O766)=1,L766,0)</f>
        <v>0</v>
      </c>
    </row>
    <row r="767" customHeight="1" spans="1:27">
      <c r="A767" s="21" t="s">
        <v>1535</v>
      </c>
      <c r="B767" s="21" t="s">
        <v>45</v>
      </c>
      <c r="C767" s="21" t="s">
        <v>1536</v>
      </c>
      <c r="D767" s="21" t="s">
        <v>1537</v>
      </c>
      <c r="E767" s="21" t="s">
        <v>1538</v>
      </c>
      <c r="F767" s="21" t="s">
        <v>49</v>
      </c>
      <c r="G767" s="21" t="s">
        <v>541</v>
      </c>
      <c r="H767" s="21" t="s">
        <v>121</v>
      </c>
      <c r="I767" s="26">
        <v>1</v>
      </c>
      <c r="J767" s="26">
        <v>20</v>
      </c>
      <c r="K767" s="21" t="s">
        <v>52</v>
      </c>
      <c r="L767" s="27">
        <v>848.96</v>
      </c>
      <c r="M767" s="21"/>
      <c r="N767" s="21"/>
      <c r="O767" s="21" t="s">
        <v>1539</v>
      </c>
      <c r="P767" s="21" t="s">
        <v>183</v>
      </c>
      <c r="Q767" s="28">
        <v>46150</v>
      </c>
      <c r="R767" s="29">
        <v>46149.5951041667</v>
      </c>
      <c r="S767" s="21" t="s">
        <v>1540</v>
      </c>
      <c r="T767" s="21"/>
      <c r="U767" s="21" t="s">
        <v>1537</v>
      </c>
      <c r="V767" s="29">
        <v>46149.5950578704</v>
      </c>
      <c r="W767">
        <f>VLOOKUP(H767,物料編碼!A:B,2,0)</f>
        <v>1300114011</v>
      </c>
      <c r="X767">
        <v>1300114</v>
      </c>
      <c r="Y767" t="str">
        <f>VLOOKUP(X767,物料編碼!D:G,4,0)</f>
        <v>熟食</v>
      </c>
      <c r="Z767" t="str">
        <f>VLOOKUP(C767,客戶屬性1!A:C,2,0)</f>
        <v>启如冻肉</v>
      </c>
      <c r="AA767">
        <f>IF(COUNTIF($O$1:O767,O767)=1,L767,0)</f>
        <v>848.96</v>
      </c>
    </row>
    <row r="768" customHeight="1" spans="1:27">
      <c r="A768" s="21" t="s">
        <v>1535</v>
      </c>
      <c r="B768" s="21" t="s">
        <v>45</v>
      </c>
      <c r="C768" s="21" t="s">
        <v>1536</v>
      </c>
      <c r="D768" s="21" t="s">
        <v>1537</v>
      </c>
      <c r="E768" s="21" t="s">
        <v>1538</v>
      </c>
      <c r="F768" s="21" t="s">
        <v>49</v>
      </c>
      <c r="G768" s="21" t="s">
        <v>541</v>
      </c>
      <c r="H768" s="21" t="s">
        <v>1541</v>
      </c>
      <c r="I768" s="26">
        <v>2</v>
      </c>
      <c r="J768" s="26">
        <v>28.8</v>
      </c>
      <c r="K768" s="21" t="s">
        <v>52</v>
      </c>
      <c r="L768" s="27">
        <v>848.96</v>
      </c>
      <c r="M768" s="21"/>
      <c r="N768" s="21"/>
      <c r="O768" s="21" t="s">
        <v>1539</v>
      </c>
      <c r="P768" s="21" t="s">
        <v>183</v>
      </c>
      <c r="Q768" s="28">
        <v>46150</v>
      </c>
      <c r="R768" s="29">
        <v>46149.5951041667</v>
      </c>
      <c r="S768" s="21" t="s">
        <v>1540</v>
      </c>
      <c r="T768" s="21"/>
      <c r="U768" s="21" t="s">
        <v>1537</v>
      </c>
      <c r="V768" s="29">
        <v>46149.5950578704</v>
      </c>
      <c r="W768">
        <f>VLOOKUP(H768,物料編碼!A:B,2,0)</f>
        <v>1300901006</v>
      </c>
      <c r="X768">
        <v>1300901</v>
      </c>
      <c r="Y768" t="str">
        <f>VLOOKUP(X768,物料編碼!D:G,4,0)</f>
        <v>整鴨</v>
      </c>
      <c r="Z768" t="str">
        <f>VLOOKUP(C768,客戶屬性1!A:C,2,0)</f>
        <v>启如冻肉</v>
      </c>
      <c r="AA768">
        <f>IF(COUNTIF($O$1:O768,O768)=1,L768,0)</f>
        <v>0</v>
      </c>
    </row>
    <row r="769" customHeight="1" spans="1:27">
      <c r="A769" s="21" t="s">
        <v>1542</v>
      </c>
      <c r="B769" s="21" t="s">
        <v>45</v>
      </c>
      <c r="C769" s="21" t="s">
        <v>1460</v>
      </c>
      <c r="D769" s="21" t="s">
        <v>1461</v>
      </c>
      <c r="E769" s="21" t="s">
        <v>1462</v>
      </c>
      <c r="F769" s="21" t="s">
        <v>49</v>
      </c>
      <c r="G769" s="21" t="s">
        <v>541</v>
      </c>
      <c r="H769" s="21" t="s">
        <v>117</v>
      </c>
      <c r="I769" s="26">
        <v>10</v>
      </c>
      <c r="J769" s="26">
        <v>150</v>
      </c>
      <c r="K769" s="21" t="s">
        <v>52</v>
      </c>
      <c r="L769" s="27">
        <v>2217</v>
      </c>
      <c r="M769" s="21"/>
      <c r="N769" s="21"/>
      <c r="O769" s="21" t="s">
        <v>1543</v>
      </c>
      <c r="P769" s="21" t="s">
        <v>54</v>
      </c>
      <c r="Q769" s="28">
        <v>46150</v>
      </c>
      <c r="R769" s="29">
        <v>46149.5048263889</v>
      </c>
      <c r="S769" s="21" t="s">
        <v>1464</v>
      </c>
      <c r="T769" s="21"/>
      <c r="U769" s="21" t="s">
        <v>1461</v>
      </c>
      <c r="V769" s="29">
        <v>46149.5047685185</v>
      </c>
      <c r="W769">
        <f>VLOOKUP(H769,物料編碼!A:B,2,0)</f>
        <v>1300607015</v>
      </c>
      <c r="X769">
        <v>1300607</v>
      </c>
      <c r="Y769" t="str">
        <f>VLOOKUP(X769,物料編碼!D:G,4,0)</f>
        <v>帶皮腿扒</v>
      </c>
      <c r="Z769" t="str">
        <f>VLOOKUP(C769,客戶屬性1!A:C,2,0)</f>
        <v>新江公司</v>
      </c>
      <c r="AA769">
        <f>IF(COUNTIF($O$1:O769,O769)=1,L769,0)</f>
        <v>2217</v>
      </c>
    </row>
    <row r="770" customHeight="1" spans="1:27">
      <c r="A770" s="21" t="s">
        <v>1544</v>
      </c>
      <c r="B770" s="21" t="s">
        <v>45</v>
      </c>
      <c r="C770" s="21" t="s">
        <v>1308</v>
      </c>
      <c r="D770" s="21" t="s">
        <v>1309</v>
      </c>
      <c r="E770" s="21" t="s">
        <v>1310</v>
      </c>
      <c r="F770" s="21" t="s">
        <v>49</v>
      </c>
      <c r="G770" s="21" t="s">
        <v>541</v>
      </c>
      <c r="H770" s="21" t="s">
        <v>117</v>
      </c>
      <c r="I770" s="26">
        <v>4</v>
      </c>
      <c r="J770" s="26">
        <v>60</v>
      </c>
      <c r="K770" s="21" t="s">
        <v>52</v>
      </c>
      <c r="L770" s="27">
        <v>886.8</v>
      </c>
      <c r="M770" s="21"/>
      <c r="N770" s="21"/>
      <c r="O770" s="21" t="s">
        <v>1545</v>
      </c>
      <c r="P770" s="21" t="s">
        <v>54</v>
      </c>
      <c r="Q770" s="28">
        <v>46150</v>
      </c>
      <c r="R770" s="29">
        <v>46149.493125</v>
      </c>
      <c r="S770" s="21" t="s">
        <v>1312</v>
      </c>
      <c r="T770" s="21"/>
      <c r="U770" s="21" t="s">
        <v>1309</v>
      </c>
      <c r="V770" s="29">
        <v>46149.4930671296</v>
      </c>
      <c r="W770">
        <f>VLOOKUP(H770,物料編碼!A:B,2,0)</f>
        <v>1300607015</v>
      </c>
      <c r="X770">
        <v>1300607</v>
      </c>
      <c r="Y770" t="str">
        <f>VLOOKUP(X770,物料編碼!D:G,4,0)</f>
        <v>帶皮腿扒</v>
      </c>
      <c r="Z770" t="str">
        <f>VLOOKUP(C770,客戶屬性1!A:C,2,0)</f>
        <v>再丰有限公司</v>
      </c>
      <c r="AA770">
        <f>IF(COUNTIF($O$1:O770,O770)=1,L770,0)</f>
        <v>886.8</v>
      </c>
    </row>
    <row r="771" customHeight="1" spans="1:27">
      <c r="A771" s="21" t="s">
        <v>1546</v>
      </c>
      <c r="B771" s="21" t="s">
        <v>45</v>
      </c>
      <c r="C771" s="21" t="s">
        <v>141</v>
      </c>
      <c r="D771" s="21" t="s">
        <v>142</v>
      </c>
      <c r="E771" s="21" t="s">
        <v>142</v>
      </c>
      <c r="F771" s="21" t="s">
        <v>143</v>
      </c>
      <c r="G771" s="21" t="s">
        <v>100</v>
      </c>
      <c r="H771" s="21" t="s">
        <v>298</v>
      </c>
      <c r="I771" s="26">
        <v>1</v>
      </c>
      <c r="J771" s="26">
        <v>10</v>
      </c>
      <c r="K771" s="21" t="s">
        <v>52</v>
      </c>
      <c r="L771" s="27">
        <v>2661.8</v>
      </c>
      <c r="M771" s="21"/>
      <c r="N771" s="21"/>
      <c r="O771" s="21" t="s">
        <v>1547</v>
      </c>
      <c r="P771" s="21" t="s">
        <v>54</v>
      </c>
      <c r="Q771" s="28">
        <v>46150</v>
      </c>
      <c r="R771" s="29">
        <v>46149.4791319444</v>
      </c>
      <c r="S771" s="21" t="s">
        <v>145</v>
      </c>
      <c r="T771" s="21"/>
      <c r="U771" s="21" t="s">
        <v>142</v>
      </c>
      <c r="V771" s="29">
        <v>46149.4790856481</v>
      </c>
      <c r="W771">
        <f>VLOOKUP(H771,物料編碼!A:B,2,0)</f>
        <v>1300111003</v>
      </c>
      <c r="X771">
        <v>1300111</v>
      </c>
      <c r="Y771" t="str">
        <f>VLOOKUP(X771,物料編碼!D:G,4,0)</f>
        <v>寸骨</v>
      </c>
      <c r="Z771" t="str">
        <f>VLOOKUP(C771,客戶屬性1!A:C,2,0)</f>
        <v>新昌冻肉</v>
      </c>
      <c r="AA771">
        <f>IF(COUNTIF($O$1:O771,O771)=1,L771,0)</f>
        <v>2661.8</v>
      </c>
    </row>
    <row r="772" customHeight="1" spans="1:27">
      <c r="A772" s="21" t="s">
        <v>1546</v>
      </c>
      <c r="B772" s="21" t="s">
        <v>45</v>
      </c>
      <c r="C772" s="21" t="s">
        <v>141</v>
      </c>
      <c r="D772" s="21" t="s">
        <v>142</v>
      </c>
      <c r="E772" s="21" t="s">
        <v>142</v>
      </c>
      <c r="F772" s="21" t="s">
        <v>143</v>
      </c>
      <c r="G772" s="21" t="s">
        <v>100</v>
      </c>
      <c r="H772" s="21" t="s">
        <v>302</v>
      </c>
      <c r="I772" s="26">
        <v>1</v>
      </c>
      <c r="J772" s="26">
        <v>12</v>
      </c>
      <c r="K772" s="21" t="s">
        <v>52</v>
      </c>
      <c r="L772" s="27">
        <v>2661.8</v>
      </c>
      <c r="M772" s="21"/>
      <c r="N772" s="21"/>
      <c r="O772" s="21" t="s">
        <v>1547</v>
      </c>
      <c r="P772" s="21" t="s">
        <v>54</v>
      </c>
      <c r="Q772" s="28">
        <v>46150</v>
      </c>
      <c r="R772" s="29">
        <v>46149.4791319444</v>
      </c>
      <c r="S772" s="21" t="s">
        <v>145</v>
      </c>
      <c r="T772" s="21"/>
      <c r="U772" s="21" t="s">
        <v>142</v>
      </c>
      <c r="V772" s="29">
        <v>46149.4790856481</v>
      </c>
      <c r="W772">
        <f>VLOOKUP(H772,物料編碼!A:B,2,0)</f>
        <v>1300609018</v>
      </c>
      <c r="X772">
        <v>1300609</v>
      </c>
      <c r="Y772" t="str">
        <f>VLOOKUP(X772,物料編碼!D:G,4,0)</f>
        <v>去皮上腿肉</v>
      </c>
      <c r="Z772" t="str">
        <f>VLOOKUP(C772,客戶屬性1!A:C,2,0)</f>
        <v>新昌冻肉</v>
      </c>
      <c r="AA772">
        <f>IF(COUNTIF($O$1:O772,O772)=1,L772,0)</f>
        <v>0</v>
      </c>
    </row>
    <row r="773" customHeight="1" spans="1:27">
      <c r="A773" s="21" t="s">
        <v>1546</v>
      </c>
      <c r="B773" s="21" t="s">
        <v>45</v>
      </c>
      <c r="C773" s="21" t="s">
        <v>141</v>
      </c>
      <c r="D773" s="21" t="s">
        <v>142</v>
      </c>
      <c r="E773" s="21" t="s">
        <v>142</v>
      </c>
      <c r="F773" s="21" t="s">
        <v>143</v>
      </c>
      <c r="G773" s="21" t="s">
        <v>100</v>
      </c>
      <c r="H773" s="21" t="s">
        <v>60</v>
      </c>
      <c r="I773" s="26">
        <v>1</v>
      </c>
      <c r="J773" s="26">
        <v>25</v>
      </c>
      <c r="K773" s="21" t="s">
        <v>52</v>
      </c>
      <c r="L773" s="27">
        <v>2661.8</v>
      </c>
      <c r="M773" s="21"/>
      <c r="N773" s="21"/>
      <c r="O773" s="21" t="s">
        <v>1547</v>
      </c>
      <c r="P773" s="21" t="s">
        <v>54</v>
      </c>
      <c r="Q773" s="28">
        <v>46150</v>
      </c>
      <c r="R773" s="29">
        <v>46149.4791319444</v>
      </c>
      <c r="S773" s="21" t="s">
        <v>145</v>
      </c>
      <c r="T773" s="21"/>
      <c r="U773" s="21" t="s">
        <v>142</v>
      </c>
      <c r="V773" s="29">
        <v>46149.4790856481</v>
      </c>
      <c r="W773">
        <f>VLOOKUP(H773,物料編碼!A:B,2,0)</f>
        <v>1300101043</v>
      </c>
      <c r="X773">
        <v>1300101</v>
      </c>
      <c r="Y773" t="str">
        <f>VLOOKUP(X773,物料編碼!D:G,4,0)</f>
        <v>一號肉</v>
      </c>
      <c r="Z773" t="str">
        <f>VLOOKUP(C773,客戶屬性1!A:C,2,0)</f>
        <v>新昌冻肉</v>
      </c>
      <c r="AA773">
        <f>IF(COUNTIF($O$1:O773,O773)=1,L773,0)</f>
        <v>0</v>
      </c>
    </row>
    <row r="774" customHeight="1" spans="1:27">
      <c r="A774" s="21" t="s">
        <v>1546</v>
      </c>
      <c r="B774" s="21" t="s">
        <v>45</v>
      </c>
      <c r="C774" s="21" t="s">
        <v>141</v>
      </c>
      <c r="D774" s="21" t="s">
        <v>142</v>
      </c>
      <c r="E774" s="21" t="s">
        <v>142</v>
      </c>
      <c r="F774" s="21" t="s">
        <v>143</v>
      </c>
      <c r="G774" s="21" t="s">
        <v>100</v>
      </c>
      <c r="H774" s="21" t="s">
        <v>146</v>
      </c>
      <c r="I774" s="26">
        <v>2</v>
      </c>
      <c r="J774" s="26">
        <v>30</v>
      </c>
      <c r="K774" s="21" t="s">
        <v>52</v>
      </c>
      <c r="L774" s="27">
        <v>2661.8</v>
      </c>
      <c r="M774" s="21"/>
      <c r="N774" s="21"/>
      <c r="O774" s="21" t="s">
        <v>1547</v>
      </c>
      <c r="P774" s="21" t="s">
        <v>54</v>
      </c>
      <c r="Q774" s="28">
        <v>46150</v>
      </c>
      <c r="R774" s="29">
        <v>46149.4791319444</v>
      </c>
      <c r="S774" s="21" t="s">
        <v>145</v>
      </c>
      <c r="T774" s="21"/>
      <c r="U774" s="21" t="s">
        <v>142</v>
      </c>
      <c r="V774" s="29">
        <v>46149.4790856481</v>
      </c>
      <c r="W774">
        <f>VLOOKUP(H774,物料編碼!A:B,2,0)</f>
        <v>1300603041</v>
      </c>
      <c r="X774">
        <v>1300603</v>
      </c>
      <c r="Y774" t="str">
        <f>VLOOKUP(X774,物料編碼!D:G,4,0)</f>
        <v>帶骨全腿</v>
      </c>
      <c r="Z774" t="str">
        <f>VLOOKUP(C774,客戶屬性1!A:C,2,0)</f>
        <v>新昌冻肉</v>
      </c>
      <c r="AA774">
        <f>IF(COUNTIF($O$1:O774,O774)=1,L774,0)</f>
        <v>0</v>
      </c>
    </row>
    <row r="775" customHeight="1" spans="1:27">
      <c r="A775" s="21" t="s">
        <v>1546</v>
      </c>
      <c r="B775" s="21" t="s">
        <v>45</v>
      </c>
      <c r="C775" s="21" t="s">
        <v>141</v>
      </c>
      <c r="D775" s="21" t="s">
        <v>142</v>
      </c>
      <c r="E775" s="21" t="s">
        <v>142</v>
      </c>
      <c r="F775" s="21" t="s">
        <v>143</v>
      </c>
      <c r="G775" s="21" t="s">
        <v>100</v>
      </c>
      <c r="H775" s="21" t="s">
        <v>117</v>
      </c>
      <c r="I775" s="26">
        <v>3</v>
      </c>
      <c r="J775" s="26">
        <v>45</v>
      </c>
      <c r="K775" s="21" t="s">
        <v>52</v>
      </c>
      <c r="L775" s="27">
        <v>2661.8</v>
      </c>
      <c r="M775" s="21"/>
      <c r="N775" s="21"/>
      <c r="O775" s="21" t="s">
        <v>1547</v>
      </c>
      <c r="P775" s="21" t="s">
        <v>54</v>
      </c>
      <c r="Q775" s="28">
        <v>46150</v>
      </c>
      <c r="R775" s="29">
        <v>46149.4791319444</v>
      </c>
      <c r="S775" s="21" t="s">
        <v>145</v>
      </c>
      <c r="T775" s="21"/>
      <c r="U775" s="21" t="s">
        <v>142</v>
      </c>
      <c r="V775" s="29">
        <v>46149.4790856481</v>
      </c>
      <c r="W775">
        <f>VLOOKUP(H775,物料編碼!A:B,2,0)</f>
        <v>1300607015</v>
      </c>
      <c r="X775">
        <v>1300607</v>
      </c>
      <c r="Y775" t="str">
        <f>VLOOKUP(X775,物料編碼!D:G,4,0)</f>
        <v>帶皮腿扒</v>
      </c>
      <c r="Z775" t="str">
        <f>VLOOKUP(C775,客戶屬性1!A:C,2,0)</f>
        <v>新昌冻肉</v>
      </c>
      <c r="AA775">
        <f>IF(COUNTIF($O$1:O775,O775)=1,L775,0)</f>
        <v>0</v>
      </c>
    </row>
    <row r="776" customHeight="1" spans="1:27">
      <c r="A776" s="21" t="s">
        <v>1548</v>
      </c>
      <c r="B776" s="21" t="s">
        <v>45</v>
      </c>
      <c r="C776" s="21" t="s">
        <v>538</v>
      </c>
      <c r="D776" s="21" t="s">
        <v>539</v>
      </c>
      <c r="E776" s="21" t="s">
        <v>540</v>
      </c>
      <c r="F776" s="21" t="s">
        <v>49</v>
      </c>
      <c r="G776" s="21" t="s">
        <v>541</v>
      </c>
      <c r="H776" s="21" t="s">
        <v>63</v>
      </c>
      <c r="I776" s="26">
        <v>4</v>
      </c>
      <c r="J776" s="26">
        <v>100</v>
      </c>
      <c r="K776" s="21" t="s">
        <v>52</v>
      </c>
      <c r="L776" s="27">
        <v>3340</v>
      </c>
      <c r="M776" s="21"/>
      <c r="N776" s="21"/>
      <c r="O776" s="21" t="s">
        <v>1549</v>
      </c>
      <c r="P776" s="21" t="s">
        <v>54</v>
      </c>
      <c r="Q776" s="28">
        <v>46149</v>
      </c>
      <c r="R776" s="29">
        <v>46149.4254282407</v>
      </c>
      <c r="S776" s="21" t="s">
        <v>543</v>
      </c>
      <c r="T776" s="21"/>
      <c r="U776" s="21" t="s">
        <v>539</v>
      </c>
      <c r="V776" s="29">
        <v>46149.4253935185</v>
      </c>
      <c r="W776">
        <f>VLOOKUP(H776,物料編碼!A:B,2,0)</f>
        <v>1300109002</v>
      </c>
      <c r="X776">
        <v>1300109</v>
      </c>
      <c r="Y776" t="str">
        <f>VLOOKUP(X776,物料編碼!D:G,4,0)</f>
        <v>面精肉</v>
      </c>
      <c r="Z776" t="str">
        <f>VLOOKUP(C776,客戶屬性1!A:C,2,0)</f>
        <v>诚信冻肉有限公司</v>
      </c>
      <c r="AA776">
        <f>IF(COUNTIF($O$1:O776,O776)=1,L776,0)</f>
        <v>3340</v>
      </c>
    </row>
    <row r="777" customHeight="1" spans="1:27">
      <c r="A777" s="21" t="s">
        <v>1550</v>
      </c>
      <c r="B777" s="21" t="s">
        <v>45</v>
      </c>
      <c r="C777" s="21" t="s">
        <v>390</v>
      </c>
      <c r="D777" s="21" t="s">
        <v>391</v>
      </c>
      <c r="E777" s="21" t="s">
        <v>392</v>
      </c>
      <c r="F777" s="21" t="s">
        <v>49</v>
      </c>
      <c r="G777" s="21" t="s">
        <v>89</v>
      </c>
      <c r="H777" s="21" t="s">
        <v>161</v>
      </c>
      <c r="I777" s="26">
        <v>3</v>
      </c>
      <c r="J777" s="26">
        <v>60</v>
      </c>
      <c r="K777" s="21" t="s">
        <v>52</v>
      </c>
      <c r="L777" s="27">
        <v>5760</v>
      </c>
      <c r="M777" s="21"/>
      <c r="N777" s="21"/>
      <c r="O777" s="21" t="s">
        <v>1551</v>
      </c>
      <c r="P777" s="21" t="s">
        <v>54</v>
      </c>
      <c r="Q777" s="28">
        <v>46150</v>
      </c>
      <c r="R777" s="29">
        <v>46149.3986921296</v>
      </c>
      <c r="S777" s="21" t="s">
        <v>395</v>
      </c>
      <c r="T777" s="21"/>
      <c r="U777" s="21" t="s">
        <v>392</v>
      </c>
      <c r="V777" s="29">
        <v>46149.3986342593</v>
      </c>
      <c r="W777">
        <f>VLOOKUP(H777,物料編碼!A:B,2,0)</f>
        <v>1300501020</v>
      </c>
      <c r="X777">
        <v>1300501</v>
      </c>
      <c r="Y777" t="str">
        <f>VLOOKUP(X777,物料編碼!D:G,4,0)</f>
        <v>羊排</v>
      </c>
      <c r="Z777" t="str">
        <f>VLOOKUP(C777,客戶屬性1!A:C,2,0)</f>
        <v>美亚食品贸易有限公司</v>
      </c>
      <c r="AA777">
        <f>IF(COUNTIF($O$1:O777,O777)=1,L777,0)</f>
        <v>5760</v>
      </c>
    </row>
    <row r="778" customHeight="1" spans="1:27">
      <c r="A778" s="21" t="s">
        <v>1552</v>
      </c>
      <c r="B778" s="21" t="s">
        <v>45</v>
      </c>
      <c r="C778" s="21" t="s">
        <v>72</v>
      </c>
      <c r="D778" s="21" t="s">
        <v>73</v>
      </c>
      <c r="E778" s="21" t="s">
        <v>74</v>
      </c>
      <c r="F778" s="21" t="s">
        <v>49</v>
      </c>
      <c r="G778" s="21" t="s">
        <v>50</v>
      </c>
      <c r="H778" s="21" t="s">
        <v>450</v>
      </c>
      <c r="I778" s="26">
        <v>1</v>
      </c>
      <c r="J778" s="26">
        <v>20</v>
      </c>
      <c r="K778" s="21" t="s">
        <v>52</v>
      </c>
      <c r="L778" s="27">
        <v>1600</v>
      </c>
      <c r="M778" s="21"/>
      <c r="N778" s="21"/>
      <c r="O778" s="21" t="s">
        <v>1553</v>
      </c>
      <c r="P778" s="21" t="s">
        <v>54</v>
      </c>
      <c r="Q778" s="28">
        <v>46149</v>
      </c>
      <c r="R778" s="29">
        <v>46149.3668981481</v>
      </c>
      <c r="S778" s="21" t="s">
        <v>81</v>
      </c>
      <c r="T778" s="21"/>
      <c r="U778" s="21" t="s">
        <v>82</v>
      </c>
      <c r="V778" s="29">
        <v>46149.3668518519</v>
      </c>
      <c r="W778">
        <f>VLOOKUP(H778,物料編碼!A:B,2,0)</f>
        <v>1300501019</v>
      </c>
      <c r="X778">
        <v>1300501</v>
      </c>
      <c r="Y778" t="str">
        <f>VLOOKUP(X778,物料編碼!D:G,4,0)</f>
        <v>羊排</v>
      </c>
      <c r="Z778" t="str">
        <f>VLOOKUP(C778,客戶屬性1!A:C,2,0)</f>
        <v>恒辉贸易公司</v>
      </c>
      <c r="AA778">
        <f>IF(COUNTIF($O$1:O778,O778)=1,L778,0)</f>
        <v>1600</v>
      </c>
    </row>
    <row r="779" customHeight="1" spans="1:27">
      <c r="A779" s="21" t="s">
        <v>1554</v>
      </c>
      <c r="B779" s="21" t="s">
        <v>45</v>
      </c>
      <c r="C779" s="21" t="s">
        <v>158</v>
      </c>
      <c r="D779" s="21" t="s">
        <v>159</v>
      </c>
      <c r="E779" s="21" t="s">
        <v>160</v>
      </c>
      <c r="F779" s="21" t="s">
        <v>49</v>
      </c>
      <c r="G779" s="21" t="s">
        <v>68</v>
      </c>
      <c r="H779" s="21" t="s">
        <v>283</v>
      </c>
      <c r="I779" s="26">
        <v>2</v>
      </c>
      <c r="J779" s="26">
        <v>50</v>
      </c>
      <c r="K779" s="21" t="s">
        <v>52</v>
      </c>
      <c r="L779" s="27">
        <v>990</v>
      </c>
      <c r="M779" s="21"/>
      <c r="N779" s="21"/>
      <c r="O779" s="21" t="s">
        <v>1555</v>
      </c>
      <c r="P779" s="21" t="s">
        <v>54</v>
      </c>
      <c r="Q779" s="28">
        <v>46149</v>
      </c>
      <c r="R779" s="29">
        <v>46148.4890625</v>
      </c>
      <c r="S779" s="21" t="s">
        <v>163</v>
      </c>
      <c r="T779" s="21"/>
      <c r="U779" s="21" t="s">
        <v>164</v>
      </c>
      <c r="V779" s="29">
        <v>46148.4890162037</v>
      </c>
      <c r="W779">
        <f>VLOOKUP(H779,物料編碼!A:B,2,0)</f>
        <v>1300104005</v>
      </c>
      <c r="X779">
        <v>1300104</v>
      </c>
      <c r="Y779" t="str">
        <f>VLOOKUP(X779,物料編碼!D:G,4,0)</f>
        <v>四號肉</v>
      </c>
      <c r="Z779" t="str">
        <f>VLOOKUP(C779,客戶屬性1!A:C,2,0)</f>
        <v>先进食品国际有限公司</v>
      </c>
      <c r="AA779">
        <f>IF(COUNTIF($O$1:O779,O779)=1,L779,0)</f>
        <v>990</v>
      </c>
    </row>
    <row r="780" customHeight="1" spans="1:27">
      <c r="A780" s="21" t="s">
        <v>1556</v>
      </c>
      <c r="B780" s="21" t="s">
        <v>45</v>
      </c>
      <c r="C780" s="21" t="s">
        <v>72</v>
      </c>
      <c r="D780" s="21" t="s">
        <v>73</v>
      </c>
      <c r="E780" s="21" t="s">
        <v>74</v>
      </c>
      <c r="F780" s="21" t="s">
        <v>49</v>
      </c>
      <c r="G780" s="21" t="s">
        <v>50</v>
      </c>
      <c r="H780" s="21" t="s">
        <v>78</v>
      </c>
      <c r="I780" s="26">
        <v>1</v>
      </c>
      <c r="J780" s="26">
        <v>15</v>
      </c>
      <c r="K780" s="21" t="s">
        <v>52</v>
      </c>
      <c r="L780" s="27">
        <v>221.7</v>
      </c>
      <c r="M780" s="21"/>
      <c r="N780" s="21"/>
      <c r="O780" s="21" t="s">
        <v>1557</v>
      </c>
      <c r="P780" s="21" t="s">
        <v>54</v>
      </c>
      <c r="Q780" s="28">
        <v>46149</v>
      </c>
      <c r="R780" s="29">
        <v>46148.4886458333</v>
      </c>
      <c r="S780" s="21" t="s">
        <v>77</v>
      </c>
      <c r="T780" s="21"/>
      <c r="U780" s="21" t="s">
        <v>74</v>
      </c>
      <c r="V780" s="29">
        <v>46148.4886111111</v>
      </c>
      <c r="W780">
        <f>VLOOKUP(H780,物料編碼!A:B,2,0)</f>
        <v>1300607014</v>
      </c>
      <c r="X780">
        <v>1300607</v>
      </c>
      <c r="Y780" t="str">
        <f>VLOOKUP(X780,物料編碼!D:G,4,0)</f>
        <v>帶皮腿扒</v>
      </c>
      <c r="Z780" t="str">
        <f>VLOOKUP(C780,客戶屬性1!A:C,2,0)</f>
        <v>恒辉贸易公司</v>
      </c>
      <c r="AA780">
        <f>IF(COUNTIF($O$1:O780,O780)=1,L780,0)</f>
        <v>221.7</v>
      </c>
    </row>
    <row r="781" customHeight="1" spans="1:27">
      <c r="A781" s="21" t="s">
        <v>1558</v>
      </c>
      <c r="B781" s="21" t="s">
        <v>45</v>
      </c>
      <c r="C781" s="21" t="s">
        <v>197</v>
      </c>
      <c r="D781" s="21" t="s">
        <v>198</v>
      </c>
      <c r="E781" s="21" t="s">
        <v>199</v>
      </c>
      <c r="F781" s="21" t="s">
        <v>49</v>
      </c>
      <c r="G781" s="21" t="s">
        <v>136</v>
      </c>
      <c r="H781" s="21" t="s">
        <v>239</v>
      </c>
      <c r="I781" s="26">
        <v>15</v>
      </c>
      <c r="J781" s="26">
        <v>150</v>
      </c>
      <c r="K781" s="21" t="s">
        <v>52</v>
      </c>
      <c r="L781" s="27">
        <v>3225</v>
      </c>
      <c r="M781" s="21"/>
      <c r="N781" s="21"/>
      <c r="O781" s="21" t="s">
        <v>1559</v>
      </c>
      <c r="P781" s="21" t="s">
        <v>54</v>
      </c>
      <c r="Q781" s="28">
        <v>46149</v>
      </c>
      <c r="R781" s="29">
        <v>46148.4884375</v>
      </c>
      <c r="S781" s="21" t="s">
        <v>202</v>
      </c>
      <c r="T781" s="21"/>
      <c r="U781" s="21" t="s">
        <v>203</v>
      </c>
      <c r="V781" s="29">
        <v>46148.4883912037</v>
      </c>
      <c r="W781">
        <f>VLOOKUP(H781,物料編碼!A:B,2,0)</f>
        <v>1300904023</v>
      </c>
      <c r="X781">
        <v>1300904</v>
      </c>
      <c r="Y781" t="str">
        <f>VLOOKUP(X781,物料編碼!D:G,4,0)</f>
        <v>煙熏鴨胸</v>
      </c>
      <c r="Z781" t="str">
        <f>VLOOKUP(C781,客戶屬性1!A:C,2,0)</f>
        <v>信隆(亚洲)有限公司</v>
      </c>
      <c r="AA781">
        <f>IF(COUNTIF($O$1:O781,O781)=1,L781,0)</f>
        <v>3225</v>
      </c>
    </row>
    <row r="782" customHeight="1" spans="1:27">
      <c r="A782" s="21" t="s">
        <v>1560</v>
      </c>
      <c r="B782" s="21" t="s">
        <v>45</v>
      </c>
      <c r="C782" s="21" t="s">
        <v>141</v>
      </c>
      <c r="D782" s="21" t="s">
        <v>142</v>
      </c>
      <c r="E782" s="21" t="s">
        <v>142</v>
      </c>
      <c r="F782" s="21" t="s">
        <v>143</v>
      </c>
      <c r="G782" s="21" t="s">
        <v>100</v>
      </c>
      <c r="H782" s="21" t="s">
        <v>60</v>
      </c>
      <c r="I782" s="26">
        <v>1</v>
      </c>
      <c r="J782" s="26">
        <v>25</v>
      </c>
      <c r="K782" s="21" t="s">
        <v>52</v>
      </c>
      <c r="L782" s="27">
        <v>2511.7</v>
      </c>
      <c r="M782" s="21"/>
      <c r="N782" s="21"/>
      <c r="O782" s="21" t="s">
        <v>1561</v>
      </c>
      <c r="P782" s="21" t="s">
        <v>54</v>
      </c>
      <c r="Q782" s="28">
        <v>46149</v>
      </c>
      <c r="R782" s="29">
        <v>46148.475625</v>
      </c>
      <c r="S782" s="21" t="s">
        <v>145</v>
      </c>
      <c r="T782" s="21"/>
      <c r="U782" s="21" t="s">
        <v>142</v>
      </c>
      <c r="V782" s="29">
        <v>46148.4755671296</v>
      </c>
      <c r="W782">
        <f>VLOOKUP(H782,物料編碼!A:B,2,0)</f>
        <v>1300101043</v>
      </c>
      <c r="X782">
        <v>1300101</v>
      </c>
      <c r="Y782" t="str">
        <f>VLOOKUP(X782,物料編碼!D:G,4,0)</f>
        <v>一號肉</v>
      </c>
      <c r="Z782" t="str">
        <f>VLOOKUP(C782,客戶屬性1!A:C,2,0)</f>
        <v>新昌冻肉</v>
      </c>
      <c r="AA782">
        <f>IF(COUNTIF($O$1:O782,O782)=1,L782,0)</f>
        <v>2511.7</v>
      </c>
    </row>
    <row r="783" customHeight="1" spans="1:27">
      <c r="A783" s="21" t="s">
        <v>1560</v>
      </c>
      <c r="B783" s="21" t="s">
        <v>45</v>
      </c>
      <c r="C783" s="21" t="s">
        <v>141</v>
      </c>
      <c r="D783" s="21" t="s">
        <v>142</v>
      </c>
      <c r="E783" s="21" t="s">
        <v>142</v>
      </c>
      <c r="F783" s="21" t="s">
        <v>143</v>
      </c>
      <c r="G783" s="21" t="s">
        <v>100</v>
      </c>
      <c r="H783" s="21" t="s">
        <v>298</v>
      </c>
      <c r="I783" s="26">
        <v>1</v>
      </c>
      <c r="J783" s="26">
        <v>10</v>
      </c>
      <c r="K783" s="21" t="s">
        <v>52</v>
      </c>
      <c r="L783" s="27">
        <v>2511.7</v>
      </c>
      <c r="M783" s="21"/>
      <c r="N783" s="21"/>
      <c r="O783" s="21" t="s">
        <v>1561</v>
      </c>
      <c r="P783" s="21" t="s">
        <v>54</v>
      </c>
      <c r="Q783" s="28">
        <v>46149</v>
      </c>
      <c r="R783" s="29">
        <v>46148.475625</v>
      </c>
      <c r="S783" s="21" t="s">
        <v>145</v>
      </c>
      <c r="T783" s="21"/>
      <c r="U783" s="21" t="s">
        <v>142</v>
      </c>
      <c r="V783" s="29">
        <v>46148.4755671296</v>
      </c>
      <c r="W783">
        <f>VLOOKUP(H783,物料編碼!A:B,2,0)</f>
        <v>1300111003</v>
      </c>
      <c r="X783">
        <v>1300111</v>
      </c>
      <c r="Y783" t="str">
        <f>VLOOKUP(X783,物料編碼!D:G,4,0)</f>
        <v>寸骨</v>
      </c>
      <c r="Z783" t="str">
        <f>VLOOKUP(C783,客戶屬性1!A:C,2,0)</f>
        <v>新昌冻肉</v>
      </c>
      <c r="AA783">
        <f>IF(COUNTIF($O$1:O783,O783)=1,L783,0)</f>
        <v>0</v>
      </c>
    </row>
    <row r="784" customHeight="1" spans="1:27">
      <c r="A784" s="21" t="s">
        <v>1560</v>
      </c>
      <c r="B784" s="21" t="s">
        <v>45</v>
      </c>
      <c r="C784" s="21" t="s">
        <v>141</v>
      </c>
      <c r="D784" s="21" t="s">
        <v>142</v>
      </c>
      <c r="E784" s="21" t="s">
        <v>142</v>
      </c>
      <c r="F784" s="21" t="s">
        <v>143</v>
      </c>
      <c r="G784" s="21" t="s">
        <v>100</v>
      </c>
      <c r="H784" s="21" t="s">
        <v>302</v>
      </c>
      <c r="I784" s="26">
        <v>2</v>
      </c>
      <c r="J784" s="26">
        <v>24</v>
      </c>
      <c r="K784" s="21" t="s">
        <v>52</v>
      </c>
      <c r="L784" s="27">
        <v>2511.7</v>
      </c>
      <c r="M784" s="21"/>
      <c r="N784" s="21"/>
      <c r="O784" s="21" t="s">
        <v>1561</v>
      </c>
      <c r="P784" s="21" t="s">
        <v>54</v>
      </c>
      <c r="Q784" s="28">
        <v>46149</v>
      </c>
      <c r="R784" s="29">
        <v>46148.475625</v>
      </c>
      <c r="S784" s="21" t="s">
        <v>145</v>
      </c>
      <c r="T784" s="21"/>
      <c r="U784" s="21" t="s">
        <v>142</v>
      </c>
      <c r="V784" s="29">
        <v>46148.4755671296</v>
      </c>
      <c r="W784">
        <f>VLOOKUP(H784,物料編碼!A:B,2,0)</f>
        <v>1300609018</v>
      </c>
      <c r="X784">
        <v>1300609</v>
      </c>
      <c r="Y784" t="str">
        <f>VLOOKUP(X784,物料編碼!D:G,4,0)</f>
        <v>去皮上腿肉</v>
      </c>
      <c r="Z784" t="str">
        <f>VLOOKUP(C784,客戶屬性1!A:C,2,0)</f>
        <v>新昌冻肉</v>
      </c>
      <c r="AA784">
        <f>IF(COUNTIF($O$1:O784,O784)=1,L784,0)</f>
        <v>0</v>
      </c>
    </row>
    <row r="785" customHeight="1" spans="1:27">
      <c r="A785" s="21" t="s">
        <v>1560</v>
      </c>
      <c r="B785" s="21" t="s">
        <v>45</v>
      </c>
      <c r="C785" s="21" t="s">
        <v>141</v>
      </c>
      <c r="D785" s="21" t="s">
        <v>142</v>
      </c>
      <c r="E785" s="21" t="s">
        <v>142</v>
      </c>
      <c r="F785" s="21" t="s">
        <v>143</v>
      </c>
      <c r="G785" s="21" t="s">
        <v>100</v>
      </c>
      <c r="H785" s="21" t="s">
        <v>117</v>
      </c>
      <c r="I785" s="26">
        <v>3</v>
      </c>
      <c r="J785" s="26">
        <v>45</v>
      </c>
      <c r="K785" s="21" t="s">
        <v>52</v>
      </c>
      <c r="L785" s="27">
        <v>2511.7</v>
      </c>
      <c r="M785" s="21"/>
      <c r="N785" s="21"/>
      <c r="O785" s="21" t="s">
        <v>1561</v>
      </c>
      <c r="P785" s="21" t="s">
        <v>54</v>
      </c>
      <c r="Q785" s="28">
        <v>46149</v>
      </c>
      <c r="R785" s="29">
        <v>46148.475625</v>
      </c>
      <c r="S785" s="21" t="s">
        <v>145</v>
      </c>
      <c r="T785" s="21"/>
      <c r="U785" s="21" t="s">
        <v>142</v>
      </c>
      <c r="V785" s="29">
        <v>46148.4755671296</v>
      </c>
      <c r="W785">
        <f>VLOOKUP(H785,物料編碼!A:B,2,0)</f>
        <v>1300607015</v>
      </c>
      <c r="X785">
        <v>1300607</v>
      </c>
      <c r="Y785" t="str">
        <f>VLOOKUP(X785,物料編碼!D:G,4,0)</f>
        <v>帶皮腿扒</v>
      </c>
      <c r="Z785" t="str">
        <f>VLOOKUP(C785,客戶屬性1!A:C,2,0)</f>
        <v>新昌冻肉</v>
      </c>
      <c r="AA785">
        <f>IF(COUNTIF($O$1:O785,O785)=1,L785,0)</f>
        <v>0</v>
      </c>
    </row>
    <row r="786" customHeight="1" spans="1:27">
      <c r="A786" s="21" t="s">
        <v>1562</v>
      </c>
      <c r="B786" s="21" t="s">
        <v>45</v>
      </c>
      <c r="C786" s="21" t="s">
        <v>72</v>
      </c>
      <c r="D786" s="21" t="s">
        <v>73</v>
      </c>
      <c r="E786" s="21" t="s">
        <v>74</v>
      </c>
      <c r="F786" s="21" t="s">
        <v>49</v>
      </c>
      <c r="G786" s="21" t="s">
        <v>50</v>
      </c>
      <c r="H786" s="21" t="s">
        <v>283</v>
      </c>
      <c r="I786" s="26">
        <v>5</v>
      </c>
      <c r="J786" s="26">
        <v>125</v>
      </c>
      <c r="K786" s="21" t="s">
        <v>52</v>
      </c>
      <c r="L786" s="27">
        <v>2475</v>
      </c>
      <c r="M786" s="21"/>
      <c r="N786" s="21"/>
      <c r="O786" s="21" t="s">
        <v>1563</v>
      </c>
      <c r="P786" s="21" t="s">
        <v>54</v>
      </c>
      <c r="Q786" s="28">
        <v>46148</v>
      </c>
      <c r="R786" s="29">
        <v>46148.3958564815</v>
      </c>
      <c r="S786" s="21" t="s">
        <v>77</v>
      </c>
      <c r="T786" s="21"/>
      <c r="U786" s="21" t="s">
        <v>74</v>
      </c>
      <c r="V786" s="29">
        <v>46148.3958101852</v>
      </c>
      <c r="W786">
        <f>VLOOKUP(H786,物料編碼!A:B,2,0)</f>
        <v>1300104005</v>
      </c>
      <c r="X786">
        <v>1300104</v>
      </c>
      <c r="Y786" t="str">
        <f>VLOOKUP(X786,物料編碼!D:G,4,0)</f>
        <v>四號肉</v>
      </c>
      <c r="Z786" t="str">
        <f>VLOOKUP(C786,客戶屬性1!A:C,2,0)</f>
        <v>恒辉贸易公司</v>
      </c>
      <c r="AA786">
        <f>IF(COUNTIF($O$1:O786,O786)=1,L786,0)</f>
        <v>2475</v>
      </c>
    </row>
    <row r="787" customHeight="1" spans="1:27">
      <c r="A787" s="21" t="s">
        <v>1564</v>
      </c>
      <c r="B787" s="21" t="s">
        <v>45</v>
      </c>
      <c r="C787" s="21" t="s">
        <v>216</v>
      </c>
      <c r="D787" s="21" t="s">
        <v>217</v>
      </c>
      <c r="E787" s="21" t="s">
        <v>218</v>
      </c>
      <c r="F787" s="21" t="s">
        <v>49</v>
      </c>
      <c r="G787" s="21" t="s">
        <v>68</v>
      </c>
      <c r="H787" s="21" t="s">
        <v>219</v>
      </c>
      <c r="I787" s="26">
        <v>5</v>
      </c>
      <c r="J787" s="26">
        <v>50</v>
      </c>
      <c r="K787" s="21" t="s">
        <v>52</v>
      </c>
      <c r="L787" s="27">
        <v>5150</v>
      </c>
      <c r="M787" s="21"/>
      <c r="N787" s="21"/>
      <c r="O787" s="21" t="s">
        <v>1565</v>
      </c>
      <c r="P787" s="21" t="s">
        <v>54</v>
      </c>
      <c r="Q787" s="28">
        <v>46148</v>
      </c>
      <c r="R787" s="29">
        <v>46147.647025463</v>
      </c>
      <c r="S787" s="21" t="s">
        <v>221</v>
      </c>
      <c r="T787" s="21"/>
      <c r="U787" s="21" t="s">
        <v>222</v>
      </c>
      <c r="V787" s="29">
        <v>46147.6469791667</v>
      </c>
      <c r="W787">
        <f>VLOOKUP(H787,物料編碼!A:B,2,0)</f>
        <v>1300501022</v>
      </c>
      <c r="X787">
        <v>1300501</v>
      </c>
      <c r="Y787" t="str">
        <f>VLOOKUP(X787,物料編碼!D:G,4,0)</f>
        <v>羊排</v>
      </c>
      <c r="Z787" t="str">
        <f>VLOOKUP(C787,客戶屬性1!A:C,2,0)</f>
        <v>天恒食品有限公司</v>
      </c>
      <c r="AA787">
        <f>IF(COUNTIF($O$1:O787,O787)=1,L787,0)</f>
        <v>5150</v>
      </c>
    </row>
    <row r="788" customHeight="1" spans="1:27">
      <c r="A788" s="21" t="s">
        <v>1566</v>
      </c>
      <c r="B788" s="21" t="s">
        <v>45</v>
      </c>
      <c r="C788" s="21" t="s">
        <v>72</v>
      </c>
      <c r="D788" s="21" t="s">
        <v>73</v>
      </c>
      <c r="E788" s="21" t="s">
        <v>74</v>
      </c>
      <c r="F788" s="21" t="s">
        <v>49</v>
      </c>
      <c r="G788" s="21" t="s">
        <v>50</v>
      </c>
      <c r="H788" s="21" t="s">
        <v>117</v>
      </c>
      <c r="I788" s="26">
        <v>3</v>
      </c>
      <c r="J788" s="26">
        <v>45</v>
      </c>
      <c r="K788" s="21" t="s">
        <v>52</v>
      </c>
      <c r="L788" s="27">
        <v>665.1</v>
      </c>
      <c r="M788" s="21"/>
      <c r="N788" s="21"/>
      <c r="O788" s="21" t="s">
        <v>1567</v>
      </c>
      <c r="P788" s="21" t="s">
        <v>54</v>
      </c>
      <c r="Q788" s="28">
        <v>46148</v>
      </c>
      <c r="R788" s="29">
        <v>46147.6403009259</v>
      </c>
      <c r="S788" s="21" t="s">
        <v>377</v>
      </c>
      <c r="T788" s="21"/>
      <c r="U788" s="21" t="s">
        <v>82</v>
      </c>
      <c r="V788" s="29">
        <v>46147.6402662037</v>
      </c>
      <c r="W788">
        <f>VLOOKUP(H788,物料編碼!A:B,2,0)</f>
        <v>1300607015</v>
      </c>
      <c r="X788">
        <v>1300607</v>
      </c>
      <c r="Y788" t="str">
        <f>VLOOKUP(X788,物料編碼!D:G,4,0)</f>
        <v>帶皮腿扒</v>
      </c>
      <c r="Z788" t="str">
        <f>VLOOKUP(C788,客戶屬性1!A:C,2,0)</f>
        <v>恒辉贸易公司</v>
      </c>
      <c r="AA788">
        <f>IF(COUNTIF($O$1:O788,O788)=1,L788,0)</f>
        <v>665.1</v>
      </c>
    </row>
    <row r="789" customHeight="1" spans="1:27">
      <c r="A789" s="21" t="s">
        <v>1568</v>
      </c>
      <c r="B789" s="21" t="s">
        <v>45</v>
      </c>
      <c r="C789" s="21" t="s">
        <v>72</v>
      </c>
      <c r="D789" s="21" t="s">
        <v>73</v>
      </c>
      <c r="E789" s="21" t="s">
        <v>74</v>
      </c>
      <c r="F789" s="21" t="s">
        <v>49</v>
      </c>
      <c r="G789" s="21" t="s">
        <v>50</v>
      </c>
      <c r="H789" s="21" t="s">
        <v>117</v>
      </c>
      <c r="I789" s="26">
        <v>1</v>
      </c>
      <c r="J789" s="26">
        <v>15</v>
      </c>
      <c r="K789" s="21" t="s">
        <v>52</v>
      </c>
      <c r="L789" s="27">
        <v>221.7</v>
      </c>
      <c r="M789" s="21"/>
      <c r="N789" s="21"/>
      <c r="O789" s="21" t="s">
        <v>1569</v>
      </c>
      <c r="P789" s="21" t="s">
        <v>54</v>
      </c>
      <c r="Q789" s="28">
        <v>46148</v>
      </c>
      <c r="R789" s="29">
        <v>46147.6387962963</v>
      </c>
      <c r="S789" s="21" t="s">
        <v>377</v>
      </c>
      <c r="T789" s="21"/>
      <c r="U789" s="21" t="s">
        <v>82</v>
      </c>
      <c r="V789" s="29">
        <v>46147.6387615741</v>
      </c>
      <c r="W789">
        <f>VLOOKUP(H789,物料編碼!A:B,2,0)</f>
        <v>1300607015</v>
      </c>
      <c r="X789">
        <v>1300607</v>
      </c>
      <c r="Y789" t="str">
        <f>VLOOKUP(X789,物料編碼!D:G,4,0)</f>
        <v>帶皮腿扒</v>
      </c>
      <c r="Z789" t="str">
        <f>VLOOKUP(C789,客戶屬性1!A:C,2,0)</f>
        <v>恒辉贸易公司</v>
      </c>
      <c r="AA789">
        <f>IF(COUNTIF($O$1:O789,O789)=1,L789,0)</f>
        <v>221.7</v>
      </c>
    </row>
    <row r="790" customHeight="1" spans="1:27">
      <c r="A790" s="21" t="s">
        <v>1570</v>
      </c>
      <c r="B790" s="21" t="s">
        <v>45</v>
      </c>
      <c r="C790" s="21" t="s">
        <v>331</v>
      </c>
      <c r="D790" s="21" t="s">
        <v>332</v>
      </c>
      <c r="E790" s="21" t="s">
        <v>333</v>
      </c>
      <c r="F790" s="21" t="s">
        <v>49</v>
      </c>
      <c r="G790" s="21" t="s">
        <v>136</v>
      </c>
      <c r="H790" s="21" t="s">
        <v>219</v>
      </c>
      <c r="I790" s="26">
        <v>1</v>
      </c>
      <c r="J790" s="26">
        <v>10</v>
      </c>
      <c r="K790" s="21" t="s">
        <v>52</v>
      </c>
      <c r="L790" s="27">
        <v>1030</v>
      </c>
      <c r="M790" s="21"/>
      <c r="N790" s="21"/>
      <c r="O790" s="21" t="s">
        <v>1571</v>
      </c>
      <c r="P790" s="21" t="s">
        <v>54</v>
      </c>
      <c r="Q790" s="28">
        <v>46148</v>
      </c>
      <c r="R790" s="29">
        <v>46147.6161689815</v>
      </c>
      <c r="S790" s="21" t="s">
        <v>335</v>
      </c>
      <c r="T790" s="21"/>
      <c r="U790" s="21" t="s">
        <v>332</v>
      </c>
      <c r="V790" s="29">
        <v>46147.6161226852</v>
      </c>
      <c r="W790">
        <f>VLOOKUP(H790,物料編碼!A:B,2,0)</f>
        <v>1300501022</v>
      </c>
      <c r="X790">
        <v>1300501</v>
      </c>
      <c r="Y790" t="str">
        <f>VLOOKUP(X790,物料編碼!D:G,4,0)</f>
        <v>羊排</v>
      </c>
      <c r="Z790" t="str">
        <f>VLOOKUP(C790,客戶屬性1!A:C,2,0)</f>
        <v>天后肉食有限公司</v>
      </c>
      <c r="AA790">
        <f>IF(COUNTIF($O$1:O790,O790)=1,L790,0)</f>
        <v>1030</v>
      </c>
    </row>
    <row r="791" customHeight="1" spans="1:27">
      <c r="A791" s="21" t="s">
        <v>1572</v>
      </c>
      <c r="B791" s="21" t="s">
        <v>45</v>
      </c>
      <c r="C791" s="21" t="s">
        <v>114</v>
      </c>
      <c r="D791" s="21" t="s">
        <v>115</v>
      </c>
      <c r="E791" s="21" t="s">
        <v>116</v>
      </c>
      <c r="F791" s="21" t="s">
        <v>49</v>
      </c>
      <c r="G791" s="21" t="s">
        <v>100</v>
      </c>
      <c r="H791" s="21" t="s">
        <v>219</v>
      </c>
      <c r="I791" s="26">
        <v>2</v>
      </c>
      <c r="J791" s="26">
        <v>20</v>
      </c>
      <c r="K791" s="21" t="s">
        <v>52</v>
      </c>
      <c r="L791" s="27">
        <v>2060</v>
      </c>
      <c r="M791" s="21"/>
      <c r="N791" s="21"/>
      <c r="O791" s="21" t="s">
        <v>1573</v>
      </c>
      <c r="P791" s="21" t="s">
        <v>54</v>
      </c>
      <c r="Q791" s="28">
        <v>46148</v>
      </c>
      <c r="R791" s="29">
        <v>46147.5922337963</v>
      </c>
      <c r="S791" s="21" t="s">
        <v>119</v>
      </c>
      <c r="T791" s="21"/>
      <c r="U791" s="21" t="s">
        <v>115</v>
      </c>
      <c r="V791" s="29">
        <v>46147.5921875</v>
      </c>
      <c r="W791">
        <f>VLOOKUP(H791,物料編碼!A:B,2,0)</f>
        <v>1300501022</v>
      </c>
      <c r="X791">
        <v>1300501</v>
      </c>
      <c r="Y791" t="str">
        <f>VLOOKUP(X791,物料編碼!D:G,4,0)</f>
        <v>羊排</v>
      </c>
      <c r="Z791" t="str">
        <f>VLOOKUP(C791,客戶屬性1!A:C,2,0)</f>
        <v>骏利贸易公司</v>
      </c>
      <c r="AA791">
        <f>IF(COUNTIF($O$1:O791,O791)=1,L791,0)</f>
        <v>2060</v>
      </c>
    </row>
    <row r="792" customHeight="1" spans="1:27">
      <c r="A792" s="21" t="s">
        <v>1574</v>
      </c>
      <c r="B792" s="21" t="s">
        <v>45</v>
      </c>
      <c r="C792" s="21" t="s">
        <v>158</v>
      </c>
      <c r="D792" s="21" t="s">
        <v>159</v>
      </c>
      <c r="E792" s="21" t="s">
        <v>160</v>
      </c>
      <c r="F792" s="21" t="s">
        <v>49</v>
      </c>
      <c r="G792" s="21" t="s">
        <v>68</v>
      </c>
      <c r="H792" s="21" t="s">
        <v>283</v>
      </c>
      <c r="I792" s="26">
        <v>2</v>
      </c>
      <c r="J792" s="26">
        <v>50</v>
      </c>
      <c r="K792" s="21" t="s">
        <v>52</v>
      </c>
      <c r="L792" s="27">
        <v>990</v>
      </c>
      <c r="M792" s="21"/>
      <c r="N792" s="21"/>
      <c r="O792" s="21" t="s">
        <v>1575</v>
      </c>
      <c r="P792" s="21" t="s">
        <v>54</v>
      </c>
      <c r="Q792" s="28">
        <v>46148</v>
      </c>
      <c r="R792" s="29">
        <v>46147.5485532407</v>
      </c>
      <c r="S792" s="21" t="s">
        <v>163</v>
      </c>
      <c r="T792" s="21"/>
      <c r="U792" s="21" t="s">
        <v>164</v>
      </c>
      <c r="V792" s="29">
        <v>46147.5485069444</v>
      </c>
      <c r="W792">
        <f>VLOOKUP(H792,物料編碼!A:B,2,0)</f>
        <v>1300104005</v>
      </c>
      <c r="X792">
        <v>1300104</v>
      </c>
      <c r="Y792" t="str">
        <f>VLOOKUP(X792,物料編碼!D:G,4,0)</f>
        <v>四號肉</v>
      </c>
      <c r="Z792" t="str">
        <f>VLOOKUP(C792,客戶屬性1!A:C,2,0)</f>
        <v>先进食品国际有限公司</v>
      </c>
      <c r="AA792">
        <f>IF(COUNTIF($O$1:O792,O792)=1,L792,0)</f>
        <v>990</v>
      </c>
    </row>
    <row r="793" customHeight="1" spans="1:27">
      <c r="A793" s="21" t="s">
        <v>1576</v>
      </c>
      <c r="B793" s="21" t="s">
        <v>45</v>
      </c>
      <c r="C793" s="21" t="s">
        <v>158</v>
      </c>
      <c r="D793" s="21" t="s">
        <v>159</v>
      </c>
      <c r="E793" s="21" t="s">
        <v>160</v>
      </c>
      <c r="F793" s="21" t="s">
        <v>49</v>
      </c>
      <c r="G793" s="21" t="s">
        <v>68</v>
      </c>
      <c r="H793" s="21" t="s">
        <v>283</v>
      </c>
      <c r="I793" s="26">
        <v>2</v>
      </c>
      <c r="J793" s="26">
        <v>50</v>
      </c>
      <c r="K793" s="21" t="s">
        <v>52</v>
      </c>
      <c r="L793" s="27">
        <v>990</v>
      </c>
      <c r="M793" s="21"/>
      <c r="N793" s="21"/>
      <c r="O793" s="21" t="s">
        <v>1577</v>
      </c>
      <c r="P793" s="21" t="s">
        <v>54</v>
      </c>
      <c r="Q793" s="28">
        <v>46148</v>
      </c>
      <c r="R793" s="29">
        <v>46147.5463657407</v>
      </c>
      <c r="S793" s="21" t="s">
        <v>163</v>
      </c>
      <c r="T793" s="21"/>
      <c r="U793" s="21" t="s">
        <v>164</v>
      </c>
      <c r="V793" s="29">
        <v>46147.5463194444</v>
      </c>
      <c r="W793">
        <f>VLOOKUP(H793,物料編碼!A:B,2,0)</f>
        <v>1300104005</v>
      </c>
      <c r="X793">
        <v>1300104</v>
      </c>
      <c r="Y793" t="str">
        <f>VLOOKUP(X793,物料編碼!D:G,4,0)</f>
        <v>四號肉</v>
      </c>
      <c r="Z793" t="str">
        <f>VLOOKUP(C793,客戶屬性1!A:C,2,0)</f>
        <v>先进食品国际有限公司</v>
      </c>
      <c r="AA793">
        <f>IF(COUNTIF($O$1:O793,O793)=1,L793,0)</f>
        <v>990</v>
      </c>
    </row>
    <row r="794" customHeight="1" spans="1:27">
      <c r="A794" s="21" t="s">
        <v>1578</v>
      </c>
      <c r="B794" s="21" t="s">
        <v>45</v>
      </c>
      <c r="C794" s="21" t="s">
        <v>114</v>
      </c>
      <c r="D794" s="21" t="s">
        <v>115</v>
      </c>
      <c r="E794" s="21" t="s">
        <v>116</v>
      </c>
      <c r="F794" s="21" t="s">
        <v>49</v>
      </c>
      <c r="G794" s="21" t="s">
        <v>100</v>
      </c>
      <c r="H794" s="21" t="s">
        <v>117</v>
      </c>
      <c r="I794" s="26">
        <v>3</v>
      </c>
      <c r="J794" s="26">
        <v>45</v>
      </c>
      <c r="K794" s="21" t="s">
        <v>52</v>
      </c>
      <c r="L794" s="27">
        <v>665.1</v>
      </c>
      <c r="M794" s="21"/>
      <c r="N794" s="21"/>
      <c r="O794" s="21" t="s">
        <v>1579</v>
      </c>
      <c r="P794" s="21" t="s">
        <v>54</v>
      </c>
      <c r="Q794" s="28">
        <v>46148</v>
      </c>
      <c r="R794" s="29">
        <v>46147.4870717593</v>
      </c>
      <c r="S794" s="21" t="s">
        <v>119</v>
      </c>
      <c r="T794" s="21"/>
      <c r="U794" s="21" t="s">
        <v>115</v>
      </c>
      <c r="V794" s="29">
        <v>46147.487037037</v>
      </c>
      <c r="W794">
        <f>VLOOKUP(H794,物料編碼!A:B,2,0)</f>
        <v>1300607015</v>
      </c>
      <c r="X794">
        <v>1300607</v>
      </c>
      <c r="Y794" t="str">
        <f>VLOOKUP(X794,物料編碼!D:G,4,0)</f>
        <v>帶皮腿扒</v>
      </c>
      <c r="Z794" t="str">
        <f>VLOOKUP(C794,客戶屬性1!A:C,2,0)</f>
        <v>骏利贸易公司</v>
      </c>
      <c r="AA794">
        <f>IF(COUNTIF($O$1:O794,O794)=1,L794,0)</f>
        <v>665.1</v>
      </c>
    </row>
    <row r="795" customHeight="1" spans="1:27">
      <c r="A795" s="21" t="s">
        <v>1580</v>
      </c>
      <c r="B795" s="21" t="s">
        <v>45</v>
      </c>
      <c r="C795" s="21" t="s">
        <v>141</v>
      </c>
      <c r="D795" s="21" t="s">
        <v>142</v>
      </c>
      <c r="E795" s="21" t="s">
        <v>142</v>
      </c>
      <c r="F795" s="21" t="s">
        <v>143</v>
      </c>
      <c r="G795" s="21" t="s">
        <v>100</v>
      </c>
      <c r="H795" s="21" t="s">
        <v>302</v>
      </c>
      <c r="I795" s="26">
        <v>2</v>
      </c>
      <c r="J795" s="26">
        <v>24</v>
      </c>
      <c r="K795" s="21" t="s">
        <v>52</v>
      </c>
      <c r="L795" s="27">
        <v>1423.8</v>
      </c>
      <c r="M795" s="21"/>
      <c r="N795" s="21"/>
      <c r="O795" s="21" t="s">
        <v>1581</v>
      </c>
      <c r="P795" s="21" t="s">
        <v>54</v>
      </c>
      <c r="Q795" s="28">
        <v>46148</v>
      </c>
      <c r="R795" s="29">
        <v>46147.4809259259</v>
      </c>
      <c r="S795" s="21" t="s">
        <v>145</v>
      </c>
      <c r="T795" s="21"/>
      <c r="U795" s="21" t="s">
        <v>142</v>
      </c>
      <c r="V795" s="29">
        <v>46147.4808912037</v>
      </c>
      <c r="W795">
        <f>VLOOKUP(H795,物料編碼!A:B,2,0)</f>
        <v>1300609018</v>
      </c>
      <c r="X795">
        <v>1300609</v>
      </c>
      <c r="Y795" t="str">
        <f>VLOOKUP(X795,物料編碼!D:G,4,0)</f>
        <v>去皮上腿肉</v>
      </c>
      <c r="Z795" t="str">
        <f>VLOOKUP(C795,客戶屬性1!A:C,2,0)</f>
        <v>新昌冻肉</v>
      </c>
      <c r="AA795">
        <f>IF(COUNTIF($O$1:O795,O795)=1,L795,0)</f>
        <v>1423.8</v>
      </c>
    </row>
    <row r="796" customHeight="1" spans="1:27">
      <c r="A796" s="21" t="s">
        <v>1580</v>
      </c>
      <c r="B796" s="21" t="s">
        <v>45</v>
      </c>
      <c r="C796" s="21" t="s">
        <v>141</v>
      </c>
      <c r="D796" s="21" t="s">
        <v>142</v>
      </c>
      <c r="E796" s="21" t="s">
        <v>142</v>
      </c>
      <c r="F796" s="21" t="s">
        <v>143</v>
      </c>
      <c r="G796" s="21" t="s">
        <v>100</v>
      </c>
      <c r="H796" s="21" t="s">
        <v>146</v>
      </c>
      <c r="I796" s="26">
        <v>2</v>
      </c>
      <c r="J796" s="26">
        <v>30</v>
      </c>
      <c r="K796" s="21" t="s">
        <v>52</v>
      </c>
      <c r="L796" s="27">
        <v>1423.8</v>
      </c>
      <c r="M796" s="21"/>
      <c r="N796" s="21"/>
      <c r="O796" s="21" t="s">
        <v>1581</v>
      </c>
      <c r="P796" s="21" t="s">
        <v>54</v>
      </c>
      <c r="Q796" s="28">
        <v>46148</v>
      </c>
      <c r="R796" s="29">
        <v>46147.4809259259</v>
      </c>
      <c r="S796" s="21" t="s">
        <v>145</v>
      </c>
      <c r="T796" s="21"/>
      <c r="U796" s="21" t="s">
        <v>142</v>
      </c>
      <c r="V796" s="29">
        <v>46147.4808912037</v>
      </c>
      <c r="W796">
        <f>VLOOKUP(H796,物料編碼!A:B,2,0)</f>
        <v>1300603041</v>
      </c>
      <c r="X796">
        <v>1300603</v>
      </c>
      <c r="Y796" t="str">
        <f>VLOOKUP(X796,物料編碼!D:G,4,0)</f>
        <v>帶骨全腿</v>
      </c>
      <c r="Z796" t="str">
        <f>VLOOKUP(C796,客戶屬性1!A:C,2,0)</f>
        <v>新昌冻肉</v>
      </c>
      <c r="AA796">
        <f>IF(COUNTIF($O$1:O796,O796)=1,L796,0)</f>
        <v>0</v>
      </c>
    </row>
    <row r="797" customHeight="1" spans="1:27">
      <c r="A797" s="21" t="s">
        <v>1580</v>
      </c>
      <c r="B797" s="21" t="s">
        <v>45</v>
      </c>
      <c r="C797" s="21" t="s">
        <v>141</v>
      </c>
      <c r="D797" s="21" t="s">
        <v>142</v>
      </c>
      <c r="E797" s="21" t="s">
        <v>142</v>
      </c>
      <c r="F797" s="21" t="s">
        <v>143</v>
      </c>
      <c r="G797" s="21" t="s">
        <v>100</v>
      </c>
      <c r="H797" s="21" t="s">
        <v>117</v>
      </c>
      <c r="I797" s="26">
        <v>3</v>
      </c>
      <c r="J797" s="26">
        <v>45</v>
      </c>
      <c r="K797" s="21" t="s">
        <v>52</v>
      </c>
      <c r="L797" s="27">
        <v>1423.8</v>
      </c>
      <c r="M797" s="21"/>
      <c r="N797" s="21"/>
      <c r="O797" s="21" t="s">
        <v>1581</v>
      </c>
      <c r="P797" s="21" t="s">
        <v>54</v>
      </c>
      <c r="Q797" s="28">
        <v>46148</v>
      </c>
      <c r="R797" s="29">
        <v>46147.4809259259</v>
      </c>
      <c r="S797" s="21" t="s">
        <v>145</v>
      </c>
      <c r="T797" s="21"/>
      <c r="U797" s="21" t="s">
        <v>142</v>
      </c>
      <c r="V797" s="29">
        <v>46147.4808912037</v>
      </c>
      <c r="W797">
        <f>VLOOKUP(H797,物料編碼!A:B,2,0)</f>
        <v>1300607015</v>
      </c>
      <c r="X797">
        <v>1300607</v>
      </c>
      <c r="Y797" t="str">
        <f>VLOOKUP(X797,物料編碼!D:G,4,0)</f>
        <v>帶皮腿扒</v>
      </c>
      <c r="Z797" t="str">
        <f>VLOOKUP(C797,客戶屬性1!A:C,2,0)</f>
        <v>新昌冻肉</v>
      </c>
      <c r="AA797">
        <f>IF(COUNTIF($O$1:O797,O797)=1,L797,0)</f>
        <v>0</v>
      </c>
    </row>
    <row r="798" customHeight="1" spans="1:27">
      <c r="A798" s="21" t="s">
        <v>1582</v>
      </c>
      <c r="B798" s="21" t="s">
        <v>45</v>
      </c>
      <c r="C798" s="21" t="s">
        <v>1583</v>
      </c>
      <c r="D798" s="21" t="s">
        <v>1584</v>
      </c>
      <c r="E798" s="21" t="s">
        <v>1585</v>
      </c>
      <c r="F798" s="21" t="s">
        <v>49</v>
      </c>
      <c r="G798" s="21" t="s">
        <v>68</v>
      </c>
      <c r="H798" s="21" t="s">
        <v>190</v>
      </c>
      <c r="I798" s="26">
        <v>5</v>
      </c>
      <c r="J798" s="26">
        <v>60</v>
      </c>
      <c r="K798" s="21" t="s">
        <v>52</v>
      </c>
      <c r="L798" s="27">
        <v>942</v>
      </c>
      <c r="M798" s="21"/>
      <c r="N798" s="21"/>
      <c r="O798" s="21" t="s">
        <v>1586</v>
      </c>
      <c r="P798" s="21" t="s">
        <v>54</v>
      </c>
      <c r="Q798" s="28">
        <v>46148</v>
      </c>
      <c r="R798" s="29">
        <v>46147.4803009259</v>
      </c>
      <c r="S798" s="21" t="s">
        <v>1587</v>
      </c>
      <c r="T798" s="21"/>
      <c r="U798" s="21" t="s">
        <v>1588</v>
      </c>
      <c r="V798" s="29">
        <v>46147.4802430556</v>
      </c>
      <c r="W798">
        <f>VLOOKUP(H798,物料編碼!A:B,2,0)</f>
        <v>1300609001</v>
      </c>
      <c r="X798">
        <v>1300609</v>
      </c>
      <c r="Y798" t="str">
        <f>VLOOKUP(X798,物料編碼!D:G,4,0)</f>
        <v>去皮上腿肉</v>
      </c>
      <c r="Z798" t="str">
        <f>VLOOKUP(C798,客戶屬性1!A:C,2,0)</f>
        <v>新田食品贸易有限公司</v>
      </c>
      <c r="AA798">
        <f>IF(COUNTIF($O$1:O798,O798)=1,L798,0)</f>
        <v>942</v>
      </c>
    </row>
    <row r="799" customHeight="1" spans="1:27">
      <c r="A799" s="21" t="s">
        <v>1589</v>
      </c>
      <c r="B799" s="21" t="s">
        <v>45</v>
      </c>
      <c r="C799" s="21" t="s">
        <v>46</v>
      </c>
      <c r="D799" s="21" t="s">
        <v>47</v>
      </c>
      <c r="E799" s="21" t="s">
        <v>48</v>
      </c>
      <c r="F799" s="21" t="s">
        <v>49</v>
      </c>
      <c r="G799" s="21" t="s">
        <v>50</v>
      </c>
      <c r="H799" s="21" t="s">
        <v>219</v>
      </c>
      <c r="I799" s="26">
        <v>1</v>
      </c>
      <c r="J799" s="26">
        <v>10</v>
      </c>
      <c r="K799" s="21" t="s">
        <v>52</v>
      </c>
      <c r="L799" s="27">
        <v>1030</v>
      </c>
      <c r="M799" s="21"/>
      <c r="N799" s="21"/>
      <c r="O799" s="21" t="s">
        <v>1590</v>
      </c>
      <c r="P799" s="21" t="s">
        <v>54</v>
      </c>
      <c r="Q799" s="28">
        <v>46147</v>
      </c>
      <c r="R799" s="29">
        <v>46147.4427199074</v>
      </c>
      <c r="S799" s="21" t="s">
        <v>55</v>
      </c>
      <c r="T799" s="21"/>
      <c r="U799" s="21" t="s">
        <v>47</v>
      </c>
      <c r="V799" s="29">
        <v>46147.442662037</v>
      </c>
      <c r="W799">
        <f>VLOOKUP(H799,物料編碼!A:B,2,0)</f>
        <v>1300501022</v>
      </c>
      <c r="X799">
        <v>1300501</v>
      </c>
      <c r="Y799" t="str">
        <f>VLOOKUP(X799,物料編碼!D:G,4,0)</f>
        <v>羊排</v>
      </c>
      <c r="Z799" t="str">
        <f>VLOOKUP(C799,客戶屬性1!A:C,2,0)</f>
        <v>明记冻肉</v>
      </c>
      <c r="AA799">
        <f>IF(COUNTIF($O$1:O799,O799)=1,L799,0)</f>
        <v>1030</v>
      </c>
    </row>
    <row r="800" customHeight="1" spans="1:27">
      <c r="A800" s="21" t="s">
        <v>1591</v>
      </c>
      <c r="B800" s="21" t="s">
        <v>45</v>
      </c>
      <c r="C800" s="21" t="s">
        <v>331</v>
      </c>
      <c r="D800" s="21" t="s">
        <v>332</v>
      </c>
      <c r="E800" s="21" t="s">
        <v>333</v>
      </c>
      <c r="F800" s="21" t="s">
        <v>49</v>
      </c>
      <c r="G800" s="21" t="s">
        <v>136</v>
      </c>
      <c r="H800" s="21" t="s">
        <v>219</v>
      </c>
      <c r="I800" s="26">
        <v>1</v>
      </c>
      <c r="J800" s="26">
        <v>10</v>
      </c>
      <c r="K800" s="21" t="s">
        <v>52</v>
      </c>
      <c r="L800" s="27">
        <v>1030</v>
      </c>
      <c r="M800" s="21"/>
      <c r="N800" s="21"/>
      <c r="O800" s="21" t="s">
        <v>1592</v>
      </c>
      <c r="P800" s="21" t="s">
        <v>183</v>
      </c>
      <c r="Q800" s="28">
        <v>46148</v>
      </c>
      <c r="R800" s="29">
        <v>46147.4356481481</v>
      </c>
      <c r="S800" s="21" t="s">
        <v>335</v>
      </c>
      <c r="T800" s="21"/>
      <c r="U800" s="21" t="s">
        <v>332</v>
      </c>
      <c r="V800" s="29">
        <v>46147.4356134259</v>
      </c>
      <c r="W800">
        <f>VLOOKUP(H800,物料編碼!A:B,2,0)</f>
        <v>1300501022</v>
      </c>
      <c r="X800">
        <v>1300501</v>
      </c>
      <c r="Y800" t="str">
        <f>VLOOKUP(X800,物料編碼!D:G,4,0)</f>
        <v>羊排</v>
      </c>
      <c r="Z800" t="str">
        <f>VLOOKUP(C800,客戶屬性1!A:C,2,0)</f>
        <v>天后肉食有限公司</v>
      </c>
      <c r="AA800">
        <f>IF(COUNTIF($O$1:O800,O800)=1,L800,0)</f>
        <v>1030</v>
      </c>
    </row>
    <row r="801" customHeight="1" spans="1:27">
      <c r="A801" s="21" t="s">
        <v>1593</v>
      </c>
      <c r="B801" s="21" t="s">
        <v>45</v>
      </c>
      <c r="C801" s="21" t="s">
        <v>538</v>
      </c>
      <c r="D801" s="21" t="s">
        <v>539</v>
      </c>
      <c r="E801" s="21" t="s">
        <v>540</v>
      </c>
      <c r="F801" s="21" t="s">
        <v>49</v>
      </c>
      <c r="G801" s="21" t="s">
        <v>541</v>
      </c>
      <c r="H801" s="21" t="s">
        <v>402</v>
      </c>
      <c r="I801" s="26">
        <v>2</v>
      </c>
      <c r="J801" s="26">
        <v>20</v>
      </c>
      <c r="K801" s="21" t="s">
        <v>52</v>
      </c>
      <c r="L801" s="27">
        <v>272</v>
      </c>
      <c r="M801" s="21"/>
      <c r="N801" s="21"/>
      <c r="O801" s="21" t="s">
        <v>1594</v>
      </c>
      <c r="P801" s="21" t="s">
        <v>54</v>
      </c>
      <c r="Q801" s="28">
        <v>46147</v>
      </c>
      <c r="R801" s="29">
        <v>46147.4346527778</v>
      </c>
      <c r="S801" s="21" t="s">
        <v>543</v>
      </c>
      <c r="T801" s="21"/>
      <c r="U801" s="21" t="s">
        <v>539</v>
      </c>
      <c r="V801" s="29">
        <v>46147.4346064815</v>
      </c>
      <c r="W801">
        <f>VLOOKUP(H801,物料編碼!A:B,2,0)</f>
        <v>1300903002</v>
      </c>
      <c r="X801">
        <v>1300903</v>
      </c>
      <c r="Y801" t="str">
        <f>VLOOKUP(X801,物料編碼!D:G,4,0)</f>
        <v>生鴨胸</v>
      </c>
      <c r="Z801" t="str">
        <f>VLOOKUP(C801,客戶屬性1!A:C,2,0)</f>
        <v>诚信冻肉有限公司</v>
      </c>
      <c r="AA801">
        <f>IF(COUNTIF($O$1:O801,O801)=1,L801,0)</f>
        <v>272</v>
      </c>
    </row>
    <row r="802" customHeight="1" spans="1:27">
      <c r="A802" s="21" t="s">
        <v>1595</v>
      </c>
      <c r="B802" s="21" t="s">
        <v>45</v>
      </c>
      <c r="C802" s="21" t="s">
        <v>235</v>
      </c>
      <c r="D802" s="21" t="s">
        <v>236</v>
      </c>
      <c r="E802" s="21" t="s">
        <v>237</v>
      </c>
      <c r="F802" s="21" t="s">
        <v>49</v>
      </c>
      <c r="G802" s="21" t="s">
        <v>238</v>
      </c>
      <c r="H802" s="21" t="s">
        <v>190</v>
      </c>
      <c r="I802" s="26">
        <v>10</v>
      </c>
      <c r="J802" s="26">
        <v>120</v>
      </c>
      <c r="K802" s="21" t="s">
        <v>52</v>
      </c>
      <c r="L802" s="27">
        <v>1884</v>
      </c>
      <c r="M802" s="21"/>
      <c r="N802" s="21"/>
      <c r="O802" s="21" t="s">
        <v>1596</v>
      </c>
      <c r="P802" s="21" t="s">
        <v>54</v>
      </c>
      <c r="Q802" s="28">
        <v>46147</v>
      </c>
      <c r="R802" s="29">
        <v>46147.4168865741</v>
      </c>
      <c r="S802" s="21" t="s">
        <v>241</v>
      </c>
      <c r="T802" s="21"/>
      <c r="U802" s="21" t="s">
        <v>237</v>
      </c>
      <c r="V802" s="29">
        <v>46147.4168287037</v>
      </c>
      <c r="W802">
        <f>VLOOKUP(H802,物料編碼!A:B,2,0)</f>
        <v>1300609001</v>
      </c>
      <c r="X802">
        <v>1300609</v>
      </c>
      <c r="Y802" t="str">
        <f>VLOOKUP(X802,物料編碼!D:G,4,0)</f>
        <v>去皮上腿肉</v>
      </c>
      <c r="Z802" t="str">
        <f>VLOOKUP(C802,客戶屬性1!A:C,2,0)</f>
        <v>联合林记食品有限公司</v>
      </c>
      <c r="AA802">
        <f>IF(COUNTIF($O$1:O802,O802)=1,L802,0)</f>
        <v>1884</v>
      </c>
    </row>
    <row r="803" customHeight="1" spans="1:27">
      <c r="A803" s="21" t="s">
        <v>1597</v>
      </c>
      <c r="B803" s="21" t="s">
        <v>45</v>
      </c>
      <c r="C803" s="21" t="s">
        <v>72</v>
      </c>
      <c r="D803" s="21" t="s">
        <v>73</v>
      </c>
      <c r="E803" s="21" t="s">
        <v>74</v>
      </c>
      <c r="F803" s="21" t="s">
        <v>49</v>
      </c>
      <c r="G803" s="21" t="s">
        <v>50</v>
      </c>
      <c r="H803" s="21" t="s">
        <v>78</v>
      </c>
      <c r="I803" s="26">
        <v>1</v>
      </c>
      <c r="J803" s="26">
        <v>15</v>
      </c>
      <c r="K803" s="21" t="s">
        <v>52</v>
      </c>
      <c r="L803" s="27">
        <v>221.7</v>
      </c>
      <c r="M803" s="21"/>
      <c r="N803" s="21"/>
      <c r="O803" s="21" t="s">
        <v>1598</v>
      </c>
      <c r="P803" s="21" t="s">
        <v>54</v>
      </c>
      <c r="Q803" s="28">
        <v>46147</v>
      </c>
      <c r="R803" s="29">
        <v>46147.4119675926</v>
      </c>
      <c r="S803" s="21" t="s">
        <v>81</v>
      </c>
      <c r="T803" s="21"/>
      <c r="U803" s="21" t="s">
        <v>82</v>
      </c>
      <c r="V803" s="29">
        <v>46147.4119212963</v>
      </c>
      <c r="W803">
        <f>VLOOKUP(H803,物料編碼!A:B,2,0)</f>
        <v>1300607014</v>
      </c>
      <c r="X803">
        <v>1300607</v>
      </c>
      <c r="Y803" t="str">
        <f>VLOOKUP(X803,物料編碼!D:G,4,0)</f>
        <v>帶皮腿扒</v>
      </c>
      <c r="Z803" t="str">
        <f>VLOOKUP(C803,客戶屬性1!A:C,2,0)</f>
        <v>恒辉贸易公司</v>
      </c>
      <c r="AA803">
        <f>IF(COUNTIF($O$1:O803,O803)=1,L803,0)</f>
        <v>221.7</v>
      </c>
    </row>
    <row r="804" customHeight="1" spans="1:27">
      <c r="A804" s="21" t="s">
        <v>1599</v>
      </c>
      <c r="B804" s="21" t="s">
        <v>45</v>
      </c>
      <c r="C804" s="21" t="s">
        <v>57</v>
      </c>
      <c r="D804" s="21" t="s">
        <v>58</v>
      </c>
      <c r="E804" s="21" t="s">
        <v>59</v>
      </c>
      <c r="F804" s="21" t="s">
        <v>49</v>
      </c>
      <c r="G804" s="21" t="s">
        <v>50</v>
      </c>
      <c r="H804" s="21" t="s">
        <v>60</v>
      </c>
      <c r="I804" s="26">
        <v>10</v>
      </c>
      <c r="J804" s="26">
        <v>250</v>
      </c>
      <c r="K804" s="21" t="s">
        <v>52</v>
      </c>
      <c r="L804" s="27">
        <v>9200</v>
      </c>
      <c r="M804" s="21"/>
      <c r="N804" s="21"/>
      <c r="O804" s="21" t="s">
        <v>1600</v>
      </c>
      <c r="P804" s="21" t="s">
        <v>54</v>
      </c>
      <c r="Q804" s="28">
        <v>46147</v>
      </c>
      <c r="R804" s="29">
        <v>46147.3929861111</v>
      </c>
      <c r="S804" s="21" t="s">
        <v>62</v>
      </c>
      <c r="T804" s="21"/>
      <c r="U804" s="21" t="s">
        <v>59</v>
      </c>
      <c r="V804" s="29">
        <v>46147.3929398148</v>
      </c>
      <c r="W804">
        <f>VLOOKUP(H804,物料編碼!A:B,2,0)</f>
        <v>1300101043</v>
      </c>
      <c r="X804">
        <v>1300101</v>
      </c>
      <c r="Y804" t="str">
        <f>VLOOKUP(X804,物料編碼!D:G,4,0)</f>
        <v>一號肉</v>
      </c>
      <c r="Z804" t="str">
        <f>VLOOKUP(C804,客戶屬性1!A:C,2,0)</f>
        <v>翎凰冻肉有限公司</v>
      </c>
      <c r="AA804">
        <f>IF(COUNTIF($O$1:O804,O804)=1,L804,0)</f>
        <v>9200</v>
      </c>
    </row>
    <row r="805" customHeight="1" spans="1:27">
      <c r="A805" s="21" t="s">
        <v>1601</v>
      </c>
      <c r="B805" s="21" t="s">
        <v>45</v>
      </c>
      <c r="C805" s="21" t="s">
        <v>72</v>
      </c>
      <c r="D805" s="21" t="s">
        <v>73</v>
      </c>
      <c r="E805" s="21" t="s">
        <v>74</v>
      </c>
      <c r="F805" s="21" t="s">
        <v>49</v>
      </c>
      <c r="G805" s="21" t="s">
        <v>50</v>
      </c>
      <c r="H805" s="21" t="s">
        <v>63</v>
      </c>
      <c r="I805" s="26">
        <v>8</v>
      </c>
      <c r="J805" s="26">
        <v>200</v>
      </c>
      <c r="K805" s="21" t="s">
        <v>52</v>
      </c>
      <c r="L805" s="27">
        <v>6680</v>
      </c>
      <c r="M805" s="21"/>
      <c r="N805" s="21"/>
      <c r="O805" s="21" t="s">
        <v>1602</v>
      </c>
      <c r="P805" s="21" t="s">
        <v>54</v>
      </c>
      <c r="Q805" s="28">
        <v>46147</v>
      </c>
      <c r="R805" s="29">
        <v>46147.3769097222</v>
      </c>
      <c r="S805" s="21" t="s">
        <v>81</v>
      </c>
      <c r="T805" s="21"/>
      <c r="U805" s="21" t="s">
        <v>82</v>
      </c>
      <c r="V805" s="29">
        <v>46147.3768634259</v>
      </c>
      <c r="W805">
        <f>VLOOKUP(H805,物料編碼!A:B,2,0)</f>
        <v>1300109002</v>
      </c>
      <c r="X805">
        <v>1300109</v>
      </c>
      <c r="Y805" t="str">
        <f>VLOOKUP(X805,物料編碼!D:G,4,0)</f>
        <v>面精肉</v>
      </c>
      <c r="Z805" t="str">
        <f>VLOOKUP(C805,客戶屬性1!A:C,2,0)</f>
        <v>恒辉贸易公司</v>
      </c>
      <c r="AA805">
        <f>IF(COUNTIF($O$1:O805,O805)=1,L805,0)</f>
        <v>6680</v>
      </c>
    </row>
    <row r="806" customHeight="1" spans="1:27">
      <c r="A806" s="21" t="s">
        <v>1603</v>
      </c>
      <c r="B806" s="21" t="s">
        <v>45</v>
      </c>
      <c r="C806" s="21" t="s">
        <v>72</v>
      </c>
      <c r="D806" s="21" t="s">
        <v>73</v>
      </c>
      <c r="E806" s="21" t="s">
        <v>74</v>
      </c>
      <c r="F806" s="21" t="s">
        <v>49</v>
      </c>
      <c r="G806" s="21" t="s">
        <v>50</v>
      </c>
      <c r="H806" s="21" t="s">
        <v>1541</v>
      </c>
      <c r="I806" s="26">
        <v>2</v>
      </c>
      <c r="J806" s="26">
        <v>28.8</v>
      </c>
      <c r="K806" s="21" t="s">
        <v>52</v>
      </c>
      <c r="L806" s="27">
        <v>305.28</v>
      </c>
      <c r="M806" s="21"/>
      <c r="N806" s="21"/>
      <c r="O806" s="21" t="s">
        <v>1604</v>
      </c>
      <c r="P806" s="21" t="s">
        <v>183</v>
      </c>
      <c r="Q806" s="28">
        <v>46147</v>
      </c>
      <c r="R806" s="29">
        <v>46146.7140046296</v>
      </c>
      <c r="S806" s="21" t="s">
        <v>81</v>
      </c>
      <c r="T806" s="21"/>
      <c r="U806" s="21" t="s">
        <v>82</v>
      </c>
      <c r="V806" s="29">
        <v>46146.7139583333</v>
      </c>
      <c r="W806">
        <f>VLOOKUP(H806,物料編碼!A:B,2,0)</f>
        <v>1300901006</v>
      </c>
      <c r="X806">
        <v>1300901</v>
      </c>
      <c r="Y806" t="str">
        <f>VLOOKUP(X806,物料編碼!D:G,4,0)</f>
        <v>整鴨</v>
      </c>
      <c r="Z806" t="str">
        <f>VLOOKUP(C806,客戶屬性1!A:C,2,0)</f>
        <v>恒辉贸易公司</v>
      </c>
      <c r="AA806">
        <f>IF(COUNTIF($O$1:O806,O806)=1,L806,0)</f>
        <v>305.28</v>
      </c>
    </row>
    <row r="807" customHeight="1" spans="1:27">
      <c r="A807" s="21" t="s">
        <v>1605</v>
      </c>
      <c r="B807" s="21" t="s">
        <v>45</v>
      </c>
      <c r="C807" s="21" t="e">
        <v>#N/A</v>
      </c>
      <c r="D807" s="21" t="s">
        <v>1041</v>
      </c>
      <c r="E807" s="21" t="e">
        <v>#N/A</v>
      </c>
      <c r="F807" s="21" t="s">
        <v>1042</v>
      </c>
      <c r="G807" s="21" t="s">
        <v>1043</v>
      </c>
      <c r="H807" s="21" t="s">
        <v>1606</v>
      </c>
      <c r="I807" s="30">
        <v>27</v>
      </c>
      <c r="J807" s="26">
        <v>1</v>
      </c>
      <c r="K807" s="21" t="s">
        <v>526</v>
      </c>
      <c r="L807" s="27">
        <v>266</v>
      </c>
      <c r="M807" s="21"/>
      <c r="N807" s="21"/>
      <c r="O807" s="21" t="s">
        <v>1607</v>
      </c>
      <c r="P807" s="21" t="s">
        <v>54</v>
      </c>
      <c r="Q807" s="28">
        <v>46147</v>
      </c>
      <c r="R807" s="29">
        <v>46146.6729861111</v>
      </c>
      <c r="S807" s="21" t="s">
        <v>1046</v>
      </c>
      <c r="T807" s="21"/>
      <c r="U807" s="21" t="s">
        <v>1041</v>
      </c>
      <c r="V807" s="29">
        <v>46146.6729513889</v>
      </c>
      <c r="W807" t="e">
        <f>VLOOKUP(H807,物料編碼!A:B,2,0)</f>
        <v>#N/A</v>
      </c>
      <c r="X807" t="e">
        <v>#N/A</v>
      </c>
      <c r="Y807" t="e">
        <f>VLOOKUP(X807,物料編碼!D:G,4,0)</f>
        <v>#N/A</v>
      </c>
      <c r="Z807" t="e">
        <f>VLOOKUP(C807,客戶屬性1!A:C,2,0)</f>
        <v>#N/A</v>
      </c>
      <c r="AA807">
        <f>IF(COUNTIF($O$1:O807,O807)=1,L807,0)</f>
        <v>266</v>
      </c>
    </row>
    <row r="808" customHeight="1" spans="1:27">
      <c r="A808" s="21" t="s">
        <v>1608</v>
      </c>
      <c r="B808" s="21" t="s">
        <v>45</v>
      </c>
      <c r="C808" s="21" t="s">
        <v>72</v>
      </c>
      <c r="D808" s="21" t="s">
        <v>73</v>
      </c>
      <c r="E808" s="21" t="s">
        <v>74</v>
      </c>
      <c r="F808" s="21" t="s">
        <v>49</v>
      </c>
      <c r="G808" s="21" t="s">
        <v>50</v>
      </c>
      <c r="H808" s="21" t="s">
        <v>1541</v>
      </c>
      <c r="I808" s="26">
        <v>1</v>
      </c>
      <c r="J808" s="26">
        <v>14.4</v>
      </c>
      <c r="K808" s="21" t="s">
        <v>52</v>
      </c>
      <c r="L808" s="27">
        <v>152.64</v>
      </c>
      <c r="M808" s="21"/>
      <c r="N808" s="21"/>
      <c r="O808" s="21" t="s">
        <v>1609</v>
      </c>
      <c r="P808" s="21" t="s">
        <v>183</v>
      </c>
      <c r="Q808" s="28">
        <v>46147</v>
      </c>
      <c r="R808" s="29">
        <v>46146.5316550926</v>
      </c>
      <c r="S808" s="21" t="s">
        <v>77</v>
      </c>
      <c r="T808" s="21"/>
      <c r="U808" s="21" t="s">
        <v>74</v>
      </c>
      <c r="V808" s="29">
        <v>46146.5316203704</v>
      </c>
      <c r="W808">
        <f>VLOOKUP(H808,物料編碼!A:B,2,0)</f>
        <v>1300901006</v>
      </c>
      <c r="X808">
        <v>1300901</v>
      </c>
      <c r="Y808" t="str">
        <f>VLOOKUP(X808,物料編碼!D:G,4,0)</f>
        <v>整鴨</v>
      </c>
      <c r="Z808" t="str">
        <f>VLOOKUP(C808,客戶屬性1!A:C,2,0)</f>
        <v>恒辉贸易公司</v>
      </c>
      <c r="AA808">
        <f>IF(COUNTIF($O$1:O808,O808)=1,L808,0)</f>
        <v>152.64</v>
      </c>
    </row>
    <row r="809" customHeight="1" spans="1:27">
      <c r="A809" s="21" t="s">
        <v>1610</v>
      </c>
      <c r="B809" s="21" t="s">
        <v>45</v>
      </c>
      <c r="C809" s="21" t="s">
        <v>197</v>
      </c>
      <c r="D809" s="21" t="s">
        <v>198</v>
      </c>
      <c r="E809" s="21" t="s">
        <v>199</v>
      </c>
      <c r="F809" s="21" t="s">
        <v>49</v>
      </c>
      <c r="G809" s="21" t="s">
        <v>136</v>
      </c>
      <c r="H809" s="21" t="s">
        <v>161</v>
      </c>
      <c r="I809" s="26">
        <v>5</v>
      </c>
      <c r="J809" s="26">
        <v>100</v>
      </c>
      <c r="K809" s="21" t="s">
        <v>52</v>
      </c>
      <c r="L809" s="27">
        <v>9300</v>
      </c>
      <c r="M809" s="21"/>
      <c r="N809" s="21"/>
      <c r="O809" s="21" t="s">
        <v>1611</v>
      </c>
      <c r="P809" s="21" t="s">
        <v>54</v>
      </c>
      <c r="Q809" s="28">
        <v>46147</v>
      </c>
      <c r="R809" s="29">
        <v>46146.4908217593</v>
      </c>
      <c r="S809" s="21" t="s">
        <v>202</v>
      </c>
      <c r="T809" s="21"/>
      <c r="U809" s="21" t="s">
        <v>203</v>
      </c>
      <c r="V809" s="29">
        <v>46146.490775463</v>
      </c>
      <c r="W809">
        <f>VLOOKUP(H809,物料編碼!A:B,2,0)</f>
        <v>1300501020</v>
      </c>
      <c r="X809">
        <v>1300501</v>
      </c>
      <c r="Y809" t="str">
        <f>VLOOKUP(X809,物料編碼!D:G,4,0)</f>
        <v>羊排</v>
      </c>
      <c r="Z809" t="str">
        <f>VLOOKUP(C809,客戶屬性1!A:C,2,0)</f>
        <v>信隆(亚洲)有限公司</v>
      </c>
      <c r="AA809">
        <f>IF(COUNTIF($O$1:O809,O809)=1,L809,0)</f>
        <v>9300</v>
      </c>
    </row>
    <row r="810" customHeight="1" spans="1:27">
      <c r="A810" s="21" t="s">
        <v>1612</v>
      </c>
      <c r="B810" s="21" t="s">
        <v>45</v>
      </c>
      <c r="C810" s="21" t="s">
        <v>72</v>
      </c>
      <c r="D810" s="21" t="s">
        <v>73</v>
      </c>
      <c r="E810" s="21" t="s">
        <v>74</v>
      </c>
      <c r="F810" s="21" t="s">
        <v>49</v>
      </c>
      <c r="G810" s="21" t="s">
        <v>50</v>
      </c>
      <c r="H810" s="21" t="s">
        <v>283</v>
      </c>
      <c r="I810" s="26">
        <v>2</v>
      </c>
      <c r="J810" s="26">
        <v>50</v>
      </c>
      <c r="K810" s="21" t="s">
        <v>52</v>
      </c>
      <c r="L810" s="27">
        <v>2506.8</v>
      </c>
      <c r="M810" s="21"/>
      <c r="N810" s="21"/>
      <c r="O810" s="21" t="s">
        <v>1613</v>
      </c>
      <c r="P810" s="21" t="s">
        <v>54</v>
      </c>
      <c r="Q810" s="28">
        <v>46147</v>
      </c>
      <c r="R810" s="29">
        <v>46146.4885069444</v>
      </c>
      <c r="S810" s="21" t="s">
        <v>77</v>
      </c>
      <c r="T810" s="21"/>
      <c r="U810" s="21" t="s">
        <v>74</v>
      </c>
      <c r="V810" s="29">
        <v>46146.4884606482</v>
      </c>
      <c r="W810">
        <f>VLOOKUP(H810,物料編碼!A:B,2,0)</f>
        <v>1300104005</v>
      </c>
      <c r="X810">
        <v>1300104</v>
      </c>
      <c r="Y810" t="str">
        <f>VLOOKUP(X810,物料編碼!D:G,4,0)</f>
        <v>四號肉</v>
      </c>
      <c r="Z810" t="str">
        <f>VLOOKUP(C810,客戶屬性1!A:C,2,0)</f>
        <v>恒辉贸易公司</v>
      </c>
      <c r="AA810">
        <f>IF(COUNTIF($O$1:O810,O810)=1,L810,0)</f>
        <v>2506.8</v>
      </c>
    </row>
    <row r="811" customHeight="1" spans="1:27">
      <c r="A811" s="21" t="s">
        <v>1612</v>
      </c>
      <c r="B811" s="21" t="s">
        <v>45</v>
      </c>
      <c r="C811" s="21" t="s">
        <v>72</v>
      </c>
      <c r="D811" s="21" t="s">
        <v>73</v>
      </c>
      <c r="E811" s="21" t="s">
        <v>74</v>
      </c>
      <c r="F811" s="21" t="s">
        <v>49</v>
      </c>
      <c r="G811" s="21" t="s">
        <v>50</v>
      </c>
      <c r="H811" s="21" t="s">
        <v>190</v>
      </c>
      <c r="I811" s="26">
        <v>8</v>
      </c>
      <c r="J811" s="26">
        <v>96</v>
      </c>
      <c r="K811" s="21" t="s">
        <v>52</v>
      </c>
      <c r="L811" s="27">
        <v>2506.8</v>
      </c>
      <c r="M811" s="21"/>
      <c r="N811" s="21"/>
      <c r="O811" s="21" t="s">
        <v>1613</v>
      </c>
      <c r="P811" s="21" t="s">
        <v>54</v>
      </c>
      <c r="Q811" s="28">
        <v>46147</v>
      </c>
      <c r="R811" s="29">
        <v>46146.4885069444</v>
      </c>
      <c r="S811" s="21" t="s">
        <v>77</v>
      </c>
      <c r="T811" s="21"/>
      <c r="U811" s="21" t="s">
        <v>74</v>
      </c>
      <c r="V811" s="29">
        <v>46146.4884606482</v>
      </c>
      <c r="W811">
        <f>VLOOKUP(H811,物料編碼!A:B,2,0)</f>
        <v>1300609001</v>
      </c>
      <c r="X811">
        <v>1300609</v>
      </c>
      <c r="Y811" t="str">
        <f>VLOOKUP(X811,物料編碼!D:G,4,0)</f>
        <v>去皮上腿肉</v>
      </c>
      <c r="Z811" t="str">
        <f>VLOOKUP(C811,客戶屬性1!A:C,2,0)</f>
        <v>恒辉贸易公司</v>
      </c>
      <c r="AA811">
        <f>IF(COUNTIF($O$1:O811,O811)=1,L811,0)</f>
        <v>0</v>
      </c>
    </row>
    <row r="812" customHeight="1" spans="1:27">
      <c r="A812" s="21" t="s">
        <v>1614</v>
      </c>
      <c r="B812" s="21" t="s">
        <v>45</v>
      </c>
      <c r="C812" s="21" t="s">
        <v>133</v>
      </c>
      <c r="D812" s="21" t="s">
        <v>134</v>
      </c>
      <c r="E812" s="21" t="s">
        <v>135</v>
      </c>
      <c r="F812" s="21" t="s">
        <v>49</v>
      </c>
      <c r="G812" s="21" t="s">
        <v>136</v>
      </c>
      <c r="H812" s="21" t="s">
        <v>137</v>
      </c>
      <c r="I812" s="26">
        <v>1</v>
      </c>
      <c r="J812" s="26">
        <v>18</v>
      </c>
      <c r="K812" s="21" t="s">
        <v>52</v>
      </c>
      <c r="L812" s="27">
        <v>1440</v>
      </c>
      <c r="M812" s="21"/>
      <c r="N812" s="21"/>
      <c r="O812" s="21" t="s">
        <v>1615</v>
      </c>
      <c r="P812" s="21" t="s">
        <v>54</v>
      </c>
      <c r="Q812" s="28">
        <v>46146</v>
      </c>
      <c r="R812" s="29">
        <v>46146.487037037</v>
      </c>
      <c r="S812" s="21" t="s">
        <v>139</v>
      </c>
      <c r="T812" s="21"/>
      <c r="U812" s="21" t="s">
        <v>134</v>
      </c>
      <c r="V812" s="29">
        <v>46146.4870023148</v>
      </c>
      <c r="W812">
        <f>VLOOKUP(H812,物料編碼!A:B,2,0)</f>
        <v>1300503009</v>
      </c>
      <c r="X812">
        <v>1300503</v>
      </c>
      <c r="Y812" t="str">
        <f>VLOOKUP(X812,物料編碼!D:G,4,0)</f>
        <v>羊肩卷肉</v>
      </c>
      <c r="Z812" t="str">
        <f>VLOOKUP(C812,客戶屬性1!A:C,2,0)</f>
        <v>恒昌冻肉食品有限公司</v>
      </c>
      <c r="AA812">
        <f>IF(COUNTIF($O$1:O812,O812)=1,L812,0)</f>
        <v>1440</v>
      </c>
    </row>
    <row r="813" customHeight="1" spans="1:27">
      <c r="A813" s="21" t="s">
        <v>1616</v>
      </c>
      <c r="B813" s="21" t="s">
        <v>45</v>
      </c>
      <c r="C813" s="21" t="s">
        <v>216</v>
      </c>
      <c r="D813" s="21" t="s">
        <v>217</v>
      </c>
      <c r="E813" s="21" t="s">
        <v>218</v>
      </c>
      <c r="F813" s="21" t="s">
        <v>49</v>
      </c>
      <c r="G813" s="21" t="s">
        <v>68</v>
      </c>
      <c r="H813" s="21" t="s">
        <v>267</v>
      </c>
      <c r="I813" s="26">
        <v>1</v>
      </c>
      <c r="J813" s="26">
        <v>20</v>
      </c>
      <c r="K813" s="21" t="s">
        <v>52</v>
      </c>
      <c r="L813" s="27">
        <v>1180</v>
      </c>
      <c r="M813" s="21"/>
      <c r="N813" s="21"/>
      <c r="O813" s="21" t="s">
        <v>1617</v>
      </c>
      <c r="P813" s="21" t="s">
        <v>54</v>
      </c>
      <c r="Q813" s="28">
        <v>46146</v>
      </c>
      <c r="R813" s="29">
        <v>46146.4853819444</v>
      </c>
      <c r="S813" s="21" t="s">
        <v>221</v>
      </c>
      <c r="T813" s="21"/>
      <c r="U813" s="21" t="s">
        <v>222</v>
      </c>
      <c r="V813" s="29">
        <v>46146.4853356481</v>
      </c>
      <c r="W813">
        <f>VLOOKUP(H813,物料編碼!A:B,2,0)</f>
        <v>1300511002</v>
      </c>
      <c r="X813">
        <v>1300511</v>
      </c>
      <c r="Y813" t="str">
        <f>VLOOKUP(X813,物料編碼!D:G,4,0)</f>
        <v>羊卷肉</v>
      </c>
      <c r="Z813" t="str">
        <f>VLOOKUP(C813,客戶屬性1!A:C,2,0)</f>
        <v>天恒食品有限公司</v>
      </c>
      <c r="AA813">
        <f>IF(COUNTIF($O$1:O813,O813)=1,L813,0)</f>
        <v>1180</v>
      </c>
    </row>
    <row r="814" customHeight="1" spans="1:27">
      <c r="A814" s="21" t="s">
        <v>1618</v>
      </c>
      <c r="B814" s="21" t="s">
        <v>45</v>
      </c>
      <c r="C814" s="21" t="s">
        <v>141</v>
      </c>
      <c r="D814" s="21" t="s">
        <v>142</v>
      </c>
      <c r="E814" s="21" t="s">
        <v>142</v>
      </c>
      <c r="F814" s="21" t="s">
        <v>143</v>
      </c>
      <c r="G814" s="21" t="s">
        <v>100</v>
      </c>
      <c r="H814" s="21" t="s">
        <v>407</v>
      </c>
      <c r="I814" s="26">
        <v>1</v>
      </c>
      <c r="J814" s="26">
        <v>10</v>
      </c>
      <c r="K814" s="21" t="s">
        <v>52</v>
      </c>
      <c r="L814" s="27">
        <v>1643.9</v>
      </c>
      <c r="M814" s="21"/>
      <c r="N814" s="21"/>
      <c r="O814" s="21" t="s">
        <v>1619</v>
      </c>
      <c r="P814" s="21" t="s">
        <v>54</v>
      </c>
      <c r="Q814" s="28">
        <v>46147</v>
      </c>
      <c r="R814" s="29">
        <v>46146.4741319444</v>
      </c>
      <c r="S814" s="21" t="s">
        <v>145</v>
      </c>
      <c r="T814" s="21"/>
      <c r="U814" s="21" t="s">
        <v>142</v>
      </c>
      <c r="V814" s="29">
        <v>46146.4740856482</v>
      </c>
      <c r="W814">
        <f>VLOOKUP(H814,物料編碼!A:B,2,0)</f>
        <v>1300904016</v>
      </c>
      <c r="X814">
        <v>1300904</v>
      </c>
      <c r="Y814" t="str">
        <f>VLOOKUP(X814,物料編碼!D:G,4,0)</f>
        <v>煙熏鴨胸</v>
      </c>
      <c r="Z814" t="str">
        <f>VLOOKUP(C814,客戶屬性1!A:C,2,0)</f>
        <v>新昌冻肉</v>
      </c>
      <c r="AA814">
        <f>IF(COUNTIF($O$1:O814,O814)=1,L814,0)</f>
        <v>1643.9</v>
      </c>
    </row>
    <row r="815" customHeight="1" spans="1:27">
      <c r="A815" s="21" t="s">
        <v>1618</v>
      </c>
      <c r="B815" s="21" t="s">
        <v>45</v>
      </c>
      <c r="C815" s="21" t="s">
        <v>141</v>
      </c>
      <c r="D815" s="21" t="s">
        <v>142</v>
      </c>
      <c r="E815" s="21" t="s">
        <v>142</v>
      </c>
      <c r="F815" s="21" t="s">
        <v>143</v>
      </c>
      <c r="G815" s="21" t="s">
        <v>100</v>
      </c>
      <c r="H815" s="21" t="s">
        <v>298</v>
      </c>
      <c r="I815" s="26">
        <v>1</v>
      </c>
      <c r="J815" s="26">
        <v>10</v>
      </c>
      <c r="K815" s="21" t="s">
        <v>52</v>
      </c>
      <c r="L815" s="27">
        <v>1643.9</v>
      </c>
      <c r="M815" s="21"/>
      <c r="N815" s="21"/>
      <c r="O815" s="21" t="s">
        <v>1619</v>
      </c>
      <c r="P815" s="21" t="s">
        <v>54</v>
      </c>
      <c r="Q815" s="28">
        <v>46147</v>
      </c>
      <c r="R815" s="29">
        <v>46146.4741319444</v>
      </c>
      <c r="S815" s="21" t="s">
        <v>145</v>
      </c>
      <c r="T815" s="21"/>
      <c r="U815" s="21" t="s">
        <v>142</v>
      </c>
      <c r="V815" s="29">
        <v>46146.4740856482</v>
      </c>
      <c r="W815">
        <f>VLOOKUP(H815,物料編碼!A:B,2,0)</f>
        <v>1300111003</v>
      </c>
      <c r="X815">
        <v>1300111</v>
      </c>
      <c r="Y815" t="str">
        <f>VLOOKUP(X815,物料編碼!D:G,4,0)</f>
        <v>寸骨</v>
      </c>
      <c r="Z815" t="str">
        <f>VLOOKUP(C815,客戶屬性1!A:C,2,0)</f>
        <v>新昌冻肉</v>
      </c>
      <c r="AA815">
        <f>IF(COUNTIF($O$1:O815,O815)=1,L815,0)</f>
        <v>0</v>
      </c>
    </row>
    <row r="816" customHeight="1" spans="1:27">
      <c r="A816" s="21" t="s">
        <v>1618</v>
      </c>
      <c r="B816" s="21" t="s">
        <v>45</v>
      </c>
      <c r="C816" s="21" t="s">
        <v>141</v>
      </c>
      <c r="D816" s="21" t="s">
        <v>142</v>
      </c>
      <c r="E816" s="21" t="s">
        <v>142</v>
      </c>
      <c r="F816" s="21" t="s">
        <v>143</v>
      </c>
      <c r="G816" s="21" t="s">
        <v>100</v>
      </c>
      <c r="H816" s="21" t="s">
        <v>302</v>
      </c>
      <c r="I816" s="26">
        <v>1</v>
      </c>
      <c r="J816" s="26">
        <v>12</v>
      </c>
      <c r="K816" s="21" t="s">
        <v>52</v>
      </c>
      <c r="L816" s="27">
        <v>1643.9</v>
      </c>
      <c r="M816" s="21"/>
      <c r="N816" s="21"/>
      <c r="O816" s="21" t="s">
        <v>1619</v>
      </c>
      <c r="P816" s="21" t="s">
        <v>54</v>
      </c>
      <c r="Q816" s="28">
        <v>46147</v>
      </c>
      <c r="R816" s="29">
        <v>46146.4741319444</v>
      </c>
      <c r="S816" s="21" t="s">
        <v>145</v>
      </c>
      <c r="T816" s="21"/>
      <c r="U816" s="21" t="s">
        <v>142</v>
      </c>
      <c r="V816" s="29">
        <v>46146.4740856482</v>
      </c>
      <c r="W816">
        <f>VLOOKUP(H816,物料編碼!A:B,2,0)</f>
        <v>1300609018</v>
      </c>
      <c r="X816">
        <v>1300609</v>
      </c>
      <c r="Y816" t="str">
        <f>VLOOKUP(X816,物料編碼!D:G,4,0)</f>
        <v>去皮上腿肉</v>
      </c>
      <c r="Z816" t="str">
        <f>VLOOKUP(C816,客戶屬性1!A:C,2,0)</f>
        <v>新昌冻肉</v>
      </c>
      <c r="AA816">
        <f>IF(COUNTIF($O$1:O816,O816)=1,L816,0)</f>
        <v>0</v>
      </c>
    </row>
    <row r="817" customHeight="1" spans="1:27">
      <c r="A817" s="21" t="s">
        <v>1618</v>
      </c>
      <c r="B817" s="21" t="s">
        <v>45</v>
      </c>
      <c r="C817" s="21" t="s">
        <v>141</v>
      </c>
      <c r="D817" s="21" t="s">
        <v>142</v>
      </c>
      <c r="E817" s="21" t="s">
        <v>142</v>
      </c>
      <c r="F817" s="21" t="s">
        <v>143</v>
      </c>
      <c r="G817" s="21" t="s">
        <v>100</v>
      </c>
      <c r="H817" s="21" t="s">
        <v>117</v>
      </c>
      <c r="I817" s="26">
        <v>3</v>
      </c>
      <c r="J817" s="26">
        <v>45</v>
      </c>
      <c r="K817" s="21" t="s">
        <v>52</v>
      </c>
      <c r="L817" s="27">
        <v>1643.9</v>
      </c>
      <c r="M817" s="21"/>
      <c r="N817" s="21"/>
      <c r="O817" s="21" t="s">
        <v>1619</v>
      </c>
      <c r="P817" s="21" t="s">
        <v>54</v>
      </c>
      <c r="Q817" s="28">
        <v>46147</v>
      </c>
      <c r="R817" s="29">
        <v>46146.4741319444</v>
      </c>
      <c r="S817" s="21" t="s">
        <v>145</v>
      </c>
      <c r="T817" s="21"/>
      <c r="U817" s="21" t="s">
        <v>142</v>
      </c>
      <c r="V817" s="29">
        <v>46146.4740856482</v>
      </c>
      <c r="W817">
        <f>VLOOKUP(H817,物料編碼!A:B,2,0)</f>
        <v>1300607015</v>
      </c>
      <c r="X817">
        <v>1300607</v>
      </c>
      <c r="Y817" t="str">
        <f>VLOOKUP(X817,物料編碼!D:G,4,0)</f>
        <v>帶皮腿扒</v>
      </c>
      <c r="Z817" t="str">
        <f>VLOOKUP(C817,客戶屬性1!A:C,2,0)</f>
        <v>新昌冻肉</v>
      </c>
      <c r="AA817">
        <f>IF(COUNTIF($O$1:O817,O817)=1,L817,0)</f>
        <v>0</v>
      </c>
    </row>
    <row r="818" customHeight="1" spans="1:27">
      <c r="A818" s="21" t="s">
        <v>1620</v>
      </c>
      <c r="B818" s="21" t="s">
        <v>45</v>
      </c>
      <c r="C818" s="21" t="s">
        <v>538</v>
      </c>
      <c r="D818" s="21" t="s">
        <v>539</v>
      </c>
      <c r="E818" s="21" t="s">
        <v>540</v>
      </c>
      <c r="F818" s="21" t="s">
        <v>49</v>
      </c>
      <c r="G818" s="21" t="s">
        <v>541</v>
      </c>
      <c r="H818" s="21" t="s">
        <v>402</v>
      </c>
      <c r="I818" s="26">
        <v>1</v>
      </c>
      <c r="J818" s="26">
        <v>10</v>
      </c>
      <c r="K818" s="21" t="s">
        <v>52</v>
      </c>
      <c r="L818" s="27">
        <v>136</v>
      </c>
      <c r="M818" s="21"/>
      <c r="N818" s="21"/>
      <c r="O818" s="21" t="s">
        <v>1621</v>
      </c>
      <c r="P818" s="21" t="s">
        <v>183</v>
      </c>
      <c r="Q818" s="28">
        <v>46146</v>
      </c>
      <c r="R818" s="29">
        <v>46146.4193518519</v>
      </c>
      <c r="S818" s="21" t="s">
        <v>543</v>
      </c>
      <c r="T818" s="21"/>
      <c r="U818" s="21" t="s">
        <v>539</v>
      </c>
      <c r="V818" s="29">
        <v>46146.4193171296</v>
      </c>
      <c r="W818">
        <f>VLOOKUP(H818,物料編碼!A:B,2,0)</f>
        <v>1300903002</v>
      </c>
      <c r="X818">
        <v>1300903</v>
      </c>
      <c r="Y818" t="str">
        <f>VLOOKUP(X818,物料編碼!D:G,4,0)</f>
        <v>生鴨胸</v>
      </c>
      <c r="Z818" t="str">
        <f>VLOOKUP(C818,客戶屬性1!A:C,2,0)</f>
        <v>诚信冻肉有限公司</v>
      </c>
      <c r="AA818">
        <f>IF(COUNTIF($O$1:O818,O818)=1,L818,0)</f>
        <v>136</v>
      </c>
    </row>
    <row r="819" customHeight="1" spans="1:27">
      <c r="A819" s="21" t="s">
        <v>1622</v>
      </c>
      <c r="B819" s="21" t="s">
        <v>45</v>
      </c>
      <c r="C819" s="21" t="s">
        <v>114</v>
      </c>
      <c r="D819" s="21" t="s">
        <v>115</v>
      </c>
      <c r="E819" s="21" t="s">
        <v>116</v>
      </c>
      <c r="F819" s="21" t="s">
        <v>49</v>
      </c>
      <c r="G819" s="21" t="s">
        <v>100</v>
      </c>
      <c r="H819" s="21" t="s">
        <v>117</v>
      </c>
      <c r="I819" s="26">
        <v>2</v>
      </c>
      <c r="J819" s="26">
        <v>30</v>
      </c>
      <c r="K819" s="21" t="s">
        <v>52</v>
      </c>
      <c r="L819" s="27">
        <v>443.4</v>
      </c>
      <c r="M819" s="21"/>
      <c r="N819" s="21"/>
      <c r="O819" s="21" t="s">
        <v>1623</v>
      </c>
      <c r="P819" s="21" t="s">
        <v>54</v>
      </c>
      <c r="Q819" s="28">
        <v>46146</v>
      </c>
      <c r="R819" s="29">
        <v>46146.3870833333</v>
      </c>
      <c r="S819" s="21" t="s">
        <v>119</v>
      </c>
      <c r="T819" s="21"/>
      <c r="U819" s="21" t="s">
        <v>115</v>
      </c>
      <c r="V819" s="29">
        <v>46146.387037037</v>
      </c>
      <c r="W819">
        <f>VLOOKUP(H819,物料編碼!A:B,2,0)</f>
        <v>1300607015</v>
      </c>
      <c r="X819">
        <v>1300607</v>
      </c>
      <c r="Y819" t="str">
        <f>VLOOKUP(X819,物料編碼!D:G,4,0)</f>
        <v>帶皮腿扒</v>
      </c>
      <c r="Z819" t="str">
        <f>VLOOKUP(C819,客戶屬性1!A:C,2,0)</f>
        <v>骏利贸易公司</v>
      </c>
      <c r="AA819">
        <f>IF(COUNTIF($O$1:O819,O819)=1,L819,0)</f>
        <v>443.4</v>
      </c>
    </row>
    <row r="820" customHeight="1" spans="1:27">
      <c r="A820" s="21" t="s">
        <v>1624</v>
      </c>
      <c r="B820" s="21" t="s">
        <v>45</v>
      </c>
      <c r="C820" s="21" t="s">
        <v>1308</v>
      </c>
      <c r="D820" s="21" t="s">
        <v>1309</v>
      </c>
      <c r="E820" s="21" t="s">
        <v>1310</v>
      </c>
      <c r="F820" s="21" t="s">
        <v>49</v>
      </c>
      <c r="G820" s="21" t="s">
        <v>541</v>
      </c>
      <c r="H820" s="21" t="s">
        <v>75</v>
      </c>
      <c r="I820" s="26">
        <v>1</v>
      </c>
      <c r="J820" s="26">
        <v>15</v>
      </c>
      <c r="K820" s="21" t="s">
        <v>52</v>
      </c>
      <c r="L820" s="27">
        <v>188.55</v>
      </c>
      <c r="M820" s="21"/>
      <c r="N820" s="21"/>
      <c r="O820" s="21" t="s">
        <v>1625</v>
      </c>
      <c r="P820" s="21" t="s">
        <v>54</v>
      </c>
      <c r="Q820" s="28">
        <v>46146</v>
      </c>
      <c r="R820" s="29">
        <v>46144.4900115741</v>
      </c>
      <c r="S820" s="21" t="s">
        <v>1312</v>
      </c>
      <c r="T820" s="21"/>
      <c r="U820" s="21" t="s">
        <v>1309</v>
      </c>
      <c r="V820" s="29">
        <v>46144.4899652778</v>
      </c>
      <c r="W820">
        <f>VLOOKUP(H820,物料編碼!A:B,2,0)</f>
        <v>1300603040</v>
      </c>
      <c r="X820">
        <v>1300603</v>
      </c>
      <c r="Y820" t="str">
        <f>VLOOKUP(X820,物料編碼!D:G,4,0)</f>
        <v>帶骨全腿</v>
      </c>
      <c r="Z820" t="str">
        <f>VLOOKUP(C820,客戶屬性1!A:C,2,0)</f>
        <v>再丰有限公司</v>
      </c>
      <c r="AA820">
        <f>IF(COUNTIF($O$1:O820,O820)=1,L820,0)</f>
        <v>188.55</v>
      </c>
    </row>
    <row r="821" customHeight="1" spans="1:27">
      <c r="A821" s="21" t="s">
        <v>1626</v>
      </c>
      <c r="B821" s="21" t="s">
        <v>45</v>
      </c>
      <c r="C821" s="21" t="s">
        <v>538</v>
      </c>
      <c r="D821" s="21" t="s">
        <v>539</v>
      </c>
      <c r="E821" s="21" t="s">
        <v>540</v>
      </c>
      <c r="F821" s="21" t="s">
        <v>49</v>
      </c>
      <c r="G821" s="21" t="s">
        <v>541</v>
      </c>
      <c r="H821" s="21" t="s">
        <v>63</v>
      </c>
      <c r="I821" s="26">
        <v>2</v>
      </c>
      <c r="J821" s="26">
        <v>50</v>
      </c>
      <c r="K821" s="21" t="s">
        <v>52</v>
      </c>
      <c r="L821" s="27">
        <v>1670</v>
      </c>
      <c r="M821" s="21"/>
      <c r="N821" s="21"/>
      <c r="O821" s="21" t="s">
        <v>1627</v>
      </c>
      <c r="P821" s="21" t="s">
        <v>54</v>
      </c>
      <c r="Q821" s="28">
        <v>46144</v>
      </c>
      <c r="R821" s="29">
        <v>46144.4719907407</v>
      </c>
      <c r="S821" s="21" t="s">
        <v>543</v>
      </c>
      <c r="T821" s="21"/>
      <c r="U821" s="21" t="s">
        <v>539</v>
      </c>
      <c r="V821" s="29">
        <v>46144.4719444444</v>
      </c>
      <c r="W821">
        <f>VLOOKUP(H821,物料編碼!A:B,2,0)</f>
        <v>1300109002</v>
      </c>
      <c r="X821">
        <v>1300109</v>
      </c>
      <c r="Y821" t="str">
        <f>VLOOKUP(X821,物料編碼!D:G,4,0)</f>
        <v>面精肉</v>
      </c>
      <c r="Z821" t="str">
        <f>VLOOKUP(C821,客戶屬性1!A:C,2,0)</f>
        <v>诚信冻肉有限公司</v>
      </c>
      <c r="AA821">
        <f>IF(COUNTIF($O$1:O821,O821)=1,L821,0)</f>
        <v>1670</v>
      </c>
    </row>
    <row r="822" customHeight="1" spans="1:27">
      <c r="A822" s="21" t="s">
        <v>1628</v>
      </c>
      <c r="B822" s="21" t="s">
        <v>45</v>
      </c>
      <c r="C822" s="21" t="s">
        <v>1308</v>
      </c>
      <c r="D822" s="21" t="s">
        <v>1309</v>
      </c>
      <c r="E822" s="21" t="s">
        <v>1310</v>
      </c>
      <c r="F822" s="21" t="s">
        <v>49</v>
      </c>
      <c r="G822" s="21" t="s">
        <v>541</v>
      </c>
      <c r="H822" s="21" t="s">
        <v>117</v>
      </c>
      <c r="I822" s="26">
        <v>4</v>
      </c>
      <c r="J822" s="26">
        <v>60</v>
      </c>
      <c r="K822" s="21" t="s">
        <v>52</v>
      </c>
      <c r="L822" s="27">
        <v>886.8</v>
      </c>
      <c r="M822" s="21"/>
      <c r="N822" s="21"/>
      <c r="O822" s="21" t="s">
        <v>1629</v>
      </c>
      <c r="P822" s="21" t="s">
        <v>54</v>
      </c>
      <c r="Q822" s="28">
        <v>46146</v>
      </c>
      <c r="R822" s="29">
        <v>46144.4258680556</v>
      </c>
      <c r="S822" s="21" t="s">
        <v>1312</v>
      </c>
      <c r="T822" s="21"/>
      <c r="U822" s="21" t="s">
        <v>1309</v>
      </c>
      <c r="V822" s="29">
        <v>46144.4257986111</v>
      </c>
      <c r="W822">
        <f>VLOOKUP(H822,物料編碼!A:B,2,0)</f>
        <v>1300607015</v>
      </c>
      <c r="X822">
        <v>1300607</v>
      </c>
      <c r="Y822" t="str">
        <f>VLOOKUP(X822,物料編碼!D:G,4,0)</f>
        <v>帶皮腿扒</v>
      </c>
      <c r="Z822" t="str">
        <f>VLOOKUP(C822,客戶屬性1!A:C,2,0)</f>
        <v>再丰有限公司</v>
      </c>
      <c r="AA822">
        <f>IF(COUNTIF($O$1:O822,O822)=1,L822,0)</f>
        <v>886.8</v>
      </c>
    </row>
    <row r="823" customHeight="1" spans="1:27">
      <c r="A823" s="21" t="s">
        <v>1630</v>
      </c>
      <c r="B823" s="21" t="s">
        <v>45</v>
      </c>
      <c r="C823" s="21" t="s">
        <v>825</v>
      </c>
      <c r="D823" s="21" t="s">
        <v>826</v>
      </c>
      <c r="E823" s="21" t="s">
        <v>827</v>
      </c>
      <c r="F823" s="21" t="s">
        <v>49</v>
      </c>
      <c r="G823" s="21" t="s">
        <v>136</v>
      </c>
      <c r="H823" s="21" t="s">
        <v>111</v>
      </c>
      <c r="I823" s="26">
        <v>4</v>
      </c>
      <c r="J823" s="27">
        <v>128</v>
      </c>
      <c r="K823" s="21" t="s">
        <v>112</v>
      </c>
      <c r="L823" s="27">
        <v>883.2</v>
      </c>
      <c r="M823" s="21"/>
      <c r="N823" s="21"/>
      <c r="O823" s="21" t="s">
        <v>1631</v>
      </c>
      <c r="P823" s="21" t="s">
        <v>54</v>
      </c>
      <c r="Q823" s="28">
        <v>46144</v>
      </c>
      <c r="R823" s="29">
        <v>46142.6523032407</v>
      </c>
      <c r="S823" s="21" t="s">
        <v>829</v>
      </c>
      <c r="T823" s="21"/>
      <c r="U823" s="21" t="s">
        <v>826</v>
      </c>
      <c r="V823" s="29">
        <v>46142.6522569444</v>
      </c>
      <c r="W823">
        <f>VLOOKUP(H823,物料編碼!A:B,2,0)</f>
        <v>1310501001</v>
      </c>
      <c r="X823">
        <v>1310501</v>
      </c>
      <c r="Y823" t="str">
        <f>VLOOKUP(X823,物料編碼!D:G,4,0)</f>
        <v>腸類.雞肉腸</v>
      </c>
      <c r="Z823" t="str">
        <f>VLOOKUP(C823,客戶屬性1!A:C,2,0)</f>
        <v>鸿兴食品供应有限公司</v>
      </c>
      <c r="AA823">
        <f>IF(COUNTIF($O$1:O823,O823)=1,L823,0)</f>
        <v>883.2</v>
      </c>
    </row>
    <row r="824" customHeight="1" spans="1:27">
      <c r="A824" s="21" t="s">
        <v>1632</v>
      </c>
      <c r="B824" s="21" t="s">
        <v>45</v>
      </c>
      <c r="C824" s="21" t="s">
        <v>72</v>
      </c>
      <c r="D824" s="21" t="s">
        <v>73</v>
      </c>
      <c r="E824" s="21" t="s">
        <v>74</v>
      </c>
      <c r="F824" s="21" t="s">
        <v>49</v>
      </c>
      <c r="G824" s="21" t="s">
        <v>50</v>
      </c>
      <c r="H824" s="21" t="s">
        <v>298</v>
      </c>
      <c r="I824" s="26">
        <v>1</v>
      </c>
      <c r="J824" s="26">
        <v>10</v>
      </c>
      <c r="K824" s="21" t="s">
        <v>52</v>
      </c>
      <c r="L824" s="27">
        <v>520</v>
      </c>
      <c r="M824" s="21"/>
      <c r="N824" s="21"/>
      <c r="O824" s="21" t="s">
        <v>1633</v>
      </c>
      <c r="P824" s="21" t="s">
        <v>54</v>
      </c>
      <c r="Q824" s="28">
        <v>46144</v>
      </c>
      <c r="R824" s="29">
        <v>46142.6054976852</v>
      </c>
      <c r="S824" s="21" t="s">
        <v>377</v>
      </c>
      <c r="T824" s="21"/>
      <c r="U824" s="21" t="s">
        <v>82</v>
      </c>
      <c r="V824" s="29">
        <v>46142.605462963</v>
      </c>
      <c r="W824">
        <f>VLOOKUP(H824,物料編碼!A:B,2,0)</f>
        <v>1300111003</v>
      </c>
      <c r="X824">
        <v>1300111</v>
      </c>
      <c r="Y824" t="str">
        <f>VLOOKUP(X824,物料編碼!D:G,4,0)</f>
        <v>寸骨</v>
      </c>
      <c r="Z824" t="str">
        <f>VLOOKUP(C824,客戶屬性1!A:C,2,0)</f>
        <v>恒辉贸易公司</v>
      </c>
      <c r="AA824">
        <f>IF(COUNTIF($O$1:O824,O824)=1,L824,0)</f>
        <v>520</v>
      </c>
    </row>
    <row r="825" customHeight="1" spans="1:27">
      <c r="A825" s="21" t="s">
        <v>1634</v>
      </c>
      <c r="B825" s="21" t="s">
        <v>45</v>
      </c>
      <c r="C825" s="21" t="s">
        <v>72</v>
      </c>
      <c r="D825" s="21" t="s">
        <v>73</v>
      </c>
      <c r="E825" s="21" t="s">
        <v>74</v>
      </c>
      <c r="F825" s="21" t="s">
        <v>49</v>
      </c>
      <c r="G825" s="21" t="s">
        <v>50</v>
      </c>
      <c r="H825" s="21" t="s">
        <v>75</v>
      </c>
      <c r="I825" s="26">
        <v>1</v>
      </c>
      <c r="J825" s="26">
        <v>15</v>
      </c>
      <c r="K825" s="21" t="s">
        <v>52</v>
      </c>
      <c r="L825" s="27">
        <v>410.25</v>
      </c>
      <c r="M825" s="21"/>
      <c r="N825" s="21"/>
      <c r="O825" s="21" t="s">
        <v>1635</v>
      </c>
      <c r="P825" s="21" t="s">
        <v>54</v>
      </c>
      <c r="Q825" s="28">
        <v>46144</v>
      </c>
      <c r="R825" s="29">
        <v>46142.4906597222</v>
      </c>
      <c r="S825" s="21" t="s">
        <v>77</v>
      </c>
      <c r="T825" s="21"/>
      <c r="U825" s="21" t="s">
        <v>74</v>
      </c>
      <c r="V825" s="29">
        <v>46142.4906018519</v>
      </c>
      <c r="W825">
        <f>VLOOKUP(H825,物料編碼!A:B,2,0)</f>
        <v>1300603040</v>
      </c>
      <c r="X825">
        <v>1300603</v>
      </c>
      <c r="Y825" t="str">
        <f>VLOOKUP(X825,物料編碼!D:G,4,0)</f>
        <v>帶骨全腿</v>
      </c>
      <c r="Z825" t="str">
        <f>VLOOKUP(C825,客戶屬性1!A:C,2,0)</f>
        <v>恒辉贸易公司</v>
      </c>
      <c r="AA825">
        <f>IF(COUNTIF($O$1:O825,O825)=1,L825,0)</f>
        <v>410.25</v>
      </c>
    </row>
    <row r="826" customHeight="1" spans="1:27">
      <c r="A826" s="21" t="s">
        <v>1634</v>
      </c>
      <c r="B826" s="21" t="s">
        <v>45</v>
      </c>
      <c r="C826" s="21" t="s">
        <v>72</v>
      </c>
      <c r="D826" s="21" t="s">
        <v>73</v>
      </c>
      <c r="E826" s="21" t="s">
        <v>74</v>
      </c>
      <c r="F826" s="21" t="s">
        <v>49</v>
      </c>
      <c r="G826" s="21" t="s">
        <v>50</v>
      </c>
      <c r="H826" s="21" t="s">
        <v>78</v>
      </c>
      <c r="I826" s="26">
        <v>1</v>
      </c>
      <c r="J826" s="26">
        <v>15</v>
      </c>
      <c r="K826" s="21" t="s">
        <v>52</v>
      </c>
      <c r="L826" s="27">
        <v>410.25</v>
      </c>
      <c r="M826" s="21"/>
      <c r="N826" s="21"/>
      <c r="O826" s="21" t="s">
        <v>1635</v>
      </c>
      <c r="P826" s="21" t="s">
        <v>54</v>
      </c>
      <c r="Q826" s="28">
        <v>46144</v>
      </c>
      <c r="R826" s="29">
        <v>46142.4906597222</v>
      </c>
      <c r="S826" s="21" t="s">
        <v>77</v>
      </c>
      <c r="T826" s="21"/>
      <c r="U826" s="21" t="s">
        <v>74</v>
      </c>
      <c r="V826" s="29">
        <v>46142.4906018519</v>
      </c>
      <c r="W826">
        <f>VLOOKUP(H826,物料編碼!A:B,2,0)</f>
        <v>1300607014</v>
      </c>
      <c r="X826">
        <v>1300607</v>
      </c>
      <c r="Y826" t="str">
        <f>VLOOKUP(X826,物料編碼!D:G,4,0)</f>
        <v>帶皮腿扒</v>
      </c>
      <c r="Z826" t="str">
        <f>VLOOKUP(C826,客戶屬性1!A:C,2,0)</f>
        <v>恒辉贸易公司</v>
      </c>
      <c r="AA826">
        <f>IF(COUNTIF($O$1:O826,O826)=1,L826,0)</f>
        <v>0</v>
      </c>
    </row>
    <row r="827" customHeight="1" spans="1:27">
      <c r="A827" s="21" t="s">
        <v>1636</v>
      </c>
      <c r="B827" s="21" t="s">
        <v>45</v>
      </c>
      <c r="C827" s="21" t="s">
        <v>72</v>
      </c>
      <c r="D827" s="21" t="s">
        <v>73</v>
      </c>
      <c r="E827" s="21" t="s">
        <v>74</v>
      </c>
      <c r="F827" s="21" t="s">
        <v>49</v>
      </c>
      <c r="G827" s="21" t="s">
        <v>50</v>
      </c>
      <c r="H827" s="21" t="s">
        <v>78</v>
      </c>
      <c r="I827" s="26">
        <v>1</v>
      </c>
      <c r="J827" s="26">
        <v>15</v>
      </c>
      <c r="K827" s="21" t="s">
        <v>52</v>
      </c>
      <c r="L827" s="27">
        <v>221.7</v>
      </c>
      <c r="M827" s="21"/>
      <c r="N827" s="21"/>
      <c r="O827" s="21" t="s">
        <v>1637</v>
      </c>
      <c r="P827" s="21" t="s">
        <v>54</v>
      </c>
      <c r="Q827" s="28">
        <v>46144</v>
      </c>
      <c r="R827" s="29">
        <v>46142.4778125</v>
      </c>
      <c r="S827" s="21" t="s">
        <v>377</v>
      </c>
      <c r="T827" s="21"/>
      <c r="U827" s="21" t="s">
        <v>82</v>
      </c>
      <c r="V827" s="29">
        <v>46142.4777662037</v>
      </c>
      <c r="W827">
        <f>VLOOKUP(H827,物料編碼!A:B,2,0)</f>
        <v>1300607014</v>
      </c>
      <c r="X827">
        <v>1300607</v>
      </c>
      <c r="Y827" t="str">
        <f>VLOOKUP(X827,物料編碼!D:G,4,0)</f>
        <v>帶皮腿扒</v>
      </c>
      <c r="Z827" t="str">
        <f>VLOOKUP(C827,客戶屬性1!A:C,2,0)</f>
        <v>恒辉贸易公司</v>
      </c>
      <c r="AA827">
        <f>IF(COUNTIF($O$1:O827,O827)=1,L827,0)</f>
        <v>221.7</v>
      </c>
    </row>
    <row r="828" customHeight="1" spans="1:27">
      <c r="A828" s="21" t="s">
        <v>1638</v>
      </c>
      <c r="B828" s="21" t="s">
        <v>45</v>
      </c>
      <c r="C828" s="21" t="s">
        <v>141</v>
      </c>
      <c r="D828" s="21" t="s">
        <v>142</v>
      </c>
      <c r="E828" s="21" t="s">
        <v>142</v>
      </c>
      <c r="F828" s="21" t="s">
        <v>143</v>
      </c>
      <c r="G828" s="21" t="s">
        <v>100</v>
      </c>
      <c r="H828" s="21" t="s">
        <v>63</v>
      </c>
      <c r="I828" s="26">
        <v>1</v>
      </c>
      <c r="J828" s="26">
        <v>25</v>
      </c>
      <c r="K828" s="21" t="s">
        <v>52</v>
      </c>
      <c r="L828" s="27">
        <v>1355</v>
      </c>
      <c r="M828" s="21"/>
      <c r="N828" s="21"/>
      <c r="O828" s="21" t="s">
        <v>1639</v>
      </c>
      <c r="P828" s="21" t="s">
        <v>54</v>
      </c>
      <c r="Q828" s="28">
        <v>46146</v>
      </c>
      <c r="R828" s="29">
        <v>46142.4736921296</v>
      </c>
      <c r="S828" s="21" t="s">
        <v>145</v>
      </c>
      <c r="T828" s="21"/>
      <c r="U828" s="21" t="s">
        <v>142</v>
      </c>
      <c r="V828" s="29">
        <v>46142.4736458333</v>
      </c>
      <c r="W828">
        <f>VLOOKUP(H828,物料編碼!A:B,2,0)</f>
        <v>1300109002</v>
      </c>
      <c r="X828">
        <v>1300109</v>
      </c>
      <c r="Y828" t="str">
        <f>VLOOKUP(X828,物料編碼!D:G,4,0)</f>
        <v>面精肉</v>
      </c>
      <c r="Z828" t="str">
        <f>VLOOKUP(C828,客戶屬性1!A:C,2,0)</f>
        <v>新昌冻肉</v>
      </c>
      <c r="AA828">
        <f>IF(COUNTIF($O$1:O828,O828)=1,L828,0)</f>
        <v>1355</v>
      </c>
    </row>
    <row r="829" customHeight="1" spans="1:27">
      <c r="A829" s="21" t="s">
        <v>1638</v>
      </c>
      <c r="B829" s="21" t="s">
        <v>45</v>
      </c>
      <c r="C829" s="21" t="s">
        <v>141</v>
      </c>
      <c r="D829" s="21" t="s">
        <v>142</v>
      </c>
      <c r="E829" s="21" t="s">
        <v>142</v>
      </c>
      <c r="F829" s="21" t="s">
        <v>143</v>
      </c>
      <c r="G829" s="21" t="s">
        <v>100</v>
      </c>
      <c r="H829" s="21" t="s">
        <v>298</v>
      </c>
      <c r="I829" s="26">
        <v>1</v>
      </c>
      <c r="J829" s="26">
        <v>10</v>
      </c>
      <c r="K829" s="21" t="s">
        <v>52</v>
      </c>
      <c r="L829" s="27">
        <v>1355</v>
      </c>
      <c r="M829" s="21"/>
      <c r="N829" s="21"/>
      <c r="O829" s="21" t="s">
        <v>1639</v>
      </c>
      <c r="P829" s="21" t="s">
        <v>54</v>
      </c>
      <c r="Q829" s="28">
        <v>46146</v>
      </c>
      <c r="R829" s="29">
        <v>46142.4736921296</v>
      </c>
      <c r="S829" s="21" t="s">
        <v>145</v>
      </c>
      <c r="T829" s="21"/>
      <c r="U829" s="21" t="s">
        <v>142</v>
      </c>
      <c r="V829" s="29">
        <v>46142.4736458333</v>
      </c>
      <c r="W829">
        <f>VLOOKUP(H829,物料編碼!A:B,2,0)</f>
        <v>1300111003</v>
      </c>
      <c r="X829">
        <v>1300111</v>
      </c>
      <c r="Y829" t="str">
        <f>VLOOKUP(X829,物料編碼!D:G,4,0)</f>
        <v>寸骨</v>
      </c>
      <c r="Z829" t="str">
        <f>VLOOKUP(C829,客戶屬性1!A:C,2,0)</f>
        <v>新昌冻肉</v>
      </c>
      <c r="AA829">
        <f>IF(COUNTIF($O$1:O829,O829)=1,L829,0)</f>
        <v>0</v>
      </c>
    </row>
    <row r="830" customHeight="1" spans="1:27">
      <c r="A830" s="21" t="s">
        <v>1640</v>
      </c>
      <c r="B830" s="21" t="s">
        <v>45</v>
      </c>
      <c r="C830" s="21" t="s">
        <v>141</v>
      </c>
      <c r="D830" s="21" t="s">
        <v>142</v>
      </c>
      <c r="E830" s="21" t="s">
        <v>142</v>
      </c>
      <c r="F830" s="21" t="s">
        <v>143</v>
      </c>
      <c r="G830" s="21" t="s">
        <v>100</v>
      </c>
      <c r="H830" s="21" t="s">
        <v>60</v>
      </c>
      <c r="I830" s="26">
        <v>1</v>
      </c>
      <c r="J830" s="26">
        <v>25</v>
      </c>
      <c r="K830" s="21" t="s">
        <v>52</v>
      </c>
      <c r="L830" s="27">
        <v>2178</v>
      </c>
      <c r="M830" s="21"/>
      <c r="N830" s="21"/>
      <c r="O830" s="21" t="s">
        <v>1641</v>
      </c>
      <c r="P830" s="21" t="s">
        <v>54</v>
      </c>
      <c r="Q830" s="28">
        <v>46146</v>
      </c>
      <c r="R830" s="29">
        <v>46142.4726967593</v>
      </c>
      <c r="S830" s="21" t="s">
        <v>145</v>
      </c>
      <c r="T830" s="21"/>
      <c r="U830" s="21" t="s">
        <v>142</v>
      </c>
      <c r="V830" s="29">
        <v>46142.4726388889</v>
      </c>
      <c r="W830">
        <f>VLOOKUP(H830,物料編碼!A:B,2,0)</f>
        <v>1300101043</v>
      </c>
      <c r="X830">
        <v>1300101</v>
      </c>
      <c r="Y830" t="str">
        <f>VLOOKUP(X830,物料編碼!D:G,4,0)</f>
        <v>一號肉</v>
      </c>
      <c r="Z830" t="str">
        <f>VLOOKUP(C830,客戶屬性1!A:C,2,0)</f>
        <v>新昌冻肉</v>
      </c>
      <c r="AA830">
        <f>IF(COUNTIF($O$1:O830,O830)=1,L830,0)</f>
        <v>2178</v>
      </c>
    </row>
    <row r="831" customHeight="1" spans="1:27">
      <c r="A831" s="21" t="s">
        <v>1640</v>
      </c>
      <c r="B831" s="21" t="s">
        <v>45</v>
      </c>
      <c r="C831" s="21" t="s">
        <v>141</v>
      </c>
      <c r="D831" s="21" t="s">
        <v>142</v>
      </c>
      <c r="E831" s="21" t="s">
        <v>142</v>
      </c>
      <c r="F831" s="21" t="s">
        <v>143</v>
      </c>
      <c r="G831" s="21" t="s">
        <v>100</v>
      </c>
      <c r="H831" s="21" t="s">
        <v>1642</v>
      </c>
      <c r="I831" s="26">
        <v>2</v>
      </c>
      <c r="J831" s="26">
        <v>30</v>
      </c>
      <c r="K831" s="21" t="s">
        <v>52</v>
      </c>
      <c r="L831" s="27">
        <v>2178</v>
      </c>
      <c r="M831" s="21"/>
      <c r="N831" s="21"/>
      <c r="O831" s="21" t="s">
        <v>1641</v>
      </c>
      <c r="P831" s="21" t="s">
        <v>54</v>
      </c>
      <c r="Q831" s="28">
        <v>46146</v>
      </c>
      <c r="R831" s="29">
        <v>46142.4726967593</v>
      </c>
      <c r="S831" s="21" t="s">
        <v>145</v>
      </c>
      <c r="T831" s="21"/>
      <c r="U831" s="21" t="s">
        <v>142</v>
      </c>
      <c r="V831" s="29">
        <v>46142.4726388889</v>
      </c>
      <c r="W831">
        <f>VLOOKUP(H831,物料編碼!A:B,2,0)</f>
        <v>1300603042</v>
      </c>
      <c r="X831">
        <v>1300603</v>
      </c>
      <c r="Y831" t="str">
        <f>VLOOKUP(X831,物料編碼!D:G,4,0)</f>
        <v>帶骨全腿</v>
      </c>
      <c r="Z831" t="str">
        <f>VLOOKUP(C831,客戶屬性1!A:C,2,0)</f>
        <v>新昌冻肉</v>
      </c>
      <c r="AA831">
        <f>IF(COUNTIF($O$1:O831,O831)=1,L831,0)</f>
        <v>0</v>
      </c>
    </row>
    <row r="832" customHeight="1" spans="1:27">
      <c r="A832" s="21" t="s">
        <v>1640</v>
      </c>
      <c r="B832" s="21" t="s">
        <v>45</v>
      </c>
      <c r="C832" s="21" t="s">
        <v>141</v>
      </c>
      <c r="D832" s="21" t="s">
        <v>142</v>
      </c>
      <c r="E832" s="21" t="s">
        <v>142</v>
      </c>
      <c r="F832" s="21" t="s">
        <v>143</v>
      </c>
      <c r="G832" s="21" t="s">
        <v>100</v>
      </c>
      <c r="H832" s="21" t="s">
        <v>302</v>
      </c>
      <c r="I832" s="26">
        <v>1</v>
      </c>
      <c r="J832" s="26">
        <v>12</v>
      </c>
      <c r="K832" s="21" t="s">
        <v>52</v>
      </c>
      <c r="L832" s="27">
        <v>2178</v>
      </c>
      <c r="M832" s="21"/>
      <c r="N832" s="21"/>
      <c r="O832" s="21" t="s">
        <v>1641</v>
      </c>
      <c r="P832" s="21" t="s">
        <v>54</v>
      </c>
      <c r="Q832" s="28">
        <v>46146</v>
      </c>
      <c r="R832" s="29">
        <v>46142.4726967593</v>
      </c>
      <c r="S832" s="21" t="s">
        <v>145</v>
      </c>
      <c r="T832" s="21"/>
      <c r="U832" s="21" t="s">
        <v>142</v>
      </c>
      <c r="V832" s="29">
        <v>46142.4726388889</v>
      </c>
      <c r="W832">
        <f>VLOOKUP(H832,物料編碼!A:B,2,0)</f>
        <v>1300609018</v>
      </c>
      <c r="X832">
        <v>1300609</v>
      </c>
      <c r="Y832" t="str">
        <f>VLOOKUP(X832,物料編碼!D:G,4,0)</f>
        <v>去皮上腿肉</v>
      </c>
      <c r="Z832" t="str">
        <f>VLOOKUP(C832,客戶屬性1!A:C,2,0)</f>
        <v>新昌冻肉</v>
      </c>
      <c r="AA832">
        <f>IF(COUNTIF($O$1:O832,O832)=1,L832,0)</f>
        <v>0</v>
      </c>
    </row>
    <row r="833" customHeight="1" spans="1:27">
      <c r="A833" s="21" t="s">
        <v>1640</v>
      </c>
      <c r="B833" s="21" t="s">
        <v>45</v>
      </c>
      <c r="C833" s="21" t="s">
        <v>141</v>
      </c>
      <c r="D833" s="21" t="s">
        <v>142</v>
      </c>
      <c r="E833" s="21" t="s">
        <v>142</v>
      </c>
      <c r="F833" s="21" t="s">
        <v>143</v>
      </c>
      <c r="G833" s="21" t="s">
        <v>100</v>
      </c>
      <c r="H833" s="21" t="s">
        <v>117</v>
      </c>
      <c r="I833" s="26">
        <v>3</v>
      </c>
      <c r="J833" s="26">
        <v>45</v>
      </c>
      <c r="K833" s="21" t="s">
        <v>52</v>
      </c>
      <c r="L833" s="27">
        <v>2178</v>
      </c>
      <c r="M833" s="21"/>
      <c r="N833" s="21"/>
      <c r="O833" s="21" t="s">
        <v>1641</v>
      </c>
      <c r="P833" s="21" t="s">
        <v>54</v>
      </c>
      <c r="Q833" s="28">
        <v>46146</v>
      </c>
      <c r="R833" s="29">
        <v>46142.4726967593</v>
      </c>
      <c r="S833" s="21" t="s">
        <v>145</v>
      </c>
      <c r="T833" s="21"/>
      <c r="U833" s="21" t="s">
        <v>142</v>
      </c>
      <c r="V833" s="29">
        <v>46142.4726388889</v>
      </c>
      <c r="W833">
        <f>VLOOKUP(H833,物料編碼!A:B,2,0)</f>
        <v>1300607015</v>
      </c>
      <c r="X833">
        <v>1300607</v>
      </c>
      <c r="Y833" t="str">
        <f>VLOOKUP(X833,物料編碼!D:G,4,0)</f>
        <v>帶皮腿扒</v>
      </c>
      <c r="Z833" t="str">
        <f>VLOOKUP(C833,客戶屬性1!A:C,2,0)</f>
        <v>新昌冻肉</v>
      </c>
      <c r="AA833">
        <f>IF(COUNTIF($O$1:O833,O833)=1,L833,0)</f>
        <v>0</v>
      </c>
    </row>
    <row r="834" customHeight="1" spans="1:27">
      <c r="A834" s="21" t="s">
        <v>1643</v>
      </c>
      <c r="B834" s="21" t="s">
        <v>45</v>
      </c>
      <c r="C834" s="21" t="s">
        <v>141</v>
      </c>
      <c r="D834" s="21" t="s">
        <v>142</v>
      </c>
      <c r="E834" s="21" t="s">
        <v>142</v>
      </c>
      <c r="F834" s="21" t="s">
        <v>143</v>
      </c>
      <c r="G834" s="21" t="s">
        <v>100</v>
      </c>
      <c r="H834" s="21" t="s">
        <v>298</v>
      </c>
      <c r="I834" s="26">
        <v>1</v>
      </c>
      <c r="J834" s="26">
        <v>10</v>
      </c>
      <c r="K834" s="21" t="s">
        <v>52</v>
      </c>
      <c r="L834" s="27">
        <v>520</v>
      </c>
      <c r="M834" s="21"/>
      <c r="N834" s="21"/>
      <c r="O834" s="21" t="s">
        <v>1644</v>
      </c>
      <c r="P834" s="21" t="s">
        <v>54</v>
      </c>
      <c r="Q834" s="28">
        <v>46144</v>
      </c>
      <c r="R834" s="29">
        <v>46142.4709027778</v>
      </c>
      <c r="S834" s="21" t="s">
        <v>145</v>
      </c>
      <c r="T834" s="21"/>
      <c r="U834" s="21" t="s">
        <v>142</v>
      </c>
      <c r="V834" s="29">
        <v>46142.4708564815</v>
      </c>
      <c r="W834">
        <f>VLOOKUP(H834,物料編碼!A:B,2,0)</f>
        <v>1300111003</v>
      </c>
      <c r="X834">
        <v>1300111</v>
      </c>
      <c r="Y834" t="str">
        <f>VLOOKUP(X834,物料編碼!D:G,4,0)</f>
        <v>寸骨</v>
      </c>
      <c r="Z834" t="str">
        <f>VLOOKUP(C834,客戶屬性1!A:C,2,0)</f>
        <v>新昌冻肉</v>
      </c>
      <c r="AA834">
        <f>IF(COUNTIF($O$1:O834,O834)=1,L834,0)</f>
        <v>520</v>
      </c>
    </row>
    <row r="835" customHeight="1" spans="1:27">
      <c r="A835" s="21" t="s">
        <v>1645</v>
      </c>
      <c r="B835" s="21" t="s">
        <v>45</v>
      </c>
      <c r="C835" s="21" t="s">
        <v>141</v>
      </c>
      <c r="D835" s="21" t="s">
        <v>142</v>
      </c>
      <c r="E835" s="21" t="s">
        <v>142</v>
      </c>
      <c r="F835" s="21" t="s">
        <v>143</v>
      </c>
      <c r="G835" s="21" t="s">
        <v>100</v>
      </c>
      <c r="H835" s="21" t="s">
        <v>1642</v>
      </c>
      <c r="I835" s="26">
        <v>2</v>
      </c>
      <c r="J835" s="26">
        <v>30</v>
      </c>
      <c r="K835" s="21" t="s">
        <v>52</v>
      </c>
      <c r="L835" s="27">
        <v>1617.8</v>
      </c>
      <c r="M835" s="21"/>
      <c r="N835" s="21"/>
      <c r="O835" s="21" t="s">
        <v>1646</v>
      </c>
      <c r="P835" s="21" t="s">
        <v>54</v>
      </c>
      <c r="Q835" s="28">
        <v>46144</v>
      </c>
      <c r="R835" s="29">
        <v>46142.4701967593</v>
      </c>
      <c r="S835" s="21" t="s">
        <v>145</v>
      </c>
      <c r="T835" s="21"/>
      <c r="U835" s="21" t="s">
        <v>142</v>
      </c>
      <c r="V835" s="29">
        <v>46142.470150463</v>
      </c>
      <c r="W835">
        <f>VLOOKUP(H835,物料編碼!A:B,2,0)</f>
        <v>1300603042</v>
      </c>
      <c r="X835">
        <v>1300603</v>
      </c>
      <c r="Y835" t="str">
        <f>VLOOKUP(X835,物料編碼!D:G,4,0)</f>
        <v>帶骨全腿</v>
      </c>
      <c r="Z835" t="str">
        <f>VLOOKUP(C835,客戶屬性1!A:C,2,0)</f>
        <v>新昌冻肉</v>
      </c>
      <c r="AA835">
        <f>IF(COUNTIF($O$1:O835,O835)=1,L835,0)</f>
        <v>1617.8</v>
      </c>
    </row>
    <row r="836" customHeight="1" spans="1:27">
      <c r="A836" s="21" t="s">
        <v>1645</v>
      </c>
      <c r="B836" s="21" t="s">
        <v>45</v>
      </c>
      <c r="C836" s="21" t="s">
        <v>141</v>
      </c>
      <c r="D836" s="21" t="s">
        <v>142</v>
      </c>
      <c r="E836" s="21" t="s">
        <v>142</v>
      </c>
      <c r="F836" s="21" t="s">
        <v>143</v>
      </c>
      <c r="G836" s="21" t="s">
        <v>100</v>
      </c>
      <c r="H836" s="21" t="s">
        <v>302</v>
      </c>
      <c r="I836" s="26">
        <v>2</v>
      </c>
      <c r="J836" s="26">
        <v>24</v>
      </c>
      <c r="K836" s="21" t="s">
        <v>52</v>
      </c>
      <c r="L836" s="27">
        <v>1617.8</v>
      </c>
      <c r="M836" s="21"/>
      <c r="N836" s="21"/>
      <c r="O836" s="21" t="s">
        <v>1646</v>
      </c>
      <c r="P836" s="21" t="s">
        <v>54</v>
      </c>
      <c r="Q836" s="28">
        <v>46144</v>
      </c>
      <c r="R836" s="29">
        <v>46142.4701967593</v>
      </c>
      <c r="S836" s="21" t="s">
        <v>145</v>
      </c>
      <c r="T836" s="21"/>
      <c r="U836" s="21" t="s">
        <v>142</v>
      </c>
      <c r="V836" s="29">
        <v>46142.470150463</v>
      </c>
      <c r="W836">
        <f>VLOOKUP(H836,物料編碼!A:B,2,0)</f>
        <v>1300609018</v>
      </c>
      <c r="X836">
        <v>1300609</v>
      </c>
      <c r="Y836" t="str">
        <f>VLOOKUP(X836,物料編碼!D:G,4,0)</f>
        <v>去皮上腿肉</v>
      </c>
      <c r="Z836" t="str">
        <f>VLOOKUP(C836,客戶屬性1!A:C,2,0)</f>
        <v>新昌冻肉</v>
      </c>
      <c r="AA836">
        <f>IF(COUNTIF($O$1:O836,O836)=1,L836,0)</f>
        <v>0</v>
      </c>
    </row>
    <row r="837" customHeight="1" spans="1:27">
      <c r="A837" s="21" t="s">
        <v>1645</v>
      </c>
      <c r="B837" s="21" t="s">
        <v>45</v>
      </c>
      <c r="C837" s="21" t="s">
        <v>141</v>
      </c>
      <c r="D837" s="21" t="s">
        <v>142</v>
      </c>
      <c r="E837" s="21" t="s">
        <v>142</v>
      </c>
      <c r="F837" s="21" t="s">
        <v>143</v>
      </c>
      <c r="G837" s="21" t="s">
        <v>100</v>
      </c>
      <c r="H837" s="21" t="s">
        <v>117</v>
      </c>
      <c r="I837" s="26">
        <v>3</v>
      </c>
      <c r="J837" s="26">
        <v>45</v>
      </c>
      <c r="K837" s="21" t="s">
        <v>52</v>
      </c>
      <c r="L837" s="27">
        <v>1617.8</v>
      </c>
      <c r="M837" s="21"/>
      <c r="N837" s="21"/>
      <c r="O837" s="21" t="s">
        <v>1646</v>
      </c>
      <c r="P837" s="21" t="s">
        <v>54</v>
      </c>
      <c r="Q837" s="28">
        <v>46144</v>
      </c>
      <c r="R837" s="29">
        <v>46142.4701967593</v>
      </c>
      <c r="S837" s="21" t="s">
        <v>145</v>
      </c>
      <c r="T837" s="21"/>
      <c r="U837" s="21" t="s">
        <v>142</v>
      </c>
      <c r="V837" s="29">
        <v>46142.470150463</v>
      </c>
      <c r="W837">
        <f>VLOOKUP(H837,物料編碼!A:B,2,0)</f>
        <v>1300607015</v>
      </c>
      <c r="X837">
        <v>1300607</v>
      </c>
      <c r="Y837" t="str">
        <f>VLOOKUP(X837,物料編碼!D:G,4,0)</f>
        <v>帶皮腿扒</v>
      </c>
      <c r="Z837" t="str">
        <f>VLOOKUP(C837,客戶屬性1!A:C,2,0)</f>
        <v>新昌冻肉</v>
      </c>
      <c r="AA837">
        <f>IF(COUNTIF($O$1:O837,O837)=1,L837,0)</f>
        <v>0</v>
      </c>
    </row>
    <row r="838" customHeight="1" spans="1:27">
      <c r="A838" s="21" t="s">
        <v>1645</v>
      </c>
      <c r="B838" s="21" t="s">
        <v>45</v>
      </c>
      <c r="C838" s="21" t="s">
        <v>141</v>
      </c>
      <c r="D838" s="21" t="s">
        <v>142</v>
      </c>
      <c r="E838" s="21" t="s">
        <v>142</v>
      </c>
      <c r="F838" s="21" t="s">
        <v>143</v>
      </c>
      <c r="G838" s="21" t="s">
        <v>100</v>
      </c>
      <c r="H838" s="21" t="s">
        <v>168</v>
      </c>
      <c r="I838" s="26">
        <v>2</v>
      </c>
      <c r="J838" s="26">
        <v>20</v>
      </c>
      <c r="K838" s="21" t="s">
        <v>52</v>
      </c>
      <c r="L838" s="27">
        <v>1617.8</v>
      </c>
      <c r="M838" s="21"/>
      <c r="N838" s="21"/>
      <c r="O838" s="21" t="s">
        <v>1646</v>
      </c>
      <c r="P838" s="21" t="s">
        <v>54</v>
      </c>
      <c r="Q838" s="28">
        <v>46144</v>
      </c>
      <c r="R838" s="29">
        <v>46142.4701967593</v>
      </c>
      <c r="S838" s="21" t="s">
        <v>145</v>
      </c>
      <c r="T838" s="21"/>
      <c r="U838" s="21" t="s">
        <v>142</v>
      </c>
      <c r="V838" s="29">
        <v>46142.470150463</v>
      </c>
      <c r="W838">
        <f>VLOOKUP(H838,物料編碼!A:B,2,0)</f>
        <v>1300627002</v>
      </c>
      <c r="X838">
        <v>1300627</v>
      </c>
      <c r="Y838" t="str">
        <f>VLOOKUP(X838,物料編碼!D:G,4,0)</f>
        <v>翅尖</v>
      </c>
      <c r="Z838" t="str">
        <f>VLOOKUP(C838,客戶屬性1!A:C,2,0)</f>
        <v>新昌冻肉</v>
      </c>
      <c r="AA838">
        <f>IF(COUNTIF($O$1:O838,O838)=1,L838,0)</f>
        <v>0</v>
      </c>
    </row>
    <row r="839" customHeight="1" spans="1:27">
      <c r="A839" s="21" t="s">
        <v>1647</v>
      </c>
      <c r="B839" s="21" t="s">
        <v>45</v>
      </c>
      <c r="C839" s="21" t="s">
        <v>114</v>
      </c>
      <c r="D839" s="21" t="s">
        <v>115</v>
      </c>
      <c r="E839" s="21" t="s">
        <v>116</v>
      </c>
      <c r="F839" s="21" t="s">
        <v>49</v>
      </c>
      <c r="G839" s="21" t="s">
        <v>100</v>
      </c>
      <c r="H839" s="21" t="s">
        <v>298</v>
      </c>
      <c r="I839" s="26">
        <v>1</v>
      </c>
      <c r="J839" s="26">
        <v>10</v>
      </c>
      <c r="K839" s="21" t="s">
        <v>52</v>
      </c>
      <c r="L839" s="27">
        <v>520</v>
      </c>
      <c r="M839" s="21"/>
      <c r="N839" s="21"/>
      <c r="O839" s="21" t="s">
        <v>1648</v>
      </c>
      <c r="P839" s="21" t="s">
        <v>54</v>
      </c>
      <c r="Q839" s="28">
        <v>46142</v>
      </c>
      <c r="R839" s="29">
        <v>46142.4183796296</v>
      </c>
      <c r="S839" s="21" t="s">
        <v>119</v>
      </c>
      <c r="T839" s="21"/>
      <c r="U839" s="21" t="s">
        <v>115</v>
      </c>
      <c r="V839" s="29">
        <v>46142.4183333333</v>
      </c>
      <c r="W839">
        <f>VLOOKUP(H839,物料編碼!A:B,2,0)</f>
        <v>1300111003</v>
      </c>
      <c r="X839">
        <v>1300111</v>
      </c>
      <c r="Y839" t="str">
        <f>VLOOKUP(X839,物料編碼!D:G,4,0)</f>
        <v>寸骨</v>
      </c>
      <c r="Z839" t="str">
        <f>VLOOKUP(C839,客戶屬性1!A:C,2,0)</f>
        <v>骏利贸易公司</v>
      </c>
      <c r="AA839">
        <f>IF(COUNTIF($O$1:O839,O839)=1,L839,0)</f>
        <v>520</v>
      </c>
    </row>
    <row r="840" customHeight="1" spans="1:27">
      <c r="A840" s="21" t="s">
        <v>1649</v>
      </c>
      <c r="B840" s="21" t="s">
        <v>45</v>
      </c>
      <c r="C840" s="21" t="s">
        <v>1460</v>
      </c>
      <c r="D840" s="21" t="s">
        <v>1461</v>
      </c>
      <c r="E840" s="21" t="s">
        <v>1462</v>
      </c>
      <c r="F840" s="21" t="s">
        <v>49</v>
      </c>
      <c r="G840" s="21" t="s">
        <v>541</v>
      </c>
      <c r="H840" s="21" t="s">
        <v>75</v>
      </c>
      <c r="I840" s="26">
        <v>1</v>
      </c>
      <c r="J840" s="26">
        <v>15</v>
      </c>
      <c r="K840" s="21" t="s">
        <v>52</v>
      </c>
      <c r="L840" s="27">
        <v>188.55</v>
      </c>
      <c r="M840" s="21"/>
      <c r="N840" s="21"/>
      <c r="O840" s="21" t="s">
        <v>1650</v>
      </c>
      <c r="P840" s="21" t="s">
        <v>54</v>
      </c>
      <c r="Q840" s="28">
        <v>46142</v>
      </c>
      <c r="R840" s="29">
        <v>46141.712962963</v>
      </c>
      <c r="S840" s="21" t="s">
        <v>1464</v>
      </c>
      <c r="T840" s="21"/>
      <c r="U840" s="21" t="s">
        <v>1461</v>
      </c>
      <c r="V840" s="29">
        <v>46141.7129166667</v>
      </c>
      <c r="W840">
        <f>VLOOKUP(H840,物料編碼!A:B,2,0)</f>
        <v>1300603040</v>
      </c>
      <c r="X840">
        <v>1300603</v>
      </c>
      <c r="Y840" t="str">
        <f>VLOOKUP(X840,物料編碼!D:G,4,0)</f>
        <v>帶骨全腿</v>
      </c>
      <c r="Z840" t="str">
        <f>VLOOKUP(C840,客戶屬性1!A:C,2,0)</f>
        <v>新江公司</v>
      </c>
      <c r="AA840">
        <f>IF(COUNTIF($O$1:O840,O840)=1,L840,0)</f>
        <v>188.55</v>
      </c>
    </row>
    <row r="841" customHeight="1" spans="1:27">
      <c r="A841" s="21" t="s">
        <v>1651</v>
      </c>
      <c r="B841" s="21" t="s">
        <v>45</v>
      </c>
      <c r="C841" s="21" t="s">
        <v>1460</v>
      </c>
      <c r="D841" s="21" t="s">
        <v>1461</v>
      </c>
      <c r="E841" s="21" t="s">
        <v>1462</v>
      </c>
      <c r="F841" s="21" t="s">
        <v>49</v>
      </c>
      <c r="G841" s="21" t="s">
        <v>541</v>
      </c>
      <c r="H841" s="21" t="s">
        <v>75</v>
      </c>
      <c r="I841" s="26">
        <v>1</v>
      </c>
      <c r="J841" s="26">
        <v>15</v>
      </c>
      <c r="K841" s="21" t="s">
        <v>52</v>
      </c>
      <c r="L841" s="27">
        <v>188.55</v>
      </c>
      <c r="M841" s="21"/>
      <c r="N841" s="21"/>
      <c r="O841" s="21" t="s">
        <v>1652</v>
      </c>
      <c r="P841" s="21" t="s">
        <v>54</v>
      </c>
      <c r="Q841" s="28">
        <v>46142</v>
      </c>
      <c r="R841" s="29">
        <v>46141.7119560185</v>
      </c>
      <c r="S841" s="21" t="s">
        <v>1464</v>
      </c>
      <c r="T841" s="21"/>
      <c r="U841" s="21" t="s">
        <v>1461</v>
      </c>
      <c r="V841" s="29">
        <v>46141.7119097222</v>
      </c>
      <c r="W841">
        <f>VLOOKUP(H841,物料編碼!A:B,2,0)</f>
        <v>1300603040</v>
      </c>
      <c r="X841">
        <v>1300603</v>
      </c>
      <c r="Y841" t="str">
        <f>VLOOKUP(X841,物料編碼!D:G,4,0)</f>
        <v>帶骨全腿</v>
      </c>
      <c r="Z841" t="str">
        <f>VLOOKUP(C841,客戶屬性1!A:C,2,0)</f>
        <v>新江公司</v>
      </c>
      <c r="AA841">
        <f>IF(COUNTIF($O$1:O841,O841)=1,L841,0)</f>
        <v>188.55</v>
      </c>
    </row>
    <row r="842" customHeight="1" spans="1:27">
      <c r="A842" s="21" t="s">
        <v>1653</v>
      </c>
      <c r="B842" s="21" t="s">
        <v>45</v>
      </c>
      <c r="C842" s="21" t="s">
        <v>1460</v>
      </c>
      <c r="D842" s="21" t="s">
        <v>1461</v>
      </c>
      <c r="E842" s="21" t="s">
        <v>1462</v>
      </c>
      <c r="F842" s="21" t="s">
        <v>49</v>
      </c>
      <c r="G842" s="21" t="s">
        <v>541</v>
      </c>
      <c r="H842" s="21" t="s">
        <v>283</v>
      </c>
      <c r="I842" s="26">
        <v>2</v>
      </c>
      <c r="J842" s="26">
        <v>50</v>
      </c>
      <c r="K842" s="21" t="s">
        <v>52</v>
      </c>
      <c r="L842" s="27">
        <v>990</v>
      </c>
      <c r="M842" s="21"/>
      <c r="N842" s="21"/>
      <c r="O842" s="21" t="s">
        <v>1654</v>
      </c>
      <c r="P842" s="21" t="s">
        <v>54</v>
      </c>
      <c r="Q842" s="28">
        <v>46142</v>
      </c>
      <c r="R842" s="29">
        <v>46141.6991666667</v>
      </c>
      <c r="S842" s="21" t="s">
        <v>1464</v>
      </c>
      <c r="T842" s="21"/>
      <c r="U842" s="21" t="s">
        <v>1461</v>
      </c>
      <c r="V842" s="29">
        <v>46141.6991203704</v>
      </c>
      <c r="W842">
        <f>VLOOKUP(H842,物料編碼!A:B,2,0)</f>
        <v>1300104005</v>
      </c>
      <c r="X842">
        <v>1300104</v>
      </c>
      <c r="Y842" t="str">
        <f>VLOOKUP(X842,物料編碼!D:G,4,0)</f>
        <v>四號肉</v>
      </c>
      <c r="Z842" t="str">
        <f>VLOOKUP(C842,客戶屬性1!A:C,2,0)</f>
        <v>新江公司</v>
      </c>
      <c r="AA842">
        <f>IF(COUNTIF($O$1:O842,O842)=1,L842,0)</f>
        <v>990</v>
      </c>
    </row>
    <row r="843" customHeight="1" spans="1:27">
      <c r="A843" s="21" t="s">
        <v>1655</v>
      </c>
      <c r="B843" s="21" t="s">
        <v>45</v>
      </c>
      <c r="C843" s="21" t="s">
        <v>1460</v>
      </c>
      <c r="D843" s="21" t="s">
        <v>1461</v>
      </c>
      <c r="E843" s="21" t="s">
        <v>1462</v>
      </c>
      <c r="F843" s="21" t="s">
        <v>49</v>
      </c>
      <c r="G843" s="21" t="s">
        <v>541</v>
      </c>
      <c r="H843" s="21" t="s">
        <v>328</v>
      </c>
      <c r="I843" s="26">
        <v>3</v>
      </c>
      <c r="J843" s="26">
        <v>45</v>
      </c>
      <c r="K843" s="21" t="s">
        <v>52</v>
      </c>
      <c r="L843" s="27">
        <v>664.65</v>
      </c>
      <c r="M843" s="21"/>
      <c r="N843" s="21"/>
      <c r="O843" s="21" t="s">
        <v>1656</v>
      </c>
      <c r="P843" s="21" t="s">
        <v>54</v>
      </c>
      <c r="Q843" s="28">
        <v>46142</v>
      </c>
      <c r="R843" s="29">
        <v>46141.6961226852</v>
      </c>
      <c r="S843" s="21" t="s">
        <v>1464</v>
      </c>
      <c r="T843" s="21"/>
      <c r="U843" s="21" t="s">
        <v>1461</v>
      </c>
      <c r="V843" s="29">
        <v>46141.6960763889</v>
      </c>
      <c r="W843">
        <f>VLOOKUP(H843,物料編碼!A:B,2,0)</f>
        <v>1300603038</v>
      </c>
      <c r="X843">
        <v>1300603</v>
      </c>
      <c r="Y843" t="str">
        <f>VLOOKUP(X843,物料編碼!D:G,4,0)</f>
        <v>帶骨全腿</v>
      </c>
      <c r="Z843" t="str">
        <f>VLOOKUP(C843,客戶屬性1!A:C,2,0)</f>
        <v>新江公司</v>
      </c>
      <c r="AA843">
        <f>IF(COUNTIF($O$1:O843,O843)=1,L843,0)</f>
        <v>664.65</v>
      </c>
    </row>
    <row r="844" customHeight="1" spans="1:27">
      <c r="A844" s="21" t="s">
        <v>1657</v>
      </c>
      <c r="B844" s="21" t="s">
        <v>45</v>
      </c>
      <c r="C844" s="21" t="s">
        <v>1460</v>
      </c>
      <c r="D844" s="21" t="s">
        <v>1461</v>
      </c>
      <c r="E844" s="21" t="s">
        <v>1462</v>
      </c>
      <c r="F844" s="21" t="s">
        <v>49</v>
      </c>
      <c r="G844" s="21" t="s">
        <v>541</v>
      </c>
      <c r="H844" s="21" t="s">
        <v>117</v>
      </c>
      <c r="I844" s="26">
        <v>10</v>
      </c>
      <c r="J844" s="26">
        <v>150</v>
      </c>
      <c r="K844" s="21" t="s">
        <v>52</v>
      </c>
      <c r="L844" s="27">
        <v>2217</v>
      </c>
      <c r="M844" s="21"/>
      <c r="N844" s="21"/>
      <c r="O844" s="21" t="s">
        <v>1658</v>
      </c>
      <c r="P844" s="21" t="s">
        <v>54</v>
      </c>
      <c r="Q844" s="28">
        <v>46142</v>
      </c>
      <c r="R844" s="29">
        <v>46141.6937037037</v>
      </c>
      <c r="S844" s="21" t="s">
        <v>1464</v>
      </c>
      <c r="T844" s="21"/>
      <c r="U844" s="21" t="s">
        <v>1461</v>
      </c>
      <c r="V844" s="29">
        <v>46141.6936458333</v>
      </c>
      <c r="W844">
        <f>VLOOKUP(H844,物料編碼!A:B,2,0)</f>
        <v>1300607015</v>
      </c>
      <c r="X844">
        <v>1300607</v>
      </c>
      <c r="Y844" t="str">
        <f>VLOOKUP(X844,物料編碼!D:G,4,0)</f>
        <v>帶皮腿扒</v>
      </c>
      <c r="Z844" t="str">
        <f>VLOOKUP(C844,客戶屬性1!A:C,2,0)</f>
        <v>新江公司</v>
      </c>
      <c r="AA844">
        <f>IF(COUNTIF($O$1:O844,O844)=1,L844,0)</f>
        <v>2217</v>
      </c>
    </row>
    <row r="845" customHeight="1" spans="1:27">
      <c r="A845" s="21" t="s">
        <v>1659</v>
      </c>
      <c r="B845" s="21" t="s">
        <v>45</v>
      </c>
      <c r="C845" s="21" t="s">
        <v>126</v>
      </c>
      <c r="D845" s="21" t="s">
        <v>127</v>
      </c>
      <c r="E845" s="21" t="s">
        <v>128</v>
      </c>
      <c r="F845" s="21" t="s">
        <v>49</v>
      </c>
      <c r="G845" s="21" t="s">
        <v>129</v>
      </c>
      <c r="H845" s="21" t="s">
        <v>117</v>
      </c>
      <c r="I845" s="26">
        <v>10</v>
      </c>
      <c r="J845" s="26">
        <v>150</v>
      </c>
      <c r="K845" s="21" t="s">
        <v>52</v>
      </c>
      <c r="L845" s="27">
        <v>2217</v>
      </c>
      <c r="M845" s="21"/>
      <c r="N845" s="21"/>
      <c r="O845" s="21" t="s">
        <v>1660</v>
      </c>
      <c r="P845" s="21" t="s">
        <v>54</v>
      </c>
      <c r="Q845" s="28">
        <v>46141</v>
      </c>
      <c r="R845" s="29">
        <v>46141.5319444444</v>
      </c>
      <c r="S845" s="21" t="s">
        <v>131</v>
      </c>
      <c r="T845" s="21"/>
      <c r="U845" s="21" t="s">
        <v>127</v>
      </c>
      <c r="V845" s="29">
        <v>46141.5318981481</v>
      </c>
      <c r="W845">
        <f>VLOOKUP(H845,物料編碼!A:B,2,0)</f>
        <v>1300607015</v>
      </c>
      <c r="X845">
        <v>1300607</v>
      </c>
      <c r="Y845" t="str">
        <f>VLOOKUP(X845,物料編碼!D:G,4,0)</f>
        <v>帶皮腿扒</v>
      </c>
      <c r="Z845" t="str">
        <f>VLOOKUP(C845,客戶屬性1!A:C,2,0)</f>
        <v>福源食品有限公司</v>
      </c>
      <c r="AA845">
        <f>IF(COUNTIF($O$1:O845,O845)=1,L845,0)</f>
        <v>2217</v>
      </c>
    </row>
    <row r="846" customHeight="1" spans="1:27">
      <c r="A846" s="21" t="s">
        <v>1661</v>
      </c>
      <c r="B846" s="21" t="s">
        <v>45</v>
      </c>
      <c r="C846" s="21" t="s">
        <v>171</v>
      </c>
      <c r="D846" s="21" t="s">
        <v>172</v>
      </c>
      <c r="E846" s="21" t="s">
        <v>173</v>
      </c>
      <c r="F846" s="21" t="s">
        <v>49</v>
      </c>
      <c r="G846" s="21" t="s">
        <v>174</v>
      </c>
      <c r="H846" s="21" t="s">
        <v>283</v>
      </c>
      <c r="I846" s="26">
        <v>10</v>
      </c>
      <c r="J846" s="26">
        <v>250</v>
      </c>
      <c r="K846" s="21" t="s">
        <v>52</v>
      </c>
      <c r="L846" s="27">
        <v>4950</v>
      </c>
      <c r="M846" s="21"/>
      <c r="N846" s="21"/>
      <c r="O846" s="21" t="s">
        <v>1662</v>
      </c>
      <c r="P846" s="21" t="s">
        <v>54</v>
      </c>
      <c r="Q846" s="28">
        <v>46142</v>
      </c>
      <c r="R846" s="29">
        <v>46141.52625</v>
      </c>
      <c r="S846" s="21" t="s">
        <v>177</v>
      </c>
      <c r="T846" s="21"/>
      <c r="U846" s="21" t="s">
        <v>172</v>
      </c>
      <c r="V846" s="29">
        <v>46141.5262037037</v>
      </c>
      <c r="W846">
        <f>VLOOKUP(H846,物料編碼!A:B,2,0)</f>
        <v>1300104005</v>
      </c>
      <c r="X846">
        <v>1300104</v>
      </c>
      <c r="Y846" t="str">
        <f>VLOOKUP(X846,物料編碼!D:G,4,0)</f>
        <v>四號肉</v>
      </c>
      <c r="Z846" t="str">
        <f>VLOOKUP(C846,客戶屬性1!A:C,2,0)</f>
        <v>豪气有限公司</v>
      </c>
      <c r="AA846">
        <f>IF(COUNTIF($O$1:O846,O846)=1,L846,0)</f>
        <v>4950</v>
      </c>
    </row>
    <row r="847" customHeight="1" spans="1:27">
      <c r="A847" s="21" t="s">
        <v>1663</v>
      </c>
      <c r="B847" s="21" t="s">
        <v>45</v>
      </c>
      <c r="C847" s="21" t="s">
        <v>187</v>
      </c>
      <c r="D847" s="21" t="s">
        <v>188</v>
      </c>
      <c r="E847" s="21" t="s">
        <v>189</v>
      </c>
      <c r="F847" s="21" t="s">
        <v>49</v>
      </c>
      <c r="G847" s="21" t="s">
        <v>68</v>
      </c>
      <c r="H847" s="21" t="s">
        <v>283</v>
      </c>
      <c r="I847" s="26">
        <v>3</v>
      </c>
      <c r="J847" s="26">
        <v>75</v>
      </c>
      <c r="K847" s="21" t="s">
        <v>52</v>
      </c>
      <c r="L847" s="27">
        <v>1485</v>
      </c>
      <c r="M847" s="21"/>
      <c r="N847" s="21"/>
      <c r="O847" s="21" t="s">
        <v>1664</v>
      </c>
      <c r="P847" s="21" t="s">
        <v>54</v>
      </c>
      <c r="Q847" s="28">
        <v>46142</v>
      </c>
      <c r="R847" s="29">
        <v>46141.4788888889</v>
      </c>
      <c r="S847" s="21" t="s">
        <v>192</v>
      </c>
      <c r="T847" s="21"/>
      <c r="U847" s="21" t="s">
        <v>193</v>
      </c>
      <c r="V847" s="29">
        <v>46141.4788425926</v>
      </c>
      <c r="W847">
        <f>VLOOKUP(H847,物料編碼!A:B,2,0)</f>
        <v>1300104005</v>
      </c>
      <c r="X847">
        <v>1300104</v>
      </c>
      <c r="Y847" t="str">
        <f>VLOOKUP(X847,物料編碼!D:G,4,0)</f>
        <v>四號肉</v>
      </c>
      <c r="Z847" t="str">
        <f>VLOOKUP(C847,客戶屬性1!A:C,2,0)</f>
        <v>佳城兴业有限公司/火炭</v>
      </c>
      <c r="AA847">
        <f>IF(COUNTIF($O$1:O847,O847)=1,L847,0)</f>
        <v>1485</v>
      </c>
    </row>
    <row r="848" customHeight="1" spans="1:27">
      <c r="A848" s="21" t="s">
        <v>1665</v>
      </c>
      <c r="B848" s="21" t="s">
        <v>45</v>
      </c>
      <c r="C848" s="21" t="s">
        <v>141</v>
      </c>
      <c r="D848" s="21" t="s">
        <v>142</v>
      </c>
      <c r="E848" s="21" t="s">
        <v>142</v>
      </c>
      <c r="F848" s="21" t="s">
        <v>143</v>
      </c>
      <c r="G848" s="21" t="s">
        <v>100</v>
      </c>
      <c r="H848" s="21" t="s">
        <v>63</v>
      </c>
      <c r="I848" s="26">
        <v>1</v>
      </c>
      <c r="J848" s="26">
        <v>25</v>
      </c>
      <c r="K848" s="21" t="s">
        <v>52</v>
      </c>
      <c r="L848" s="27">
        <v>1355</v>
      </c>
      <c r="M848" s="21"/>
      <c r="N848" s="21"/>
      <c r="O848" s="21" t="s">
        <v>1666</v>
      </c>
      <c r="P848" s="21" t="s">
        <v>54</v>
      </c>
      <c r="Q848" s="28">
        <v>46142</v>
      </c>
      <c r="R848" s="29">
        <v>46141.4709837963</v>
      </c>
      <c r="S848" s="21" t="s">
        <v>145</v>
      </c>
      <c r="T848" s="21"/>
      <c r="U848" s="21" t="s">
        <v>142</v>
      </c>
      <c r="V848" s="29">
        <v>46141.4709375</v>
      </c>
      <c r="W848">
        <f>VLOOKUP(H848,物料編碼!A:B,2,0)</f>
        <v>1300109002</v>
      </c>
      <c r="X848">
        <v>1300109</v>
      </c>
      <c r="Y848" t="str">
        <f>VLOOKUP(X848,物料編碼!D:G,4,0)</f>
        <v>面精肉</v>
      </c>
      <c r="Z848" t="str">
        <f>VLOOKUP(C848,客戶屬性1!A:C,2,0)</f>
        <v>新昌冻肉</v>
      </c>
      <c r="AA848">
        <f>IF(COUNTIF($O$1:O848,O848)=1,L848,0)</f>
        <v>1355</v>
      </c>
    </row>
    <row r="849" customHeight="1" spans="1:27">
      <c r="A849" s="21" t="s">
        <v>1665</v>
      </c>
      <c r="B849" s="21" t="s">
        <v>45</v>
      </c>
      <c r="C849" s="21" t="s">
        <v>141</v>
      </c>
      <c r="D849" s="21" t="s">
        <v>142</v>
      </c>
      <c r="E849" s="21" t="s">
        <v>142</v>
      </c>
      <c r="F849" s="21" t="s">
        <v>143</v>
      </c>
      <c r="G849" s="21" t="s">
        <v>100</v>
      </c>
      <c r="H849" s="21" t="s">
        <v>298</v>
      </c>
      <c r="I849" s="26">
        <v>1</v>
      </c>
      <c r="J849" s="26">
        <v>10</v>
      </c>
      <c r="K849" s="21" t="s">
        <v>52</v>
      </c>
      <c r="L849" s="27">
        <v>1355</v>
      </c>
      <c r="M849" s="21"/>
      <c r="N849" s="21"/>
      <c r="O849" s="21" t="s">
        <v>1666</v>
      </c>
      <c r="P849" s="21" t="s">
        <v>54</v>
      </c>
      <c r="Q849" s="28">
        <v>46142</v>
      </c>
      <c r="R849" s="29">
        <v>46141.4709837963</v>
      </c>
      <c r="S849" s="21" t="s">
        <v>145</v>
      </c>
      <c r="T849" s="21"/>
      <c r="U849" s="21" t="s">
        <v>142</v>
      </c>
      <c r="V849" s="29">
        <v>46141.4709375</v>
      </c>
      <c r="W849">
        <f>VLOOKUP(H849,物料編碼!A:B,2,0)</f>
        <v>1300111003</v>
      </c>
      <c r="X849">
        <v>1300111</v>
      </c>
      <c r="Y849" t="str">
        <f>VLOOKUP(X849,物料編碼!D:G,4,0)</f>
        <v>寸骨</v>
      </c>
      <c r="Z849" t="str">
        <f>VLOOKUP(C849,客戶屬性1!A:C,2,0)</f>
        <v>新昌冻肉</v>
      </c>
      <c r="AA849">
        <f>IF(COUNTIF($O$1:O849,O849)=1,L849,0)</f>
        <v>0</v>
      </c>
    </row>
    <row r="850" customHeight="1" spans="1:27">
      <c r="A850" s="21" t="s">
        <v>1667</v>
      </c>
      <c r="B850" s="21" t="s">
        <v>45</v>
      </c>
      <c r="C850" s="21" t="s">
        <v>141</v>
      </c>
      <c r="D850" s="21" t="s">
        <v>142</v>
      </c>
      <c r="E850" s="21" t="s">
        <v>142</v>
      </c>
      <c r="F850" s="21" t="s">
        <v>143</v>
      </c>
      <c r="G850" s="21" t="s">
        <v>100</v>
      </c>
      <c r="H850" s="21" t="s">
        <v>1642</v>
      </c>
      <c r="I850" s="26">
        <v>2</v>
      </c>
      <c r="J850" s="26">
        <v>30</v>
      </c>
      <c r="K850" s="21" t="s">
        <v>52</v>
      </c>
      <c r="L850" s="27">
        <v>1811.8</v>
      </c>
      <c r="M850" s="21"/>
      <c r="N850" s="21"/>
      <c r="O850" s="21" t="s">
        <v>1668</v>
      </c>
      <c r="P850" s="21" t="s">
        <v>54</v>
      </c>
      <c r="Q850" s="28">
        <v>46142</v>
      </c>
      <c r="R850" s="29">
        <v>46141.469525463</v>
      </c>
      <c r="S850" s="21" t="s">
        <v>145</v>
      </c>
      <c r="T850" s="21"/>
      <c r="U850" s="21" t="s">
        <v>142</v>
      </c>
      <c r="V850" s="29">
        <v>46141.4694791667</v>
      </c>
      <c r="W850">
        <f>VLOOKUP(H850,物料編碼!A:B,2,0)</f>
        <v>1300603042</v>
      </c>
      <c r="X850">
        <v>1300603</v>
      </c>
      <c r="Y850" t="str">
        <f>VLOOKUP(X850,物料編碼!D:G,4,0)</f>
        <v>帶骨全腿</v>
      </c>
      <c r="Z850" t="str">
        <f>VLOOKUP(C850,客戶屬性1!A:C,2,0)</f>
        <v>新昌冻肉</v>
      </c>
      <c r="AA850">
        <f>IF(COUNTIF($O$1:O850,O850)=1,L850,0)</f>
        <v>1811.8</v>
      </c>
    </row>
    <row r="851" customHeight="1" spans="1:27">
      <c r="A851" s="21" t="s">
        <v>1667</v>
      </c>
      <c r="B851" s="21" t="s">
        <v>45</v>
      </c>
      <c r="C851" s="21" t="s">
        <v>141</v>
      </c>
      <c r="D851" s="21" t="s">
        <v>142</v>
      </c>
      <c r="E851" s="21" t="s">
        <v>142</v>
      </c>
      <c r="F851" s="21" t="s">
        <v>143</v>
      </c>
      <c r="G851" s="21" t="s">
        <v>100</v>
      </c>
      <c r="H851" s="21" t="s">
        <v>302</v>
      </c>
      <c r="I851" s="26">
        <v>2</v>
      </c>
      <c r="J851" s="26">
        <v>24</v>
      </c>
      <c r="K851" s="21" t="s">
        <v>52</v>
      </c>
      <c r="L851" s="27">
        <v>1811.8</v>
      </c>
      <c r="M851" s="21"/>
      <c r="N851" s="21"/>
      <c r="O851" s="21" t="s">
        <v>1668</v>
      </c>
      <c r="P851" s="21" t="s">
        <v>54</v>
      </c>
      <c r="Q851" s="28">
        <v>46142</v>
      </c>
      <c r="R851" s="29">
        <v>46141.469525463</v>
      </c>
      <c r="S851" s="21" t="s">
        <v>145</v>
      </c>
      <c r="T851" s="21"/>
      <c r="U851" s="21" t="s">
        <v>142</v>
      </c>
      <c r="V851" s="29">
        <v>46141.4694791667</v>
      </c>
      <c r="W851">
        <f>VLOOKUP(H851,物料編碼!A:B,2,0)</f>
        <v>1300609018</v>
      </c>
      <c r="X851">
        <v>1300609</v>
      </c>
      <c r="Y851" t="str">
        <f>VLOOKUP(X851,物料編碼!D:G,4,0)</f>
        <v>去皮上腿肉</v>
      </c>
      <c r="Z851" t="str">
        <f>VLOOKUP(C851,客戶屬性1!A:C,2,0)</f>
        <v>新昌冻肉</v>
      </c>
      <c r="AA851">
        <f>IF(COUNTIF($O$1:O851,O851)=1,L851,0)</f>
        <v>0</v>
      </c>
    </row>
    <row r="852" customHeight="1" spans="1:27">
      <c r="A852" s="21" t="s">
        <v>1667</v>
      </c>
      <c r="B852" s="21" t="s">
        <v>45</v>
      </c>
      <c r="C852" s="21" t="s">
        <v>141</v>
      </c>
      <c r="D852" s="21" t="s">
        <v>142</v>
      </c>
      <c r="E852" s="21" t="s">
        <v>142</v>
      </c>
      <c r="F852" s="21" t="s">
        <v>143</v>
      </c>
      <c r="G852" s="21" t="s">
        <v>100</v>
      </c>
      <c r="H852" s="21" t="s">
        <v>168</v>
      </c>
      <c r="I852" s="26">
        <v>4</v>
      </c>
      <c r="J852" s="26">
        <v>40</v>
      </c>
      <c r="K852" s="21" t="s">
        <v>52</v>
      </c>
      <c r="L852" s="27">
        <v>1811.8</v>
      </c>
      <c r="M852" s="21"/>
      <c r="N852" s="21"/>
      <c r="O852" s="21" t="s">
        <v>1668</v>
      </c>
      <c r="P852" s="21" t="s">
        <v>54</v>
      </c>
      <c r="Q852" s="28">
        <v>46142</v>
      </c>
      <c r="R852" s="29">
        <v>46141.469525463</v>
      </c>
      <c r="S852" s="21" t="s">
        <v>145</v>
      </c>
      <c r="T852" s="21"/>
      <c r="U852" s="21" t="s">
        <v>142</v>
      </c>
      <c r="V852" s="29">
        <v>46141.4694791667</v>
      </c>
      <c r="W852">
        <f>VLOOKUP(H852,物料編碼!A:B,2,0)</f>
        <v>1300627002</v>
      </c>
      <c r="X852">
        <v>1300627</v>
      </c>
      <c r="Y852" t="str">
        <f>VLOOKUP(X852,物料編碼!D:G,4,0)</f>
        <v>翅尖</v>
      </c>
      <c r="Z852" t="str">
        <f>VLOOKUP(C852,客戶屬性1!A:C,2,0)</f>
        <v>新昌冻肉</v>
      </c>
      <c r="AA852">
        <f>IF(COUNTIF($O$1:O852,O852)=1,L852,0)</f>
        <v>0</v>
      </c>
    </row>
    <row r="853" customHeight="1" spans="1:27">
      <c r="A853" s="21" t="s">
        <v>1667</v>
      </c>
      <c r="B853" s="21" t="s">
        <v>45</v>
      </c>
      <c r="C853" s="21" t="s">
        <v>141</v>
      </c>
      <c r="D853" s="21" t="s">
        <v>142</v>
      </c>
      <c r="E853" s="21" t="s">
        <v>142</v>
      </c>
      <c r="F853" s="21" t="s">
        <v>143</v>
      </c>
      <c r="G853" s="21" t="s">
        <v>100</v>
      </c>
      <c r="H853" s="21" t="s">
        <v>117</v>
      </c>
      <c r="I853" s="26">
        <v>3</v>
      </c>
      <c r="J853" s="26">
        <v>45</v>
      </c>
      <c r="K853" s="21" t="s">
        <v>52</v>
      </c>
      <c r="L853" s="27">
        <v>1811.8</v>
      </c>
      <c r="M853" s="21"/>
      <c r="N853" s="21"/>
      <c r="O853" s="21" t="s">
        <v>1668</v>
      </c>
      <c r="P853" s="21" t="s">
        <v>54</v>
      </c>
      <c r="Q853" s="28">
        <v>46142</v>
      </c>
      <c r="R853" s="29">
        <v>46141.469525463</v>
      </c>
      <c r="S853" s="21" t="s">
        <v>145</v>
      </c>
      <c r="T853" s="21"/>
      <c r="U853" s="21" t="s">
        <v>142</v>
      </c>
      <c r="V853" s="29">
        <v>46141.4694791667</v>
      </c>
      <c r="W853">
        <f>VLOOKUP(H853,物料編碼!A:B,2,0)</f>
        <v>1300607015</v>
      </c>
      <c r="X853">
        <v>1300607</v>
      </c>
      <c r="Y853" t="str">
        <f>VLOOKUP(X853,物料編碼!D:G,4,0)</f>
        <v>帶皮腿扒</v>
      </c>
      <c r="Z853" t="str">
        <f>VLOOKUP(C853,客戶屬性1!A:C,2,0)</f>
        <v>新昌冻肉</v>
      </c>
      <c r="AA853">
        <f>IF(COUNTIF($O$1:O853,O853)=1,L853,0)</f>
        <v>0</v>
      </c>
    </row>
    <row r="854" customHeight="1" spans="1:27">
      <c r="A854" s="21" t="s">
        <v>1669</v>
      </c>
      <c r="B854" s="21" t="s">
        <v>45</v>
      </c>
      <c r="C854" s="21" t="s">
        <v>72</v>
      </c>
      <c r="D854" s="21" t="s">
        <v>73</v>
      </c>
      <c r="E854" s="21" t="s">
        <v>74</v>
      </c>
      <c r="F854" s="21" t="s">
        <v>49</v>
      </c>
      <c r="G854" s="21" t="s">
        <v>50</v>
      </c>
      <c r="H854" s="21" t="s">
        <v>248</v>
      </c>
      <c r="I854" s="26">
        <v>1</v>
      </c>
      <c r="J854" s="26">
        <v>25</v>
      </c>
      <c r="K854" s="21" t="s">
        <v>52</v>
      </c>
      <c r="L854" s="27">
        <v>655</v>
      </c>
      <c r="M854" s="21"/>
      <c r="N854" s="21"/>
      <c r="O854" s="21" t="s">
        <v>1670</v>
      </c>
      <c r="P854" s="21" t="s">
        <v>54</v>
      </c>
      <c r="Q854" s="28">
        <v>46141</v>
      </c>
      <c r="R854" s="29">
        <v>46141.4636111111</v>
      </c>
      <c r="S854" s="21" t="s">
        <v>77</v>
      </c>
      <c r="T854" s="21"/>
      <c r="U854" s="21" t="s">
        <v>74</v>
      </c>
      <c r="V854" s="29">
        <v>46141.4635648148</v>
      </c>
      <c r="W854">
        <f>VLOOKUP(H854,物料編碼!A:B,2,0)</f>
        <v>1300101007</v>
      </c>
      <c r="X854">
        <v>1300101</v>
      </c>
      <c r="Y854" t="str">
        <f>VLOOKUP(X854,物料編碼!D:G,4,0)</f>
        <v>一號肉</v>
      </c>
      <c r="Z854" t="str">
        <f>VLOOKUP(C854,客戶屬性1!A:C,2,0)</f>
        <v>恒辉贸易公司</v>
      </c>
      <c r="AA854">
        <f>IF(COUNTIF($O$1:O854,O854)=1,L854,0)</f>
        <v>655</v>
      </c>
    </row>
    <row r="855" customHeight="1" spans="1:27">
      <c r="A855" s="21" t="s">
        <v>1671</v>
      </c>
      <c r="B855" s="21" t="s">
        <v>45</v>
      </c>
      <c r="C855" s="21" t="s">
        <v>72</v>
      </c>
      <c r="D855" s="21" t="s">
        <v>73</v>
      </c>
      <c r="E855" s="21" t="s">
        <v>74</v>
      </c>
      <c r="F855" s="21" t="s">
        <v>49</v>
      </c>
      <c r="G855" s="21" t="s">
        <v>50</v>
      </c>
      <c r="H855" s="21" t="s">
        <v>78</v>
      </c>
      <c r="I855" s="26">
        <v>1</v>
      </c>
      <c r="J855" s="26">
        <v>15</v>
      </c>
      <c r="K855" s="21" t="s">
        <v>52</v>
      </c>
      <c r="L855" s="27">
        <v>221.7</v>
      </c>
      <c r="M855" s="21"/>
      <c r="N855" s="21"/>
      <c r="O855" s="21" t="s">
        <v>1672</v>
      </c>
      <c r="P855" s="21" t="s">
        <v>54</v>
      </c>
      <c r="Q855" s="28">
        <v>46141</v>
      </c>
      <c r="R855" s="29">
        <v>46141.4180787037</v>
      </c>
      <c r="S855" s="21" t="s">
        <v>377</v>
      </c>
      <c r="T855" s="21"/>
      <c r="U855" s="21" t="s">
        <v>82</v>
      </c>
      <c r="V855" s="29">
        <v>46141.4180324074</v>
      </c>
      <c r="W855">
        <f>VLOOKUP(H855,物料編碼!A:B,2,0)</f>
        <v>1300607014</v>
      </c>
      <c r="X855">
        <v>1300607</v>
      </c>
      <c r="Y855" t="str">
        <f>VLOOKUP(X855,物料編碼!D:G,4,0)</f>
        <v>帶皮腿扒</v>
      </c>
      <c r="Z855" t="str">
        <f>VLOOKUP(C855,客戶屬性1!A:C,2,0)</f>
        <v>恒辉贸易公司</v>
      </c>
      <c r="AA855">
        <f>IF(COUNTIF($O$1:O855,O855)=1,L855,0)</f>
        <v>221.7</v>
      </c>
    </row>
    <row r="856" customHeight="1" spans="1:27">
      <c r="A856" s="21" t="s">
        <v>1673</v>
      </c>
      <c r="B856" s="21" t="s">
        <v>45</v>
      </c>
      <c r="C856" s="21" t="s">
        <v>46</v>
      </c>
      <c r="D856" s="21" t="s">
        <v>47</v>
      </c>
      <c r="E856" s="21" t="s">
        <v>48</v>
      </c>
      <c r="F856" s="21" t="s">
        <v>49</v>
      </c>
      <c r="G856" s="21" t="s">
        <v>50</v>
      </c>
      <c r="H856" s="21" t="s">
        <v>63</v>
      </c>
      <c r="I856" s="26">
        <v>1</v>
      </c>
      <c r="J856" s="26">
        <v>25</v>
      </c>
      <c r="K856" s="21" t="s">
        <v>52</v>
      </c>
      <c r="L856" s="27">
        <v>835</v>
      </c>
      <c r="M856" s="21"/>
      <c r="N856" s="21"/>
      <c r="O856" s="21" t="s">
        <v>1674</v>
      </c>
      <c r="P856" s="21" t="s">
        <v>54</v>
      </c>
      <c r="Q856" s="28">
        <v>46141</v>
      </c>
      <c r="R856" s="29">
        <v>46141.4148148148</v>
      </c>
      <c r="S856" s="21" t="s">
        <v>55</v>
      </c>
      <c r="T856" s="21"/>
      <c r="U856" s="21" t="s">
        <v>47</v>
      </c>
      <c r="V856" s="29">
        <v>46141.4147685185</v>
      </c>
      <c r="W856">
        <f>VLOOKUP(H856,物料編碼!A:B,2,0)</f>
        <v>1300109002</v>
      </c>
      <c r="X856">
        <v>1300109</v>
      </c>
      <c r="Y856" t="str">
        <f>VLOOKUP(X856,物料編碼!D:G,4,0)</f>
        <v>面精肉</v>
      </c>
      <c r="Z856" t="str">
        <f>VLOOKUP(C856,客戶屬性1!A:C,2,0)</f>
        <v>明记冻肉</v>
      </c>
      <c r="AA856">
        <f>IF(COUNTIF($O$1:O856,O856)=1,L856,0)</f>
        <v>835</v>
      </c>
    </row>
    <row r="857" customHeight="1" spans="1:27">
      <c r="A857" s="21" t="s">
        <v>1675</v>
      </c>
      <c r="B857" s="21" t="s">
        <v>45</v>
      </c>
      <c r="C857" s="21" t="s">
        <v>171</v>
      </c>
      <c r="D857" s="21" t="s">
        <v>172</v>
      </c>
      <c r="E857" s="21" t="s">
        <v>173</v>
      </c>
      <c r="F857" s="21" t="s">
        <v>49</v>
      </c>
      <c r="G857" s="21" t="s">
        <v>174</v>
      </c>
      <c r="H857" s="21" t="s">
        <v>267</v>
      </c>
      <c r="I857" s="26">
        <v>3</v>
      </c>
      <c r="J857" s="26">
        <v>60</v>
      </c>
      <c r="K857" s="21" t="s">
        <v>52</v>
      </c>
      <c r="L857" s="27">
        <v>3540</v>
      </c>
      <c r="M857" s="21"/>
      <c r="N857" s="21"/>
      <c r="O857" s="21" t="s">
        <v>1676</v>
      </c>
      <c r="P857" s="21" t="s">
        <v>54</v>
      </c>
      <c r="Q857" s="28">
        <v>46141</v>
      </c>
      <c r="R857" s="29">
        <v>46140.7066203704</v>
      </c>
      <c r="S857" s="21" t="s">
        <v>177</v>
      </c>
      <c r="T857" s="21"/>
      <c r="U857" s="21" t="s">
        <v>172</v>
      </c>
      <c r="V857" s="29">
        <v>46140.7065740741</v>
      </c>
      <c r="W857">
        <f>VLOOKUP(H857,物料編碼!A:B,2,0)</f>
        <v>1300511002</v>
      </c>
      <c r="X857">
        <v>1300511</v>
      </c>
      <c r="Y857" t="str">
        <f>VLOOKUP(X857,物料編碼!D:G,4,0)</f>
        <v>羊卷肉</v>
      </c>
      <c r="Z857" t="str">
        <f>VLOOKUP(C857,客戶屬性1!A:C,2,0)</f>
        <v>豪气有限公司</v>
      </c>
      <c r="AA857">
        <f>IF(COUNTIF($O$1:O857,O857)=1,L857,0)</f>
        <v>3540</v>
      </c>
    </row>
    <row r="858" customHeight="1" spans="1:27">
      <c r="A858" s="21" t="s">
        <v>1677</v>
      </c>
      <c r="B858" s="21" t="s">
        <v>45</v>
      </c>
      <c r="C858" s="21" t="s">
        <v>72</v>
      </c>
      <c r="D858" s="21" t="s">
        <v>73</v>
      </c>
      <c r="E858" s="21" t="s">
        <v>74</v>
      </c>
      <c r="F858" s="21" t="s">
        <v>49</v>
      </c>
      <c r="G858" s="21" t="s">
        <v>50</v>
      </c>
      <c r="H858" s="21" t="s">
        <v>117</v>
      </c>
      <c r="I858" s="26">
        <v>4</v>
      </c>
      <c r="J858" s="26">
        <v>60</v>
      </c>
      <c r="K858" s="21" t="s">
        <v>52</v>
      </c>
      <c r="L858" s="27">
        <v>886.8</v>
      </c>
      <c r="M858" s="21"/>
      <c r="N858" s="21"/>
      <c r="O858" s="21" t="s">
        <v>1678</v>
      </c>
      <c r="P858" s="21" t="s">
        <v>54</v>
      </c>
      <c r="Q858" s="28">
        <v>46141</v>
      </c>
      <c r="R858" s="29">
        <v>46140.6630092593</v>
      </c>
      <c r="S858" s="21" t="s">
        <v>77</v>
      </c>
      <c r="T858" s="21"/>
      <c r="U858" s="21" t="s">
        <v>74</v>
      </c>
      <c r="V858" s="29">
        <v>46140.662974537</v>
      </c>
      <c r="W858">
        <f>VLOOKUP(H858,物料編碼!A:B,2,0)</f>
        <v>1300607015</v>
      </c>
      <c r="X858">
        <v>1300607</v>
      </c>
      <c r="Y858" t="str">
        <f>VLOOKUP(X858,物料編碼!D:G,4,0)</f>
        <v>帶皮腿扒</v>
      </c>
      <c r="Z858" t="str">
        <f>VLOOKUP(C858,客戶屬性1!A:C,2,0)</f>
        <v>恒辉贸易公司</v>
      </c>
      <c r="AA858">
        <f>IF(COUNTIF($O$1:O858,O858)=1,L858,0)</f>
        <v>886.8</v>
      </c>
    </row>
    <row r="859" customHeight="1" spans="1:27">
      <c r="A859" s="21" t="s">
        <v>1679</v>
      </c>
      <c r="B859" s="21" t="s">
        <v>45</v>
      </c>
      <c r="C859" s="21" t="s">
        <v>331</v>
      </c>
      <c r="D859" s="21" t="s">
        <v>332</v>
      </c>
      <c r="E859" s="21" t="s">
        <v>333</v>
      </c>
      <c r="F859" s="21" t="s">
        <v>49</v>
      </c>
      <c r="G859" s="21" t="s">
        <v>136</v>
      </c>
      <c r="H859" s="21" t="s">
        <v>219</v>
      </c>
      <c r="I859" s="26">
        <v>1</v>
      </c>
      <c r="J859" s="26">
        <v>10</v>
      </c>
      <c r="K859" s="21" t="s">
        <v>52</v>
      </c>
      <c r="L859" s="27">
        <v>1030</v>
      </c>
      <c r="M859" s="21"/>
      <c r="N859" s="21"/>
      <c r="O859" s="21" t="s">
        <v>1680</v>
      </c>
      <c r="P859" s="21" t="s">
        <v>54</v>
      </c>
      <c r="Q859" s="28">
        <v>46141</v>
      </c>
      <c r="R859" s="29">
        <v>46140.6442592593</v>
      </c>
      <c r="S859" s="21" t="s">
        <v>335</v>
      </c>
      <c r="T859" s="21"/>
      <c r="U859" s="21" t="s">
        <v>332</v>
      </c>
      <c r="V859" s="29">
        <v>46140.644212963</v>
      </c>
      <c r="W859">
        <f>VLOOKUP(H859,物料編碼!A:B,2,0)</f>
        <v>1300501022</v>
      </c>
      <c r="X859">
        <v>1300501</v>
      </c>
      <c r="Y859" t="str">
        <f>VLOOKUP(X859,物料編碼!D:G,4,0)</f>
        <v>羊排</v>
      </c>
      <c r="Z859" t="str">
        <f>VLOOKUP(C859,客戶屬性1!A:C,2,0)</f>
        <v>天后肉食有限公司</v>
      </c>
      <c r="AA859">
        <f>IF(COUNTIF($O$1:O859,O859)=1,L859,0)</f>
        <v>1030</v>
      </c>
    </row>
    <row r="860" customHeight="1" spans="1:27">
      <c r="A860" s="21" t="s">
        <v>1681</v>
      </c>
      <c r="B860" s="21" t="s">
        <v>45</v>
      </c>
      <c r="C860" s="21" t="s">
        <v>825</v>
      </c>
      <c r="D860" s="21" t="s">
        <v>826</v>
      </c>
      <c r="E860" s="21" t="s">
        <v>827</v>
      </c>
      <c r="F860" s="21" t="s">
        <v>49</v>
      </c>
      <c r="G860" s="21" t="s">
        <v>136</v>
      </c>
      <c r="H860" s="21" t="s">
        <v>804</v>
      </c>
      <c r="I860" s="26">
        <v>2</v>
      </c>
      <c r="J860" s="26">
        <v>20</v>
      </c>
      <c r="K860" s="21" t="s">
        <v>52</v>
      </c>
      <c r="L860" s="27">
        <v>270</v>
      </c>
      <c r="M860" s="21"/>
      <c r="N860" s="21"/>
      <c r="O860" s="21" t="s">
        <v>1682</v>
      </c>
      <c r="P860" s="21" t="s">
        <v>54</v>
      </c>
      <c r="Q860" s="28">
        <v>46141</v>
      </c>
      <c r="R860" s="29">
        <v>46140.6388310185</v>
      </c>
      <c r="S860" s="21" t="s">
        <v>829</v>
      </c>
      <c r="T860" s="21"/>
      <c r="U860" s="21" t="s">
        <v>826</v>
      </c>
      <c r="V860" s="29">
        <v>46140.6387962963</v>
      </c>
      <c r="W860">
        <f>VLOOKUP(H860,物料編碼!A:B,2,0)</f>
        <v>1300902003</v>
      </c>
      <c r="X860">
        <v>1300902</v>
      </c>
      <c r="Y860" t="str">
        <f>VLOOKUP(X860,物料編碼!D:G,4,0)</f>
        <v>帶骨整腿</v>
      </c>
      <c r="Z860" t="str">
        <f>VLOOKUP(C860,客戶屬性1!A:C,2,0)</f>
        <v>鸿兴食品供应有限公司</v>
      </c>
      <c r="AA860">
        <f>IF(COUNTIF($O$1:O860,O860)=1,L860,0)</f>
        <v>270</v>
      </c>
    </row>
    <row r="861" customHeight="1" spans="1:27">
      <c r="A861" s="21" t="s">
        <v>1683</v>
      </c>
      <c r="B861" s="21" t="s">
        <v>45</v>
      </c>
      <c r="C861" s="21" t="s">
        <v>114</v>
      </c>
      <c r="D861" s="21" t="s">
        <v>115</v>
      </c>
      <c r="E861" s="21" t="s">
        <v>116</v>
      </c>
      <c r="F861" s="21" t="s">
        <v>49</v>
      </c>
      <c r="G861" s="21" t="s">
        <v>100</v>
      </c>
      <c r="H861" s="21" t="s">
        <v>1642</v>
      </c>
      <c r="I861" s="26">
        <v>10</v>
      </c>
      <c r="J861" s="26">
        <v>150</v>
      </c>
      <c r="K861" s="21" t="s">
        <v>52</v>
      </c>
      <c r="L861" s="27">
        <v>1885.5</v>
      </c>
      <c r="M861" s="21"/>
      <c r="N861" s="21"/>
      <c r="O861" s="21" t="s">
        <v>1684</v>
      </c>
      <c r="P861" s="21" t="s">
        <v>54</v>
      </c>
      <c r="Q861" s="28">
        <v>46141</v>
      </c>
      <c r="R861" s="29">
        <v>46140.5104282407</v>
      </c>
      <c r="S861" s="21" t="s">
        <v>119</v>
      </c>
      <c r="T861" s="21"/>
      <c r="U861" s="21" t="s">
        <v>115</v>
      </c>
      <c r="V861" s="29">
        <v>46140.5103819444</v>
      </c>
      <c r="W861">
        <f>VLOOKUP(H861,物料編碼!A:B,2,0)</f>
        <v>1300603042</v>
      </c>
      <c r="X861">
        <v>1300603</v>
      </c>
      <c r="Y861" t="str">
        <f>VLOOKUP(X861,物料編碼!D:G,4,0)</f>
        <v>帶骨全腿</v>
      </c>
      <c r="Z861" t="str">
        <f>VLOOKUP(C861,客戶屬性1!A:C,2,0)</f>
        <v>骏利贸易公司</v>
      </c>
      <c r="AA861">
        <f>IF(COUNTIF($O$1:O861,O861)=1,L861,0)</f>
        <v>1885.5</v>
      </c>
    </row>
    <row r="862" customHeight="1" spans="1:27">
      <c r="A862" s="21" t="s">
        <v>1685</v>
      </c>
      <c r="B862" s="21" t="s">
        <v>45</v>
      </c>
      <c r="C862" s="21" t="s">
        <v>216</v>
      </c>
      <c r="D862" s="21" t="s">
        <v>217</v>
      </c>
      <c r="E862" s="21" t="s">
        <v>218</v>
      </c>
      <c r="F862" s="21" t="s">
        <v>49</v>
      </c>
      <c r="G862" s="21" t="s">
        <v>68</v>
      </c>
      <c r="H862" s="21" t="s">
        <v>161</v>
      </c>
      <c r="I862" s="26">
        <v>1</v>
      </c>
      <c r="J862" s="26">
        <v>20</v>
      </c>
      <c r="K862" s="21" t="s">
        <v>52</v>
      </c>
      <c r="L862" s="27">
        <v>1860</v>
      </c>
      <c r="M862" s="21"/>
      <c r="N862" s="21"/>
      <c r="O862" s="21" t="s">
        <v>1686</v>
      </c>
      <c r="P862" s="21" t="s">
        <v>54</v>
      </c>
      <c r="Q862" s="28">
        <v>46141</v>
      </c>
      <c r="R862" s="29">
        <v>46140.4968287037</v>
      </c>
      <c r="S862" s="21" t="s">
        <v>221</v>
      </c>
      <c r="T862" s="21"/>
      <c r="U862" s="21" t="s">
        <v>222</v>
      </c>
      <c r="V862" s="29">
        <v>46140.4967824074</v>
      </c>
      <c r="W862">
        <f>VLOOKUP(H862,物料編碼!A:B,2,0)</f>
        <v>1300501020</v>
      </c>
      <c r="X862">
        <v>1300501</v>
      </c>
      <c r="Y862" t="str">
        <f>VLOOKUP(X862,物料編碼!D:G,4,0)</f>
        <v>羊排</v>
      </c>
      <c r="Z862" t="str">
        <f>VLOOKUP(C862,客戶屬性1!A:C,2,0)</f>
        <v>天恒食品有限公司</v>
      </c>
      <c r="AA862">
        <f>IF(COUNTIF($O$1:O862,O862)=1,L862,0)</f>
        <v>1860</v>
      </c>
    </row>
    <row r="863" customHeight="1" spans="1:27">
      <c r="A863" s="21" t="s">
        <v>1687</v>
      </c>
      <c r="B863" s="21" t="s">
        <v>45</v>
      </c>
      <c r="C863" s="21" t="s">
        <v>114</v>
      </c>
      <c r="D863" s="21" t="s">
        <v>115</v>
      </c>
      <c r="E863" s="21" t="s">
        <v>116</v>
      </c>
      <c r="F863" s="21" t="s">
        <v>49</v>
      </c>
      <c r="G863" s="21" t="s">
        <v>100</v>
      </c>
      <c r="H863" s="21" t="s">
        <v>117</v>
      </c>
      <c r="I863" s="26">
        <v>3</v>
      </c>
      <c r="J863" s="26">
        <v>45</v>
      </c>
      <c r="K863" s="21" t="s">
        <v>52</v>
      </c>
      <c r="L863" s="27">
        <v>665.1</v>
      </c>
      <c r="M863" s="21"/>
      <c r="N863" s="21"/>
      <c r="O863" s="21" t="s">
        <v>1688</v>
      </c>
      <c r="P863" s="21" t="s">
        <v>54</v>
      </c>
      <c r="Q863" s="28">
        <v>46141</v>
      </c>
      <c r="R863" s="29">
        <v>46140.486712963</v>
      </c>
      <c r="S863" s="21" t="s">
        <v>119</v>
      </c>
      <c r="T863" s="21"/>
      <c r="U863" s="21" t="s">
        <v>115</v>
      </c>
      <c r="V863" s="29">
        <v>46140.4866666667</v>
      </c>
      <c r="W863">
        <f>VLOOKUP(H863,物料編碼!A:B,2,0)</f>
        <v>1300607015</v>
      </c>
      <c r="X863">
        <v>1300607</v>
      </c>
      <c r="Y863" t="str">
        <f>VLOOKUP(X863,物料編碼!D:G,4,0)</f>
        <v>帶皮腿扒</v>
      </c>
      <c r="Z863" t="str">
        <f>VLOOKUP(C863,客戶屬性1!A:C,2,0)</f>
        <v>骏利贸易公司</v>
      </c>
      <c r="AA863">
        <f>IF(COUNTIF($O$1:O863,O863)=1,L863,0)</f>
        <v>665.1</v>
      </c>
    </row>
    <row r="864" customHeight="1" spans="1:27">
      <c r="A864" s="21" t="s">
        <v>1689</v>
      </c>
      <c r="B864" s="21" t="s">
        <v>45</v>
      </c>
      <c r="C864" s="21" t="e">
        <v>#N/A</v>
      </c>
      <c r="D864" s="21" t="s">
        <v>1690</v>
      </c>
      <c r="E864" s="21" t="e">
        <v>#N/A</v>
      </c>
      <c r="F864" s="21" t="s">
        <v>1691</v>
      </c>
      <c r="G864" s="21" t="s">
        <v>1692</v>
      </c>
      <c r="H864" s="21" t="s">
        <v>1693</v>
      </c>
      <c r="I864" s="27">
        <v>4</v>
      </c>
      <c r="J864" s="26">
        <v>1</v>
      </c>
      <c r="K864" s="21" t="s">
        <v>526</v>
      </c>
      <c r="L864" s="27">
        <v>393</v>
      </c>
      <c r="M864" s="21"/>
      <c r="N864" s="21"/>
      <c r="O864" s="21"/>
      <c r="P864" s="21" t="s">
        <v>369</v>
      </c>
      <c r="Q864" s="28">
        <v>46141</v>
      </c>
      <c r="R864" s="29">
        <v>46140.4836111111</v>
      </c>
      <c r="S864" s="21" t="s">
        <v>1694</v>
      </c>
      <c r="T864" s="21"/>
      <c r="U864" s="21" t="s">
        <v>1690</v>
      </c>
      <c r="V864" s="29">
        <v>46140.4835648148</v>
      </c>
      <c r="W864" t="e">
        <f>VLOOKUP(H864,物料編碼!A:B,2,0)</f>
        <v>#N/A</v>
      </c>
      <c r="X864" t="e">
        <v>#N/A</v>
      </c>
      <c r="Y864" t="e">
        <f>VLOOKUP(X864,物料編碼!D:G,4,0)</f>
        <v>#N/A</v>
      </c>
      <c r="Z864" t="e">
        <f>VLOOKUP(C864,客戶屬性1!A:C,2,0)</f>
        <v>#N/A</v>
      </c>
      <c r="AA864">
        <f>IF(COUNTIF($O$1:O864,O864)=1,L864,0)</f>
        <v>0</v>
      </c>
    </row>
    <row r="865" customHeight="1" spans="1:27">
      <c r="A865" s="21" t="s">
        <v>1695</v>
      </c>
      <c r="B865" s="21" t="s">
        <v>45</v>
      </c>
      <c r="C865" s="21" t="s">
        <v>538</v>
      </c>
      <c r="D865" s="21" t="s">
        <v>539</v>
      </c>
      <c r="E865" s="21" t="s">
        <v>540</v>
      </c>
      <c r="F865" s="21" t="s">
        <v>49</v>
      </c>
      <c r="G865" s="21" t="s">
        <v>541</v>
      </c>
      <c r="H865" s="21" t="s">
        <v>63</v>
      </c>
      <c r="I865" s="26">
        <v>1</v>
      </c>
      <c r="J865" s="26">
        <v>25</v>
      </c>
      <c r="K865" s="21" t="s">
        <v>52</v>
      </c>
      <c r="L865" s="27">
        <v>835</v>
      </c>
      <c r="M865" s="21"/>
      <c r="N865" s="21"/>
      <c r="O865" s="21" t="s">
        <v>1696</v>
      </c>
      <c r="P865" s="21" t="s">
        <v>54</v>
      </c>
      <c r="Q865" s="28">
        <v>46140</v>
      </c>
      <c r="R865" s="29">
        <v>46140.4707986111</v>
      </c>
      <c r="S865" s="21" t="s">
        <v>543</v>
      </c>
      <c r="T865" s="21"/>
      <c r="U865" s="21" t="s">
        <v>539</v>
      </c>
      <c r="V865" s="29">
        <v>46140.4707407407</v>
      </c>
      <c r="W865">
        <f>VLOOKUP(H865,物料編碼!A:B,2,0)</f>
        <v>1300109002</v>
      </c>
      <c r="X865">
        <v>1300109</v>
      </c>
      <c r="Y865" t="str">
        <f>VLOOKUP(X865,物料編碼!D:G,4,0)</f>
        <v>面精肉</v>
      </c>
      <c r="Z865" t="str">
        <f>VLOOKUP(C865,客戶屬性1!A:C,2,0)</f>
        <v>诚信冻肉有限公司</v>
      </c>
      <c r="AA865">
        <f>IF(COUNTIF($O$1:O865,O865)=1,L865,0)</f>
        <v>835</v>
      </c>
    </row>
    <row r="866" customHeight="1" spans="1:27">
      <c r="A866" s="21" t="s">
        <v>1697</v>
      </c>
      <c r="B866" s="21" t="s">
        <v>45</v>
      </c>
      <c r="C866" s="21" t="s">
        <v>197</v>
      </c>
      <c r="D866" s="21" t="s">
        <v>198</v>
      </c>
      <c r="E866" s="21" t="s">
        <v>199</v>
      </c>
      <c r="F866" s="21" t="s">
        <v>49</v>
      </c>
      <c r="G866" s="21" t="s">
        <v>136</v>
      </c>
      <c r="H866" s="21" t="s">
        <v>161</v>
      </c>
      <c r="I866" s="26">
        <v>5</v>
      </c>
      <c r="J866" s="26">
        <v>100</v>
      </c>
      <c r="K866" s="21" t="s">
        <v>52</v>
      </c>
      <c r="L866" s="27">
        <v>9300</v>
      </c>
      <c r="M866" s="21"/>
      <c r="N866" s="21"/>
      <c r="O866" s="21" t="s">
        <v>1698</v>
      </c>
      <c r="P866" s="21" t="s">
        <v>54</v>
      </c>
      <c r="Q866" s="28">
        <v>46141</v>
      </c>
      <c r="R866" s="29">
        <v>46140.4658217593</v>
      </c>
      <c r="S866" s="21" t="s">
        <v>202</v>
      </c>
      <c r="T866" s="21"/>
      <c r="U866" s="21" t="s">
        <v>203</v>
      </c>
      <c r="V866" s="29">
        <v>46140.465775463</v>
      </c>
      <c r="W866">
        <f>VLOOKUP(H866,物料編碼!A:B,2,0)</f>
        <v>1300501020</v>
      </c>
      <c r="X866">
        <v>1300501</v>
      </c>
      <c r="Y866" t="str">
        <f>VLOOKUP(X866,物料編碼!D:G,4,0)</f>
        <v>羊排</v>
      </c>
      <c r="Z866" t="str">
        <f>VLOOKUP(C866,客戶屬性1!A:C,2,0)</f>
        <v>信隆(亚洲)有限公司</v>
      </c>
      <c r="AA866">
        <f>IF(COUNTIF($O$1:O866,O866)=1,L866,0)</f>
        <v>9300</v>
      </c>
    </row>
    <row r="867" customHeight="1" spans="1:27">
      <c r="A867" s="21" t="s">
        <v>1699</v>
      </c>
      <c r="B867" s="21" t="s">
        <v>45</v>
      </c>
      <c r="C867" s="21" t="s">
        <v>141</v>
      </c>
      <c r="D867" s="21" t="s">
        <v>142</v>
      </c>
      <c r="E867" s="21" t="s">
        <v>142</v>
      </c>
      <c r="F867" s="21" t="s">
        <v>143</v>
      </c>
      <c r="G867" s="21" t="s">
        <v>100</v>
      </c>
      <c r="H867" s="21" t="s">
        <v>168</v>
      </c>
      <c r="I867" s="26">
        <v>2</v>
      </c>
      <c r="J867" s="26">
        <v>20</v>
      </c>
      <c r="K867" s="21" t="s">
        <v>52</v>
      </c>
      <c r="L867" s="27">
        <v>1870.4</v>
      </c>
      <c r="M867" s="21"/>
      <c r="N867" s="21"/>
      <c r="O867" s="21" t="s">
        <v>1700</v>
      </c>
      <c r="P867" s="21" t="s">
        <v>54</v>
      </c>
      <c r="Q867" s="28">
        <v>46141</v>
      </c>
      <c r="R867" s="29">
        <v>46140.4627777778</v>
      </c>
      <c r="S867" s="21" t="s">
        <v>145</v>
      </c>
      <c r="T867" s="21"/>
      <c r="U867" s="21" t="s">
        <v>142</v>
      </c>
      <c r="V867" s="29">
        <v>46140.4627314815</v>
      </c>
      <c r="W867">
        <f>VLOOKUP(H867,物料編碼!A:B,2,0)</f>
        <v>1300627002</v>
      </c>
      <c r="X867">
        <v>1300627</v>
      </c>
      <c r="Y867" t="str">
        <f>VLOOKUP(X867,物料編碼!D:G,4,0)</f>
        <v>翅尖</v>
      </c>
      <c r="Z867" t="str">
        <f>VLOOKUP(C867,客戶屬性1!A:C,2,0)</f>
        <v>新昌冻肉</v>
      </c>
      <c r="AA867">
        <f>IF(COUNTIF($O$1:O867,O867)=1,L867,0)</f>
        <v>1870.4</v>
      </c>
    </row>
    <row r="868" customHeight="1" spans="1:27">
      <c r="A868" s="21" t="s">
        <v>1699</v>
      </c>
      <c r="B868" s="21" t="s">
        <v>45</v>
      </c>
      <c r="C868" s="21" t="s">
        <v>141</v>
      </c>
      <c r="D868" s="21" t="s">
        <v>142</v>
      </c>
      <c r="E868" s="21" t="s">
        <v>142</v>
      </c>
      <c r="F868" s="21" t="s">
        <v>143</v>
      </c>
      <c r="G868" s="21" t="s">
        <v>100</v>
      </c>
      <c r="H868" s="21" t="s">
        <v>1642</v>
      </c>
      <c r="I868" s="26">
        <v>2</v>
      </c>
      <c r="J868" s="26">
        <v>30</v>
      </c>
      <c r="K868" s="21" t="s">
        <v>52</v>
      </c>
      <c r="L868" s="27">
        <v>1870.4</v>
      </c>
      <c r="M868" s="21"/>
      <c r="N868" s="21"/>
      <c r="O868" s="21" t="s">
        <v>1700</v>
      </c>
      <c r="P868" s="21" t="s">
        <v>54</v>
      </c>
      <c r="Q868" s="28">
        <v>46141</v>
      </c>
      <c r="R868" s="29">
        <v>46140.4627777778</v>
      </c>
      <c r="S868" s="21" t="s">
        <v>145</v>
      </c>
      <c r="T868" s="21"/>
      <c r="U868" s="21" t="s">
        <v>142</v>
      </c>
      <c r="V868" s="29">
        <v>46140.4627314815</v>
      </c>
      <c r="W868">
        <f>VLOOKUP(H868,物料編碼!A:B,2,0)</f>
        <v>1300603042</v>
      </c>
      <c r="X868">
        <v>1300603</v>
      </c>
      <c r="Y868" t="str">
        <f>VLOOKUP(X868,物料編碼!D:G,4,0)</f>
        <v>帶骨全腿</v>
      </c>
      <c r="Z868" t="str">
        <f>VLOOKUP(C868,客戶屬性1!A:C,2,0)</f>
        <v>新昌冻肉</v>
      </c>
      <c r="AA868">
        <f>IF(COUNTIF($O$1:O868,O868)=1,L868,0)</f>
        <v>0</v>
      </c>
    </row>
    <row r="869" customHeight="1" spans="1:27">
      <c r="A869" s="21" t="s">
        <v>1699</v>
      </c>
      <c r="B869" s="21" t="s">
        <v>45</v>
      </c>
      <c r="C869" s="21" t="s">
        <v>141</v>
      </c>
      <c r="D869" s="21" t="s">
        <v>142</v>
      </c>
      <c r="E869" s="21" t="s">
        <v>142</v>
      </c>
      <c r="F869" s="21" t="s">
        <v>143</v>
      </c>
      <c r="G869" s="21" t="s">
        <v>100</v>
      </c>
      <c r="H869" s="21" t="s">
        <v>302</v>
      </c>
      <c r="I869" s="26">
        <v>1</v>
      </c>
      <c r="J869" s="26">
        <v>12</v>
      </c>
      <c r="K869" s="21" t="s">
        <v>52</v>
      </c>
      <c r="L869" s="27">
        <v>1870.4</v>
      </c>
      <c r="M869" s="21"/>
      <c r="N869" s="21"/>
      <c r="O869" s="21" t="s">
        <v>1700</v>
      </c>
      <c r="P869" s="21" t="s">
        <v>54</v>
      </c>
      <c r="Q869" s="28">
        <v>46141</v>
      </c>
      <c r="R869" s="29">
        <v>46140.4627777778</v>
      </c>
      <c r="S869" s="21" t="s">
        <v>145</v>
      </c>
      <c r="T869" s="21"/>
      <c r="U869" s="21" t="s">
        <v>142</v>
      </c>
      <c r="V869" s="29">
        <v>46140.4627314815</v>
      </c>
      <c r="W869">
        <f>VLOOKUP(H869,物料編碼!A:B,2,0)</f>
        <v>1300609018</v>
      </c>
      <c r="X869">
        <v>1300609</v>
      </c>
      <c r="Y869" t="str">
        <f>VLOOKUP(X869,物料編碼!D:G,4,0)</f>
        <v>去皮上腿肉</v>
      </c>
      <c r="Z869" t="str">
        <f>VLOOKUP(C869,客戶屬性1!A:C,2,0)</f>
        <v>新昌冻肉</v>
      </c>
      <c r="AA869">
        <f>IF(COUNTIF($O$1:O869,O869)=1,L869,0)</f>
        <v>0</v>
      </c>
    </row>
    <row r="870" customHeight="1" spans="1:27">
      <c r="A870" s="21" t="s">
        <v>1699</v>
      </c>
      <c r="B870" s="21" t="s">
        <v>45</v>
      </c>
      <c r="C870" s="21" t="s">
        <v>141</v>
      </c>
      <c r="D870" s="21" t="s">
        <v>142</v>
      </c>
      <c r="E870" s="21" t="s">
        <v>142</v>
      </c>
      <c r="F870" s="21" t="s">
        <v>143</v>
      </c>
      <c r="G870" s="21" t="s">
        <v>100</v>
      </c>
      <c r="H870" s="21" t="s">
        <v>117</v>
      </c>
      <c r="I870" s="26">
        <v>5</v>
      </c>
      <c r="J870" s="26">
        <v>75</v>
      </c>
      <c r="K870" s="21" t="s">
        <v>52</v>
      </c>
      <c r="L870" s="27">
        <v>1870.4</v>
      </c>
      <c r="M870" s="21"/>
      <c r="N870" s="21"/>
      <c r="O870" s="21" t="s">
        <v>1700</v>
      </c>
      <c r="P870" s="21" t="s">
        <v>54</v>
      </c>
      <c r="Q870" s="28">
        <v>46141</v>
      </c>
      <c r="R870" s="29">
        <v>46140.4627777778</v>
      </c>
      <c r="S870" s="21" t="s">
        <v>145</v>
      </c>
      <c r="T870" s="21"/>
      <c r="U870" s="21" t="s">
        <v>142</v>
      </c>
      <c r="V870" s="29">
        <v>46140.4627314815</v>
      </c>
      <c r="W870">
        <f>VLOOKUP(H870,物料編碼!A:B,2,0)</f>
        <v>1300607015</v>
      </c>
      <c r="X870">
        <v>1300607</v>
      </c>
      <c r="Y870" t="str">
        <f>VLOOKUP(X870,物料編碼!D:G,4,0)</f>
        <v>帶皮腿扒</v>
      </c>
      <c r="Z870" t="str">
        <f>VLOOKUP(C870,客戶屬性1!A:C,2,0)</f>
        <v>新昌冻肉</v>
      </c>
      <c r="AA870">
        <f>IF(COUNTIF($O$1:O870,O870)=1,L870,0)</f>
        <v>0</v>
      </c>
    </row>
    <row r="871" customHeight="1" spans="1:27">
      <c r="A871" s="21" t="s">
        <v>1701</v>
      </c>
      <c r="B871" s="21" t="s">
        <v>45</v>
      </c>
      <c r="C871" s="21" t="s">
        <v>72</v>
      </c>
      <c r="D871" s="21" t="s">
        <v>73</v>
      </c>
      <c r="E871" s="21" t="s">
        <v>74</v>
      </c>
      <c r="F871" s="21" t="s">
        <v>49</v>
      </c>
      <c r="G871" s="21" t="s">
        <v>50</v>
      </c>
      <c r="H871" s="21" t="s">
        <v>283</v>
      </c>
      <c r="I871" s="26">
        <v>1</v>
      </c>
      <c r="J871" s="26">
        <v>25</v>
      </c>
      <c r="K871" s="21" t="s">
        <v>52</v>
      </c>
      <c r="L871" s="27">
        <v>495</v>
      </c>
      <c r="M871" s="21"/>
      <c r="N871" s="21"/>
      <c r="O871" s="21" t="s">
        <v>1702</v>
      </c>
      <c r="P871" s="21" t="s">
        <v>54</v>
      </c>
      <c r="Q871" s="28">
        <v>46140</v>
      </c>
      <c r="R871" s="29">
        <v>46140.4072685185</v>
      </c>
      <c r="S871" s="21" t="s">
        <v>77</v>
      </c>
      <c r="T871" s="21"/>
      <c r="U871" s="21" t="s">
        <v>74</v>
      </c>
      <c r="V871" s="29">
        <v>46140.4072337963</v>
      </c>
      <c r="W871">
        <f>VLOOKUP(H871,物料編碼!A:B,2,0)</f>
        <v>1300104005</v>
      </c>
      <c r="X871">
        <v>1300104</v>
      </c>
      <c r="Y871" t="str">
        <f>VLOOKUP(X871,物料編碼!D:G,4,0)</f>
        <v>四號肉</v>
      </c>
      <c r="Z871" t="str">
        <f>VLOOKUP(C871,客戶屬性1!A:C,2,0)</f>
        <v>恒辉贸易公司</v>
      </c>
      <c r="AA871">
        <f>IF(COUNTIF($O$1:O871,O871)=1,L871,0)</f>
        <v>495</v>
      </c>
    </row>
    <row r="872" customHeight="1" spans="1:27">
      <c r="A872" s="21" t="s">
        <v>1703</v>
      </c>
      <c r="B872" s="21" t="s">
        <v>45</v>
      </c>
      <c r="C872" s="21" t="s">
        <v>72</v>
      </c>
      <c r="D872" s="21" t="s">
        <v>73</v>
      </c>
      <c r="E872" s="21" t="s">
        <v>74</v>
      </c>
      <c r="F872" s="21" t="s">
        <v>49</v>
      </c>
      <c r="G872" s="21" t="s">
        <v>50</v>
      </c>
      <c r="H872" s="21" t="s">
        <v>283</v>
      </c>
      <c r="I872" s="26">
        <v>4</v>
      </c>
      <c r="J872" s="26">
        <v>100</v>
      </c>
      <c r="K872" s="21" t="s">
        <v>52</v>
      </c>
      <c r="L872" s="27">
        <v>1980</v>
      </c>
      <c r="M872" s="21"/>
      <c r="N872" s="21"/>
      <c r="O872" s="21" t="s">
        <v>1704</v>
      </c>
      <c r="P872" s="21" t="s">
        <v>183</v>
      </c>
      <c r="Q872" s="28">
        <v>46140</v>
      </c>
      <c r="R872" s="29">
        <v>46140.4025810185</v>
      </c>
      <c r="S872" s="21" t="s">
        <v>77</v>
      </c>
      <c r="T872" s="21"/>
      <c r="U872" s="21" t="s">
        <v>74</v>
      </c>
      <c r="V872" s="29">
        <v>46140.4025347222</v>
      </c>
      <c r="W872">
        <f>VLOOKUP(H872,物料編碼!A:B,2,0)</f>
        <v>1300104005</v>
      </c>
      <c r="X872">
        <v>1300104</v>
      </c>
      <c r="Y872" t="str">
        <f>VLOOKUP(X872,物料編碼!D:G,4,0)</f>
        <v>四號肉</v>
      </c>
      <c r="Z872" t="str">
        <f>VLOOKUP(C872,客戶屬性1!A:C,2,0)</f>
        <v>恒辉贸易公司</v>
      </c>
      <c r="AA872">
        <f>IF(COUNTIF($O$1:O872,O872)=1,L872,0)</f>
        <v>1980</v>
      </c>
    </row>
    <row r="873" customHeight="1" spans="1:27">
      <c r="A873" s="21" t="s">
        <v>1705</v>
      </c>
      <c r="B873" s="21" t="s">
        <v>45</v>
      </c>
      <c r="C873" s="21" t="s">
        <v>57</v>
      </c>
      <c r="D873" s="21" t="s">
        <v>58</v>
      </c>
      <c r="E873" s="21" t="s">
        <v>59</v>
      </c>
      <c r="F873" s="21" t="s">
        <v>49</v>
      </c>
      <c r="G873" s="21" t="s">
        <v>50</v>
      </c>
      <c r="H873" s="21" t="s">
        <v>60</v>
      </c>
      <c r="I873" s="26">
        <v>15</v>
      </c>
      <c r="J873" s="26">
        <v>375</v>
      </c>
      <c r="K873" s="21" t="s">
        <v>52</v>
      </c>
      <c r="L873" s="27">
        <v>13800</v>
      </c>
      <c r="M873" s="21"/>
      <c r="N873" s="21"/>
      <c r="O873" s="21" t="s">
        <v>1706</v>
      </c>
      <c r="P873" s="21" t="s">
        <v>54</v>
      </c>
      <c r="Q873" s="28">
        <v>46141</v>
      </c>
      <c r="R873" s="29">
        <v>46140.3912384259</v>
      </c>
      <c r="S873" s="21" t="s">
        <v>62</v>
      </c>
      <c r="T873" s="21"/>
      <c r="U873" s="21" t="s">
        <v>59</v>
      </c>
      <c r="V873" s="29">
        <v>46140.3911921296</v>
      </c>
      <c r="W873">
        <f>VLOOKUP(H873,物料編碼!A:B,2,0)</f>
        <v>1300101043</v>
      </c>
      <c r="X873">
        <v>1300101</v>
      </c>
      <c r="Y873" t="str">
        <f>VLOOKUP(X873,物料編碼!D:G,4,0)</f>
        <v>一號肉</v>
      </c>
      <c r="Z873" t="str">
        <f>VLOOKUP(C873,客戶屬性1!A:C,2,0)</f>
        <v>翎凰冻肉有限公司</v>
      </c>
      <c r="AA873">
        <f>IF(COUNTIF($O$1:O873,O873)=1,L873,0)</f>
        <v>13800</v>
      </c>
    </row>
    <row r="874" customHeight="1" spans="1:27">
      <c r="A874" s="21" t="s">
        <v>1707</v>
      </c>
      <c r="B874" s="21" t="s">
        <v>45</v>
      </c>
      <c r="C874" s="21" t="s">
        <v>72</v>
      </c>
      <c r="D874" s="21" t="s">
        <v>73</v>
      </c>
      <c r="E874" s="21" t="s">
        <v>74</v>
      </c>
      <c r="F874" s="21" t="s">
        <v>49</v>
      </c>
      <c r="G874" s="21" t="s">
        <v>50</v>
      </c>
      <c r="H874" s="21" t="s">
        <v>298</v>
      </c>
      <c r="I874" s="26">
        <v>1</v>
      </c>
      <c r="J874" s="26">
        <v>10</v>
      </c>
      <c r="K874" s="21" t="s">
        <v>52</v>
      </c>
      <c r="L874" s="27">
        <v>485</v>
      </c>
      <c r="M874" s="21"/>
      <c r="N874" s="21"/>
      <c r="O874" s="21" t="s">
        <v>1708</v>
      </c>
      <c r="P874" s="21" t="s">
        <v>54</v>
      </c>
      <c r="Q874" s="28">
        <v>46140</v>
      </c>
      <c r="R874" s="29">
        <v>46140.369224537</v>
      </c>
      <c r="S874" s="21" t="s">
        <v>81</v>
      </c>
      <c r="T874" s="21"/>
      <c r="U874" s="21" t="s">
        <v>82</v>
      </c>
      <c r="V874" s="29">
        <v>46140.3691666667</v>
      </c>
      <c r="W874">
        <f>VLOOKUP(H874,物料編碼!A:B,2,0)</f>
        <v>1300111003</v>
      </c>
      <c r="X874">
        <v>1300111</v>
      </c>
      <c r="Y874" t="str">
        <f>VLOOKUP(X874,物料編碼!D:G,4,0)</f>
        <v>寸骨</v>
      </c>
      <c r="Z874" t="str">
        <f>VLOOKUP(C874,客戶屬性1!A:C,2,0)</f>
        <v>恒辉贸易公司</v>
      </c>
      <c r="AA874">
        <f>IF(COUNTIF($O$1:O874,O874)=1,L874,0)</f>
        <v>485</v>
      </c>
    </row>
    <row r="875" customHeight="1" spans="1:27">
      <c r="A875" s="21" t="s">
        <v>1709</v>
      </c>
      <c r="B875" s="21" t="s">
        <v>45</v>
      </c>
      <c r="C875" s="21" t="s">
        <v>72</v>
      </c>
      <c r="D875" s="21" t="s">
        <v>73</v>
      </c>
      <c r="E875" s="21" t="s">
        <v>74</v>
      </c>
      <c r="F875" s="21" t="s">
        <v>49</v>
      </c>
      <c r="G875" s="21" t="s">
        <v>50</v>
      </c>
      <c r="H875" s="21" t="s">
        <v>117</v>
      </c>
      <c r="I875" s="26">
        <v>3</v>
      </c>
      <c r="J875" s="26">
        <v>45</v>
      </c>
      <c r="K875" s="21" t="s">
        <v>52</v>
      </c>
      <c r="L875" s="27">
        <v>665.1</v>
      </c>
      <c r="M875" s="21"/>
      <c r="N875" s="21"/>
      <c r="O875" s="21" t="s">
        <v>1710</v>
      </c>
      <c r="P875" s="21" t="s">
        <v>54</v>
      </c>
      <c r="Q875" s="28">
        <v>46140</v>
      </c>
      <c r="R875" s="29">
        <v>46139.6333101852</v>
      </c>
      <c r="S875" s="21" t="s">
        <v>377</v>
      </c>
      <c r="T875" s="21"/>
      <c r="U875" s="21" t="s">
        <v>82</v>
      </c>
      <c r="V875" s="29">
        <v>46139.6332638889</v>
      </c>
      <c r="W875">
        <f>VLOOKUP(H875,物料編碼!A:B,2,0)</f>
        <v>1300607015</v>
      </c>
      <c r="X875">
        <v>1300607</v>
      </c>
      <c r="Y875" t="str">
        <f>VLOOKUP(X875,物料編碼!D:G,4,0)</f>
        <v>帶皮腿扒</v>
      </c>
      <c r="Z875" t="str">
        <f>VLOOKUP(C875,客戶屬性1!A:C,2,0)</f>
        <v>恒辉贸易公司</v>
      </c>
      <c r="AA875">
        <f>IF(COUNTIF($O$1:O875,O875)=1,L875,0)</f>
        <v>665.1</v>
      </c>
    </row>
    <row r="876" customHeight="1" spans="1:27">
      <c r="A876" s="21" t="s">
        <v>1711</v>
      </c>
      <c r="B876" s="21" t="s">
        <v>45</v>
      </c>
      <c r="C876" s="21" t="s">
        <v>72</v>
      </c>
      <c r="D876" s="21" t="s">
        <v>73</v>
      </c>
      <c r="E876" s="21" t="s">
        <v>74</v>
      </c>
      <c r="F876" s="21" t="s">
        <v>49</v>
      </c>
      <c r="G876" s="21" t="s">
        <v>50</v>
      </c>
      <c r="H876" s="21" t="s">
        <v>63</v>
      </c>
      <c r="I876" s="26">
        <v>9</v>
      </c>
      <c r="J876" s="26">
        <v>225</v>
      </c>
      <c r="K876" s="21" t="s">
        <v>52</v>
      </c>
      <c r="L876" s="27">
        <v>7335</v>
      </c>
      <c r="M876" s="21"/>
      <c r="N876" s="21"/>
      <c r="O876" s="21" t="s">
        <v>1712</v>
      </c>
      <c r="P876" s="21" t="s">
        <v>54</v>
      </c>
      <c r="Q876" s="28">
        <v>46140</v>
      </c>
      <c r="R876" s="29">
        <v>46139.5884490741</v>
      </c>
      <c r="S876" s="21" t="s">
        <v>81</v>
      </c>
      <c r="T876" s="21"/>
      <c r="U876" s="21" t="s">
        <v>82</v>
      </c>
      <c r="V876" s="29">
        <v>46139.5883912037</v>
      </c>
      <c r="W876">
        <f>VLOOKUP(H876,物料編碼!A:B,2,0)</f>
        <v>1300109002</v>
      </c>
      <c r="X876">
        <v>1300109</v>
      </c>
      <c r="Y876" t="str">
        <f>VLOOKUP(X876,物料編碼!D:G,4,0)</f>
        <v>面精肉</v>
      </c>
      <c r="Z876" t="str">
        <f>VLOOKUP(C876,客戶屬性1!A:C,2,0)</f>
        <v>恒辉贸易公司</v>
      </c>
      <c r="AA876">
        <f>IF(COUNTIF($O$1:O876,O876)=1,L876,0)</f>
        <v>7335</v>
      </c>
    </row>
    <row r="877" customHeight="1" spans="1:27">
      <c r="A877" s="21" t="s">
        <v>1713</v>
      </c>
      <c r="B877" s="21" t="s">
        <v>45</v>
      </c>
      <c r="C877" s="21" t="s">
        <v>126</v>
      </c>
      <c r="D877" s="21" t="s">
        <v>127</v>
      </c>
      <c r="E877" s="21" t="s">
        <v>128</v>
      </c>
      <c r="F877" s="21" t="s">
        <v>49</v>
      </c>
      <c r="G877" s="21" t="s">
        <v>129</v>
      </c>
      <c r="H877" s="21" t="s">
        <v>117</v>
      </c>
      <c r="I877" s="26">
        <v>10</v>
      </c>
      <c r="J877" s="26">
        <v>150</v>
      </c>
      <c r="K877" s="21" t="s">
        <v>52</v>
      </c>
      <c r="L877" s="27">
        <v>2217</v>
      </c>
      <c r="M877" s="21"/>
      <c r="N877" s="21"/>
      <c r="O877" s="21" t="s">
        <v>1714</v>
      </c>
      <c r="P877" s="21" t="s">
        <v>54</v>
      </c>
      <c r="Q877" s="28">
        <v>46139</v>
      </c>
      <c r="R877" s="29">
        <v>46139.5371064815</v>
      </c>
      <c r="S877" s="21" t="s">
        <v>131</v>
      </c>
      <c r="T877" s="21"/>
      <c r="U877" s="21" t="s">
        <v>127</v>
      </c>
      <c r="V877" s="29">
        <v>46139.5370601852</v>
      </c>
      <c r="W877">
        <f>VLOOKUP(H877,物料編碼!A:B,2,0)</f>
        <v>1300607015</v>
      </c>
      <c r="X877">
        <v>1300607</v>
      </c>
      <c r="Y877" t="str">
        <f>VLOOKUP(X877,物料編碼!D:G,4,0)</f>
        <v>帶皮腿扒</v>
      </c>
      <c r="Z877" t="str">
        <f>VLOOKUP(C877,客戶屬性1!A:C,2,0)</f>
        <v>福源食品有限公司</v>
      </c>
      <c r="AA877">
        <f>IF(COUNTIF($O$1:O877,O877)=1,L877,0)</f>
        <v>2217</v>
      </c>
    </row>
    <row r="878" customHeight="1" spans="1:27">
      <c r="A878" s="21" t="s">
        <v>1715</v>
      </c>
      <c r="B878" s="21" t="s">
        <v>45</v>
      </c>
      <c r="C878" s="21" t="s">
        <v>197</v>
      </c>
      <c r="D878" s="21" t="s">
        <v>198</v>
      </c>
      <c r="E878" s="21" t="s">
        <v>199</v>
      </c>
      <c r="F878" s="21" t="s">
        <v>49</v>
      </c>
      <c r="G878" s="21" t="s">
        <v>136</v>
      </c>
      <c r="H878" s="21" t="s">
        <v>63</v>
      </c>
      <c r="I878" s="26">
        <v>4</v>
      </c>
      <c r="J878" s="26">
        <v>100</v>
      </c>
      <c r="K878" s="21" t="s">
        <v>52</v>
      </c>
      <c r="L878" s="27">
        <v>3260</v>
      </c>
      <c r="M878" s="21"/>
      <c r="N878" s="21"/>
      <c r="O878" s="21" t="s">
        <v>1716</v>
      </c>
      <c r="P878" s="21" t="s">
        <v>54</v>
      </c>
      <c r="Q878" s="28">
        <v>46140</v>
      </c>
      <c r="R878" s="29">
        <v>46139.5065046296</v>
      </c>
      <c r="S878" s="21" t="s">
        <v>202</v>
      </c>
      <c r="T878" s="21"/>
      <c r="U878" s="21" t="s">
        <v>203</v>
      </c>
      <c r="V878" s="29">
        <v>46139.5064583333</v>
      </c>
      <c r="W878">
        <f>VLOOKUP(H878,物料編碼!A:B,2,0)</f>
        <v>1300109002</v>
      </c>
      <c r="X878">
        <v>1300109</v>
      </c>
      <c r="Y878" t="str">
        <f>VLOOKUP(X878,物料編碼!D:G,4,0)</f>
        <v>面精肉</v>
      </c>
      <c r="Z878" t="str">
        <f>VLOOKUP(C878,客戶屬性1!A:C,2,0)</f>
        <v>信隆(亚洲)有限公司</v>
      </c>
      <c r="AA878">
        <f>IF(COUNTIF($O$1:O878,O878)=1,L878,0)</f>
        <v>3260</v>
      </c>
    </row>
    <row r="879" customHeight="1" spans="1:27">
      <c r="A879" s="21" t="s">
        <v>1717</v>
      </c>
      <c r="B879" s="21" t="s">
        <v>45</v>
      </c>
      <c r="C879" s="21" t="s">
        <v>197</v>
      </c>
      <c r="D879" s="21" t="s">
        <v>198</v>
      </c>
      <c r="E879" s="21" t="s">
        <v>199</v>
      </c>
      <c r="F879" s="21" t="s">
        <v>49</v>
      </c>
      <c r="G879" s="21" t="s">
        <v>136</v>
      </c>
      <c r="H879" s="21" t="s">
        <v>200</v>
      </c>
      <c r="I879" s="26">
        <v>15</v>
      </c>
      <c r="J879" s="26">
        <v>150</v>
      </c>
      <c r="K879" s="21" t="s">
        <v>52</v>
      </c>
      <c r="L879" s="27">
        <v>3225</v>
      </c>
      <c r="M879" s="21"/>
      <c r="N879" s="21"/>
      <c r="O879" s="21" t="s">
        <v>1718</v>
      </c>
      <c r="P879" s="21" t="s">
        <v>54</v>
      </c>
      <c r="Q879" s="28">
        <v>46140</v>
      </c>
      <c r="R879" s="29">
        <v>46139.5035069444</v>
      </c>
      <c r="S879" s="21" t="s">
        <v>202</v>
      </c>
      <c r="T879" s="21"/>
      <c r="U879" s="21" t="s">
        <v>203</v>
      </c>
      <c r="V879" s="29">
        <v>46139.5034490741</v>
      </c>
      <c r="W879">
        <f>VLOOKUP(H879,物料編碼!A:B,2,0)</f>
        <v>1300904024</v>
      </c>
      <c r="X879">
        <v>1300904</v>
      </c>
      <c r="Y879" t="str">
        <f>VLOOKUP(X879,物料編碼!D:G,4,0)</f>
        <v>煙熏鴨胸</v>
      </c>
      <c r="Z879" t="str">
        <f>VLOOKUP(C879,客戶屬性1!A:C,2,0)</f>
        <v>信隆(亚洲)有限公司</v>
      </c>
      <c r="AA879">
        <f>IF(COUNTIF($O$1:O879,O879)=1,L879,0)</f>
        <v>3225</v>
      </c>
    </row>
    <row r="880" customHeight="1" spans="1:27">
      <c r="A880" s="21" t="s">
        <v>1719</v>
      </c>
      <c r="B880" s="21" t="s">
        <v>45</v>
      </c>
      <c r="C880" s="21" t="s">
        <v>72</v>
      </c>
      <c r="D880" s="21" t="s">
        <v>73</v>
      </c>
      <c r="E880" s="21" t="s">
        <v>74</v>
      </c>
      <c r="F880" s="21" t="s">
        <v>49</v>
      </c>
      <c r="G880" s="21" t="s">
        <v>50</v>
      </c>
      <c r="H880" s="21" t="s">
        <v>283</v>
      </c>
      <c r="I880" s="26">
        <v>6</v>
      </c>
      <c r="J880" s="26">
        <v>150</v>
      </c>
      <c r="K880" s="21" t="s">
        <v>52</v>
      </c>
      <c r="L880" s="27">
        <v>5984.4</v>
      </c>
      <c r="M880" s="21"/>
      <c r="N880" s="21"/>
      <c r="O880" s="21" t="s">
        <v>1720</v>
      </c>
      <c r="P880" s="21" t="s">
        <v>54</v>
      </c>
      <c r="Q880" s="28">
        <v>46140</v>
      </c>
      <c r="R880" s="29">
        <v>46139.4912384259</v>
      </c>
      <c r="S880" s="21" t="s">
        <v>77</v>
      </c>
      <c r="T880" s="21"/>
      <c r="U880" s="21" t="s">
        <v>74</v>
      </c>
      <c r="V880" s="29">
        <v>46139.4911921296</v>
      </c>
      <c r="W880">
        <f>VLOOKUP(H880,物料編碼!A:B,2,0)</f>
        <v>1300104005</v>
      </c>
      <c r="X880">
        <v>1300104</v>
      </c>
      <c r="Y880" t="str">
        <f>VLOOKUP(X880,物料編碼!D:G,4,0)</f>
        <v>四號肉</v>
      </c>
      <c r="Z880" t="str">
        <f>VLOOKUP(C880,客戶屬性1!A:C,2,0)</f>
        <v>恒辉贸易公司</v>
      </c>
      <c r="AA880">
        <f>IF(COUNTIF($O$1:O880,O880)=1,L880,0)</f>
        <v>5984.4</v>
      </c>
    </row>
    <row r="881" customHeight="1" spans="1:27">
      <c r="A881" s="21" t="s">
        <v>1719</v>
      </c>
      <c r="B881" s="21" t="s">
        <v>45</v>
      </c>
      <c r="C881" s="21" t="s">
        <v>72</v>
      </c>
      <c r="D881" s="21" t="s">
        <v>73</v>
      </c>
      <c r="E881" s="21" t="s">
        <v>74</v>
      </c>
      <c r="F881" s="21" t="s">
        <v>49</v>
      </c>
      <c r="G881" s="21" t="s">
        <v>50</v>
      </c>
      <c r="H881" s="21" t="s">
        <v>190</v>
      </c>
      <c r="I881" s="26">
        <v>16</v>
      </c>
      <c r="J881" s="26">
        <v>192</v>
      </c>
      <c r="K881" s="21" t="s">
        <v>52</v>
      </c>
      <c r="L881" s="27">
        <v>5984.4</v>
      </c>
      <c r="M881" s="21"/>
      <c r="N881" s="21"/>
      <c r="O881" s="21" t="s">
        <v>1720</v>
      </c>
      <c r="P881" s="21" t="s">
        <v>54</v>
      </c>
      <c r="Q881" s="28">
        <v>46140</v>
      </c>
      <c r="R881" s="29">
        <v>46139.4912384259</v>
      </c>
      <c r="S881" s="21" t="s">
        <v>77</v>
      </c>
      <c r="T881" s="21"/>
      <c r="U881" s="21" t="s">
        <v>74</v>
      </c>
      <c r="V881" s="29">
        <v>46139.4911921296</v>
      </c>
      <c r="W881">
        <f>VLOOKUP(H881,物料編碼!A:B,2,0)</f>
        <v>1300609001</v>
      </c>
      <c r="X881">
        <v>1300609</v>
      </c>
      <c r="Y881" t="str">
        <f>VLOOKUP(X881,物料編碼!D:G,4,0)</f>
        <v>去皮上腿肉</v>
      </c>
      <c r="Z881" t="str">
        <f>VLOOKUP(C881,客戶屬性1!A:C,2,0)</f>
        <v>恒辉贸易公司</v>
      </c>
      <c r="AA881">
        <f>IF(COUNTIF($O$1:O881,O881)=1,L881,0)</f>
        <v>0</v>
      </c>
    </row>
    <row r="882" customHeight="1" spans="1:27">
      <c r="A882" s="21" t="s">
        <v>1721</v>
      </c>
      <c r="B882" s="21" t="s">
        <v>45</v>
      </c>
      <c r="C882" s="21" t="s">
        <v>141</v>
      </c>
      <c r="D882" s="21" t="s">
        <v>142</v>
      </c>
      <c r="E882" s="21" t="s">
        <v>142</v>
      </c>
      <c r="F882" s="21" t="s">
        <v>143</v>
      </c>
      <c r="G882" s="21" t="s">
        <v>100</v>
      </c>
      <c r="H882" s="21" t="s">
        <v>302</v>
      </c>
      <c r="I882" s="26">
        <v>1</v>
      </c>
      <c r="J882" s="26">
        <v>12</v>
      </c>
      <c r="K882" s="21" t="s">
        <v>52</v>
      </c>
      <c r="L882" s="27">
        <v>1238.4</v>
      </c>
      <c r="M882" s="21"/>
      <c r="N882" s="21"/>
      <c r="O882" s="21" t="s">
        <v>1722</v>
      </c>
      <c r="P882" s="21" t="s">
        <v>54</v>
      </c>
      <c r="Q882" s="28">
        <v>46140</v>
      </c>
      <c r="R882" s="29">
        <v>46139.4828009259</v>
      </c>
      <c r="S882" s="21" t="s">
        <v>145</v>
      </c>
      <c r="T882" s="21"/>
      <c r="U882" s="21" t="s">
        <v>142</v>
      </c>
      <c r="V882" s="29">
        <v>46139.4827546296</v>
      </c>
      <c r="W882">
        <f>VLOOKUP(H882,物料編碼!A:B,2,0)</f>
        <v>1300609018</v>
      </c>
      <c r="X882">
        <v>1300609</v>
      </c>
      <c r="Y882" t="str">
        <f>VLOOKUP(X882,物料編碼!D:G,4,0)</f>
        <v>去皮上腿肉</v>
      </c>
      <c r="Z882" t="str">
        <f>VLOOKUP(C882,客戶屬性1!A:C,2,0)</f>
        <v>新昌冻肉</v>
      </c>
      <c r="AA882">
        <f>IF(COUNTIF($O$1:O882,O882)=1,L882,0)</f>
        <v>1238.4</v>
      </c>
    </row>
    <row r="883" customHeight="1" spans="1:27">
      <c r="A883" s="21" t="s">
        <v>1721</v>
      </c>
      <c r="B883" s="21" t="s">
        <v>45</v>
      </c>
      <c r="C883" s="21" t="s">
        <v>141</v>
      </c>
      <c r="D883" s="21" t="s">
        <v>142</v>
      </c>
      <c r="E883" s="21" t="s">
        <v>142</v>
      </c>
      <c r="F883" s="21" t="s">
        <v>143</v>
      </c>
      <c r="G883" s="21" t="s">
        <v>100</v>
      </c>
      <c r="H883" s="21" t="s">
        <v>1642</v>
      </c>
      <c r="I883" s="26">
        <v>2</v>
      </c>
      <c r="J883" s="26">
        <v>30</v>
      </c>
      <c r="K883" s="21" t="s">
        <v>52</v>
      </c>
      <c r="L883" s="27">
        <v>1238.4</v>
      </c>
      <c r="M883" s="21"/>
      <c r="N883" s="21"/>
      <c r="O883" s="21" t="s">
        <v>1722</v>
      </c>
      <c r="P883" s="21" t="s">
        <v>54</v>
      </c>
      <c r="Q883" s="28">
        <v>46140</v>
      </c>
      <c r="R883" s="29">
        <v>46139.4828009259</v>
      </c>
      <c r="S883" s="21" t="s">
        <v>145</v>
      </c>
      <c r="T883" s="21"/>
      <c r="U883" s="21" t="s">
        <v>142</v>
      </c>
      <c r="V883" s="29">
        <v>46139.4827546296</v>
      </c>
      <c r="W883">
        <f>VLOOKUP(H883,物料編碼!A:B,2,0)</f>
        <v>1300603042</v>
      </c>
      <c r="X883">
        <v>1300603</v>
      </c>
      <c r="Y883" t="str">
        <f>VLOOKUP(X883,物料編碼!D:G,4,0)</f>
        <v>帶骨全腿</v>
      </c>
      <c r="Z883" t="str">
        <f>VLOOKUP(C883,客戶屬性1!A:C,2,0)</f>
        <v>新昌冻肉</v>
      </c>
      <c r="AA883">
        <f>IF(COUNTIF($O$1:O883,O883)=1,L883,0)</f>
        <v>0</v>
      </c>
    </row>
    <row r="884" customHeight="1" spans="1:27">
      <c r="A884" s="21" t="s">
        <v>1721</v>
      </c>
      <c r="B884" s="21" t="s">
        <v>45</v>
      </c>
      <c r="C884" s="21" t="s">
        <v>141</v>
      </c>
      <c r="D884" s="21" t="s">
        <v>142</v>
      </c>
      <c r="E884" s="21" t="s">
        <v>142</v>
      </c>
      <c r="F884" s="21" t="s">
        <v>143</v>
      </c>
      <c r="G884" s="21" t="s">
        <v>100</v>
      </c>
      <c r="H884" s="21" t="s">
        <v>117</v>
      </c>
      <c r="I884" s="26">
        <v>3</v>
      </c>
      <c r="J884" s="26">
        <v>45</v>
      </c>
      <c r="K884" s="21" t="s">
        <v>52</v>
      </c>
      <c r="L884" s="27">
        <v>1238.4</v>
      </c>
      <c r="M884" s="21"/>
      <c r="N884" s="21"/>
      <c r="O884" s="21" t="s">
        <v>1722</v>
      </c>
      <c r="P884" s="21" t="s">
        <v>54</v>
      </c>
      <c r="Q884" s="28">
        <v>46140</v>
      </c>
      <c r="R884" s="29">
        <v>46139.4828009259</v>
      </c>
      <c r="S884" s="21" t="s">
        <v>145</v>
      </c>
      <c r="T884" s="21"/>
      <c r="U884" s="21" t="s">
        <v>142</v>
      </c>
      <c r="V884" s="29">
        <v>46139.4827546296</v>
      </c>
      <c r="W884">
        <f>VLOOKUP(H884,物料編碼!A:B,2,0)</f>
        <v>1300607015</v>
      </c>
      <c r="X884">
        <v>1300607</v>
      </c>
      <c r="Y884" t="str">
        <f>VLOOKUP(X884,物料編碼!D:G,4,0)</f>
        <v>帶皮腿扒</v>
      </c>
      <c r="Z884" t="str">
        <f>VLOOKUP(C884,客戶屬性1!A:C,2,0)</f>
        <v>新昌冻肉</v>
      </c>
      <c r="AA884">
        <f>IF(COUNTIF($O$1:O884,O884)=1,L884,0)</f>
        <v>0</v>
      </c>
    </row>
    <row r="885" customHeight="1" spans="1:27">
      <c r="A885" s="21" t="s">
        <v>1723</v>
      </c>
      <c r="B885" s="21" t="s">
        <v>45</v>
      </c>
      <c r="C885" s="21" t="s">
        <v>72</v>
      </c>
      <c r="D885" s="21" t="s">
        <v>73</v>
      </c>
      <c r="E885" s="21" t="s">
        <v>74</v>
      </c>
      <c r="F885" s="21" t="s">
        <v>49</v>
      </c>
      <c r="G885" s="21" t="s">
        <v>50</v>
      </c>
      <c r="H885" s="21" t="s">
        <v>298</v>
      </c>
      <c r="I885" s="26">
        <v>1</v>
      </c>
      <c r="J885" s="26">
        <v>10</v>
      </c>
      <c r="K885" s="21" t="s">
        <v>52</v>
      </c>
      <c r="L885" s="27">
        <v>485</v>
      </c>
      <c r="M885" s="21"/>
      <c r="N885" s="21"/>
      <c r="O885" s="21" t="s">
        <v>1724</v>
      </c>
      <c r="P885" s="21" t="s">
        <v>54</v>
      </c>
      <c r="Q885" s="28">
        <v>46140</v>
      </c>
      <c r="R885" s="29">
        <v>46139.4803587963</v>
      </c>
      <c r="S885" s="21" t="s">
        <v>77</v>
      </c>
      <c r="T885" s="21"/>
      <c r="U885" s="21" t="s">
        <v>74</v>
      </c>
      <c r="V885" s="29">
        <v>46139.4803125</v>
      </c>
      <c r="W885">
        <f>VLOOKUP(H885,物料編碼!A:B,2,0)</f>
        <v>1300111003</v>
      </c>
      <c r="X885">
        <v>1300111</v>
      </c>
      <c r="Y885" t="str">
        <f>VLOOKUP(X885,物料編碼!D:G,4,0)</f>
        <v>寸骨</v>
      </c>
      <c r="Z885" t="str">
        <f>VLOOKUP(C885,客戶屬性1!A:C,2,0)</f>
        <v>恒辉贸易公司</v>
      </c>
      <c r="AA885">
        <f>IF(COUNTIF($O$1:O885,O885)=1,L885,0)</f>
        <v>485</v>
      </c>
    </row>
    <row r="886" customHeight="1" spans="1:27">
      <c r="A886" s="21" t="s">
        <v>1725</v>
      </c>
      <c r="B886" s="21" t="s">
        <v>45</v>
      </c>
      <c r="C886" s="21" t="s">
        <v>383</v>
      </c>
      <c r="D886" s="21" t="s">
        <v>384</v>
      </c>
      <c r="E886" s="21" t="s">
        <v>385</v>
      </c>
      <c r="F886" s="21" t="s">
        <v>49</v>
      </c>
      <c r="G886" s="21" t="s">
        <v>50</v>
      </c>
      <c r="H886" s="21" t="s">
        <v>298</v>
      </c>
      <c r="I886" s="26">
        <v>1</v>
      </c>
      <c r="J886" s="26">
        <v>10</v>
      </c>
      <c r="K886" s="21" t="s">
        <v>52</v>
      </c>
      <c r="L886" s="27">
        <v>485</v>
      </c>
      <c r="M886" s="21"/>
      <c r="N886" s="21"/>
      <c r="O886" s="21" t="s">
        <v>1726</v>
      </c>
      <c r="P886" s="21" t="s">
        <v>54</v>
      </c>
      <c r="Q886" s="28">
        <v>46139</v>
      </c>
      <c r="R886" s="29">
        <v>46139.4600578704</v>
      </c>
      <c r="S886" s="21" t="s">
        <v>387</v>
      </c>
      <c r="T886" s="21"/>
      <c r="U886" s="21" t="s">
        <v>384</v>
      </c>
      <c r="V886" s="29">
        <v>46139.4600115741</v>
      </c>
      <c r="W886">
        <f>VLOOKUP(H886,物料編碼!A:B,2,0)</f>
        <v>1300111003</v>
      </c>
      <c r="X886">
        <v>1300111</v>
      </c>
      <c r="Y886" t="str">
        <f>VLOOKUP(X886,物料編碼!D:G,4,0)</f>
        <v>寸骨</v>
      </c>
      <c r="Z886" t="str">
        <f>VLOOKUP(C886,客戶屬性1!A:C,2,0)</f>
        <v>新协兴冻肉食品公司</v>
      </c>
      <c r="AA886">
        <f>IF(COUNTIF($O$1:O886,O886)=1,L886,0)</f>
        <v>485</v>
      </c>
    </row>
    <row r="887" customHeight="1" spans="1:27">
      <c r="A887" s="21" t="s">
        <v>1727</v>
      </c>
      <c r="B887" s="21" t="s">
        <v>45</v>
      </c>
      <c r="C887" s="21" t="s">
        <v>97</v>
      </c>
      <c r="D887" s="21" t="s">
        <v>98</v>
      </c>
      <c r="E887" s="21" t="s">
        <v>99</v>
      </c>
      <c r="F887" s="21" t="s">
        <v>49</v>
      </c>
      <c r="G887" s="21" t="s">
        <v>100</v>
      </c>
      <c r="H887" s="21" t="s">
        <v>298</v>
      </c>
      <c r="I887" s="26">
        <v>1</v>
      </c>
      <c r="J887" s="26">
        <v>10</v>
      </c>
      <c r="K887" s="21" t="s">
        <v>52</v>
      </c>
      <c r="L887" s="27">
        <v>485</v>
      </c>
      <c r="M887" s="21"/>
      <c r="N887" s="21"/>
      <c r="O887" s="21" t="s">
        <v>1728</v>
      </c>
      <c r="P887" s="21" t="s">
        <v>54</v>
      </c>
      <c r="Q887" s="28">
        <v>46139</v>
      </c>
      <c r="R887" s="29">
        <v>46139.436412037</v>
      </c>
      <c r="S887" s="21" t="s">
        <v>103</v>
      </c>
      <c r="T887" s="21"/>
      <c r="U887" s="21" t="s">
        <v>99</v>
      </c>
      <c r="V887" s="29">
        <v>46139.4363657407</v>
      </c>
      <c r="W887">
        <f>VLOOKUP(H887,物料編碼!A:B,2,0)</f>
        <v>1300111003</v>
      </c>
      <c r="X887">
        <v>1300111</v>
      </c>
      <c r="Y887" t="str">
        <f>VLOOKUP(X887,物料編碼!D:G,4,0)</f>
        <v>寸骨</v>
      </c>
      <c r="Z887" t="str">
        <f>VLOOKUP(C887,客戶屬性1!A:C,2,0)</f>
        <v>三明有限公司</v>
      </c>
      <c r="AA887">
        <f>IF(COUNTIF($O$1:O887,O887)=1,L887,0)</f>
        <v>485</v>
      </c>
    </row>
    <row r="888" customHeight="1" spans="1:27">
      <c r="A888" s="21" t="s">
        <v>1729</v>
      </c>
      <c r="B888" s="21" t="s">
        <v>45</v>
      </c>
      <c r="C888" s="21" t="s">
        <v>72</v>
      </c>
      <c r="D888" s="21" t="s">
        <v>73</v>
      </c>
      <c r="E888" s="21" t="s">
        <v>74</v>
      </c>
      <c r="F888" s="21" t="s">
        <v>49</v>
      </c>
      <c r="G888" s="21" t="s">
        <v>50</v>
      </c>
      <c r="H888" s="21" t="s">
        <v>117</v>
      </c>
      <c r="I888" s="26">
        <v>3</v>
      </c>
      <c r="J888" s="26">
        <v>45</v>
      </c>
      <c r="K888" s="21" t="s">
        <v>52</v>
      </c>
      <c r="L888" s="27">
        <v>665.1</v>
      </c>
      <c r="M888" s="21"/>
      <c r="N888" s="21"/>
      <c r="O888" s="21" t="s">
        <v>1730</v>
      </c>
      <c r="P888" s="21" t="s">
        <v>54</v>
      </c>
      <c r="Q888" s="28">
        <v>46139</v>
      </c>
      <c r="R888" s="29">
        <v>46137.4977083333</v>
      </c>
      <c r="S888" s="21" t="s">
        <v>77</v>
      </c>
      <c r="T888" s="21"/>
      <c r="U888" s="21" t="s">
        <v>74</v>
      </c>
      <c r="V888" s="29">
        <v>46137.497662037</v>
      </c>
      <c r="W888">
        <f>VLOOKUP(H888,物料編碼!A:B,2,0)</f>
        <v>1300607015</v>
      </c>
      <c r="X888">
        <v>1300607</v>
      </c>
      <c r="Y888" t="str">
        <f>VLOOKUP(X888,物料編碼!D:G,4,0)</f>
        <v>帶皮腿扒</v>
      </c>
      <c r="Z888" t="str">
        <f>VLOOKUP(C888,客戶屬性1!A:C,2,0)</f>
        <v>恒辉贸易公司</v>
      </c>
      <c r="AA888">
        <f>IF(COUNTIF($O$1:O888,O888)=1,L888,0)</f>
        <v>665.1</v>
      </c>
    </row>
    <row r="889" customHeight="1" spans="1:27">
      <c r="A889" s="21" t="s">
        <v>1731</v>
      </c>
      <c r="B889" s="21" t="s">
        <v>45</v>
      </c>
      <c r="C889" s="21" t="s">
        <v>72</v>
      </c>
      <c r="D889" s="21" t="s">
        <v>73</v>
      </c>
      <c r="E889" s="21" t="s">
        <v>74</v>
      </c>
      <c r="F889" s="21" t="s">
        <v>49</v>
      </c>
      <c r="G889" s="21" t="s">
        <v>50</v>
      </c>
      <c r="H889" s="21" t="s">
        <v>75</v>
      </c>
      <c r="I889" s="26">
        <v>1</v>
      </c>
      <c r="J889" s="26">
        <v>15</v>
      </c>
      <c r="K889" s="21" t="s">
        <v>52</v>
      </c>
      <c r="L889" s="27">
        <v>2405.55</v>
      </c>
      <c r="M889" s="21"/>
      <c r="N889" s="21"/>
      <c r="O889" s="21" t="s">
        <v>1732</v>
      </c>
      <c r="P889" s="21" t="s">
        <v>54</v>
      </c>
      <c r="Q889" s="28">
        <v>46139</v>
      </c>
      <c r="R889" s="29">
        <v>46137.4768981481</v>
      </c>
      <c r="S889" s="21" t="s">
        <v>77</v>
      </c>
      <c r="T889" s="21"/>
      <c r="U889" s="21" t="s">
        <v>74</v>
      </c>
      <c r="V889" s="29">
        <v>46137.4768402778</v>
      </c>
      <c r="W889">
        <f>VLOOKUP(H889,物料編碼!A:B,2,0)</f>
        <v>1300603040</v>
      </c>
      <c r="X889">
        <v>1300603</v>
      </c>
      <c r="Y889" t="str">
        <f>VLOOKUP(X889,物料編碼!D:G,4,0)</f>
        <v>帶骨全腿</v>
      </c>
      <c r="Z889" t="str">
        <f>VLOOKUP(C889,客戶屬性1!A:C,2,0)</f>
        <v>恒辉贸易公司</v>
      </c>
      <c r="AA889">
        <f>IF(COUNTIF($O$1:O889,O889)=1,L889,0)</f>
        <v>2405.55</v>
      </c>
    </row>
    <row r="890" customHeight="1" spans="1:27">
      <c r="A890" s="21" t="s">
        <v>1731</v>
      </c>
      <c r="B890" s="21" t="s">
        <v>45</v>
      </c>
      <c r="C890" s="21" t="s">
        <v>72</v>
      </c>
      <c r="D890" s="21" t="s">
        <v>73</v>
      </c>
      <c r="E890" s="21" t="s">
        <v>74</v>
      </c>
      <c r="F890" s="21" t="s">
        <v>49</v>
      </c>
      <c r="G890" s="21" t="s">
        <v>50</v>
      </c>
      <c r="H890" s="21" t="s">
        <v>78</v>
      </c>
      <c r="I890" s="26">
        <v>10</v>
      </c>
      <c r="J890" s="26">
        <v>150</v>
      </c>
      <c r="K890" s="21" t="s">
        <v>52</v>
      </c>
      <c r="L890" s="27">
        <v>2405.55</v>
      </c>
      <c r="M890" s="21"/>
      <c r="N890" s="21"/>
      <c r="O890" s="21" t="s">
        <v>1732</v>
      </c>
      <c r="P890" s="21" t="s">
        <v>54</v>
      </c>
      <c r="Q890" s="28">
        <v>46139</v>
      </c>
      <c r="R890" s="29">
        <v>46137.4768981481</v>
      </c>
      <c r="S890" s="21" t="s">
        <v>77</v>
      </c>
      <c r="T890" s="21"/>
      <c r="U890" s="21" t="s">
        <v>74</v>
      </c>
      <c r="V890" s="29">
        <v>46137.4768402778</v>
      </c>
      <c r="W890">
        <f>VLOOKUP(H890,物料編碼!A:B,2,0)</f>
        <v>1300607014</v>
      </c>
      <c r="X890">
        <v>1300607</v>
      </c>
      <c r="Y890" t="str">
        <f>VLOOKUP(X890,物料編碼!D:G,4,0)</f>
        <v>帶皮腿扒</v>
      </c>
      <c r="Z890" t="str">
        <f>VLOOKUP(C890,客戶屬性1!A:C,2,0)</f>
        <v>恒辉贸易公司</v>
      </c>
      <c r="AA890">
        <f>IF(COUNTIF($O$1:O890,O890)=1,L890,0)</f>
        <v>0</v>
      </c>
    </row>
    <row r="891" customHeight="1" spans="1:27">
      <c r="A891" s="21" t="s">
        <v>1733</v>
      </c>
      <c r="B891" s="21" t="s">
        <v>45</v>
      </c>
      <c r="C891" s="21" t="s">
        <v>72</v>
      </c>
      <c r="D891" s="21" t="s">
        <v>73</v>
      </c>
      <c r="E891" s="21" t="s">
        <v>74</v>
      </c>
      <c r="F891" s="21" t="s">
        <v>49</v>
      </c>
      <c r="G891" s="21" t="s">
        <v>50</v>
      </c>
      <c r="H891" s="21" t="s">
        <v>117</v>
      </c>
      <c r="I891" s="26">
        <v>2</v>
      </c>
      <c r="J891" s="26">
        <v>30</v>
      </c>
      <c r="K891" s="21" t="s">
        <v>52</v>
      </c>
      <c r="L891" s="27">
        <v>443.4</v>
      </c>
      <c r="M891" s="21"/>
      <c r="N891" s="21"/>
      <c r="O891" s="21" t="s">
        <v>1734</v>
      </c>
      <c r="P891" s="21" t="s">
        <v>54</v>
      </c>
      <c r="Q891" s="28">
        <v>46139</v>
      </c>
      <c r="R891" s="29">
        <v>46137.467337963</v>
      </c>
      <c r="S891" s="21" t="s">
        <v>77</v>
      </c>
      <c r="T891" s="21"/>
      <c r="U891" s="21" t="s">
        <v>74</v>
      </c>
      <c r="V891" s="29">
        <v>46137.4672800926</v>
      </c>
      <c r="W891">
        <f>VLOOKUP(H891,物料編碼!A:B,2,0)</f>
        <v>1300607015</v>
      </c>
      <c r="X891">
        <v>1300607</v>
      </c>
      <c r="Y891" t="str">
        <f>VLOOKUP(X891,物料編碼!D:G,4,0)</f>
        <v>帶皮腿扒</v>
      </c>
      <c r="Z891" t="str">
        <f>VLOOKUP(C891,客戶屬性1!A:C,2,0)</f>
        <v>恒辉贸易公司</v>
      </c>
      <c r="AA891">
        <f>IF(COUNTIF($O$1:O891,O891)=1,L891,0)</f>
        <v>443.4</v>
      </c>
    </row>
    <row r="892" customHeight="1" spans="1:27">
      <c r="A892" s="21" t="s">
        <v>1735</v>
      </c>
      <c r="B892" s="21" t="s">
        <v>45</v>
      </c>
      <c r="C892" s="21" t="s">
        <v>126</v>
      </c>
      <c r="D892" s="21" t="s">
        <v>127</v>
      </c>
      <c r="E892" s="21" t="s">
        <v>128</v>
      </c>
      <c r="F892" s="21" t="s">
        <v>49</v>
      </c>
      <c r="G892" s="21" t="s">
        <v>129</v>
      </c>
      <c r="H892" s="21" t="s">
        <v>75</v>
      </c>
      <c r="I892" s="26">
        <v>10</v>
      </c>
      <c r="J892" s="26">
        <v>150</v>
      </c>
      <c r="K892" s="21" t="s">
        <v>52</v>
      </c>
      <c r="L892" s="27">
        <v>6946.5</v>
      </c>
      <c r="M892" s="21"/>
      <c r="N892" s="21"/>
      <c r="O892" s="21" t="s">
        <v>1736</v>
      </c>
      <c r="P892" s="21" t="s">
        <v>54</v>
      </c>
      <c r="Q892" s="28">
        <v>46137</v>
      </c>
      <c r="R892" s="29">
        <v>46137.4186342593</v>
      </c>
      <c r="S892" s="21" t="s">
        <v>131</v>
      </c>
      <c r="T892" s="21"/>
      <c r="U892" s="21" t="s">
        <v>127</v>
      </c>
      <c r="V892" s="29">
        <v>46137.418587963</v>
      </c>
      <c r="W892">
        <f>VLOOKUP(H892,物料編碼!A:B,2,0)</f>
        <v>1300603040</v>
      </c>
      <c r="X892">
        <v>1300603</v>
      </c>
      <c r="Y892" t="str">
        <f>VLOOKUP(X892,物料編碼!D:G,4,0)</f>
        <v>帶骨全腿</v>
      </c>
      <c r="Z892" t="str">
        <f>VLOOKUP(C892,客戶屬性1!A:C,2,0)</f>
        <v>福源食品有限公司</v>
      </c>
      <c r="AA892">
        <f>IF(COUNTIF($O$1:O892,O892)=1,L892,0)</f>
        <v>6946.5</v>
      </c>
    </row>
    <row r="893" customHeight="1" spans="1:27">
      <c r="A893" s="21" t="s">
        <v>1735</v>
      </c>
      <c r="B893" s="21" t="s">
        <v>45</v>
      </c>
      <c r="C893" s="21" t="s">
        <v>126</v>
      </c>
      <c r="D893" s="21" t="s">
        <v>127</v>
      </c>
      <c r="E893" s="21" t="s">
        <v>128</v>
      </c>
      <c r="F893" s="21" t="s">
        <v>49</v>
      </c>
      <c r="G893" s="21" t="s">
        <v>129</v>
      </c>
      <c r="H893" s="21" t="s">
        <v>190</v>
      </c>
      <c r="I893" s="26">
        <v>15</v>
      </c>
      <c r="J893" s="26">
        <v>180</v>
      </c>
      <c r="K893" s="21" t="s">
        <v>52</v>
      </c>
      <c r="L893" s="27">
        <v>6946.5</v>
      </c>
      <c r="M893" s="21"/>
      <c r="N893" s="21"/>
      <c r="O893" s="21" t="s">
        <v>1736</v>
      </c>
      <c r="P893" s="21" t="s">
        <v>54</v>
      </c>
      <c r="Q893" s="28">
        <v>46137</v>
      </c>
      <c r="R893" s="29">
        <v>46137.4186342593</v>
      </c>
      <c r="S893" s="21" t="s">
        <v>131</v>
      </c>
      <c r="T893" s="21"/>
      <c r="U893" s="21" t="s">
        <v>127</v>
      </c>
      <c r="V893" s="29">
        <v>46137.418587963</v>
      </c>
      <c r="W893">
        <f>VLOOKUP(H893,物料編碼!A:B,2,0)</f>
        <v>1300609001</v>
      </c>
      <c r="X893">
        <v>1300609</v>
      </c>
      <c r="Y893" t="str">
        <f>VLOOKUP(X893,物料編碼!D:G,4,0)</f>
        <v>去皮上腿肉</v>
      </c>
      <c r="Z893" t="str">
        <f>VLOOKUP(C893,客戶屬性1!A:C,2,0)</f>
        <v>福源食品有限公司</v>
      </c>
      <c r="AA893">
        <f>IF(COUNTIF($O$1:O893,O893)=1,L893,0)</f>
        <v>0</v>
      </c>
    </row>
    <row r="894" customHeight="1" spans="1:27">
      <c r="A894" s="21" t="s">
        <v>1735</v>
      </c>
      <c r="B894" s="21" t="s">
        <v>45</v>
      </c>
      <c r="C894" s="21" t="s">
        <v>126</v>
      </c>
      <c r="D894" s="21" t="s">
        <v>127</v>
      </c>
      <c r="E894" s="21" t="s">
        <v>128</v>
      </c>
      <c r="F894" s="21" t="s">
        <v>49</v>
      </c>
      <c r="G894" s="21" t="s">
        <v>129</v>
      </c>
      <c r="H894" s="21" t="s">
        <v>117</v>
      </c>
      <c r="I894" s="26">
        <v>10</v>
      </c>
      <c r="J894" s="26">
        <v>150</v>
      </c>
      <c r="K894" s="21" t="s">
        <v>52</v>
      </c>
      <c r="L894" s="27">
        <v>6946.5</v>
      </c>
      <c r="M894" s="21"/>
      <c r="N894" s="21"/>
      <c r="O894" s="21" t="s">
        <v>1736</v>
      </c>
      <c r="P894" s="21" t="s">
        <v>54</v>
      </c>
      <c r="Q894" s="28">
        <v>46137</v>
      </c>
      <c r="R894" s="29">
        <v>46137.4186342593</v>
      </c>
      <c r="S894" s="21" t="s">
        <v>131</v>
      </c>
      <c r="T894" s="21"/>
      <c r="U894" s="21" t="s">
        <v>127</v>
      </c>
      <c r="V894" s="29">
        <v>46137.418587963</v>
      </c>
      <c r="W894">
        <f>VLOOKUP(H894,物料編碼!A:B,2,0)</f>
        <v>1300607015</v>
      </c>
      <c r="X894">
        <v>1300607</v>
      </c>
      <c r="Y894" t="str">
        <f>VLOOKUP(X894,物料編碼!D:G,4,0)</f>
        <v>帶皮腿扒</v>
      </c>
      <c r="Z894" t="str">
        <f>VLOOKUP(C894,客戶屬性1!A:C,2,0)</f>
        <v>福源食品有限公司</v>
      </c>
      <c r="AA894">
        <f>IF(COUNTIF($O$1:O894,O894)=1,L894,0)</f>
        <v>0</v>
      </c>
    </row>
    <row r="895" customHeight="1" spans="1:27">
      <c r="A895" s="21" t="s">
        <v>1737</v>
      </c>
      <c r="B895" s="21" t="s">
        <v>45</v>
      </c>
      <c r="C895" s="21" t="s">
        <v>858</v>
      </c>
      <c r="D895" s="21" t="s">
        <v>859</v>
      </c>
      <c r="E895" s="21" t="s">
        <v>860</v>
      </c>
      <c r="F895" s="21" t="s">
        <v>49</v>
      </c>
      <c r="G895" s="21" t="s">
        <v>136</v>
      </c>
      <c r="H895" s="21" t="s">
        <v>75</v>
      </c>
      <c r="I895" s="26">
        <v>3</v>
      </c>
      <c r="J895" s="26">
        <v>45</v>
      </c>
      <c r="K895" s="21" t="s">
        <v>52</v>
      </c>
      <c r="L895" s="27">
        <v>565.65</v>
      </c>
      <c r="M895" s="21"/>
      <c r="N895" s="21"/>
      <c r="O895" s="21" t="s">
        <v>1738</v>
      </c>
      <c r="P895" s="21" t="s">
        <v>54</v>
      </c>
      <c r="Q895" s="28">
        <v>46137</v>
      </c>
      <c r="R895" s="29">
        <v>46137.417974537</v>
      </c>
      <c r="S895" s="21" t="s">
        <v>863</v>
      </c>
      <c r="T895" s="21"/>
      <c r="U895" s="21" t="s">
        <v>859</v>
      </c>
      <c r="V895" s="29">
        <v>46137.4179282407</v>
      </c>
      <c r="W895">
        <f>VLOOKUP(H895,物料編碼!A:B,2,0)</f>
        <v>1300603040</v>
      </c>
      <c r="X895">
        <v>1300603</v>
      </c>
      <c r="Y895" t="str">
        <f>VLOOKUP(X895,物料編碼!D:G,4,0)</f>
        <v>帶骨全腿</v>
      </c>
      <c r="Z895" t="str">
        <f>VLOOKUP(C895,客戶屬性1!A:C,2,0)</f>
        <v>福伟集团有限公司</v>
      </c>
      <c r="AA895">
        <f>IF(COUNTIF($O$1:O895,O895)=1,L895,0)</f>
        <v>565.65</v>
      </c>
    </row>
    <row r="896" customHeight="1" spans="1:27">
      <c r="A896" s="21" t="s">
        <v>1739</v>
      </c>
      <c r="B896" s="21" t="s">
        <v>45</v>
      </c>
      <c r="C896" s="21" t="s">
        <v>72</v>
      </c>
      <c r="D896" s="21" t="s">
        <v>73</v>
      </c>
      <c r="E896" s="21" t="s">
        <v>74</v>
      </c>
      <c r="F896" s="21" t="s">
        <v>49</v>
      </c>
      <c r="G896" s="21" t="s">
        <v>50</v>
      </c>
      <c r="H896" s="21" t="s">
        <v>78</v>
      </c>
      <c r="I896" s="26">
        <v>4</v>
      </c>
      <c r="J896" s="26">
        <v>60</v>
      </c>
      <c r="K896" s="21" t="s">
        <v>52</v>
      </c>
      <c r="L896" s="27">
        <v>886.8</v>
      </c>
      <c r="M896" s="21"/>
      <c r="N896" s="21"/>
      <c r="O896" s="21" t="s">
        <v>1740</v>
      </c>
      <c r="P896" s="21" t="s">
        <v>54</v>
      </c>
      <c r="Q896" s="28">
        <v>46137</v>
      </c>
      <c r="R896" s="29">
        <v>46137.3996296296</v>
      </c>
      <c r="S896" s="21" t="s">
        <v>77</v>
      </c>
      <c r="T896" s="21"/>
      <c r="U896" s="21" t="s">
        <v>74</v>
      </c>
      <c r="V896" s="29">
        <v>46137.3995833333</v>
      </c>
      <c r="W896">
        <f>VLOOKUP(H896,物料編碼!A:B,2,0)</f>
        <v>1300607014</v>
      </c>
      <c r="X896">
        <v>1300607</v>
      </c>
      <c r="Y896" t="str">
        <f>VLOOKUP(X896,物料編碼!D:G,4,0)</f>
        <v>帶皮腿扒</v>
      </c>
      <c r="Z896" t="str">
        <f>VLOOKUP(C896,客戶屬性1!A:C,2,0)</f>
        <v>恒辉贸易公司</v>
      </c>
      <c r="AA896">
        <f>IF(COUNTIF($O$1:O896,O896)=1,L896,0)</f>
        <v>886.8</v>
      </c>
    </row>
    <row r="897" customHeight="1" spans="1:27">
      <c r="A897" s="21" t="s">
        <v>1741</v>
      </c>
      <c r="B897" s="21" t="s">
        <v>45</v>
      </c>
      <c r="C897" s="21" t="s">
        <v>538</v>
      </c>
      <c r="D897" s="21" t="s">
        <v>539</v>
      </c>
      <c r="E897" s="21" t="s">
        <v>540</v>
      </c>
      <c r="F897" s="21" t="s">
        <v>49</v>
      </c>
      <c r="G897" s="21" t="s">
        <v>541</v>
      </c>
      <c r="H897" s="21" t="s">
        <v>63</v>
      </c>
      <c r="I897" s="26">
        <v>2</v>
      </c>
      <c r="J897" s="26">
        <v>50</v>
      </c>
      <c r="K897" s="21" t="s">
        <v>52</v>
      </c>
      <c r="L897" s="27">
        <v>1670</v>
      </c>
      <c r="M897" s="21"/>
      <c r="N897" s="21"/>
      <c r="O897" s="21" t="s">
        <v>1742</v>
      </c>
      <c r="P897" s="21" t="s">
        <v>54</v>
      </c>
      <c r="Q897" s="28">
        <v>46137</v>
      </c>
      <c r="R897" s="29">
        <v>46137.3864467593</v>
      </c>
      <c r="S897" s="21" t="s">
        <v>543</v>
      </c>
      <c r="T897" s="21"/>
      <c r="U897" s="21" t="s">
        <v>539</v>
      </c>
      <c r="V897" s="29">
        <v>46137.386400463</v>
      </c>
      <c r="W897">
        <f>VLOOKUP(H897,物料編碼!A:B,2,0)</f>
        <v>1300109002</v>
      </c>
      <c r="X897">
        <v>1300109</v>
      </c>
      <c r="Y897" t="str">
        <f>VLOOKUP(X897,物料編碼!D:G,4,0)</f>
        <v>面精肉</v>
      </c>
      <c r="Z897" t="str">
        <f>VLOOKUP(C897,客戶屬性1!A:C,2,0)</f>
        <v>诚信冻肉有限公司</v>
      </c>
      <c r="AA897">
        <f>IF(COUNTIF($O$1:O897,O897)=1,L897,0)</f>
        <v>1670</v>
      </c>
    </row>
    <row r="898" customHeight="1" spans="1:27">
      <c r="A898" s="21" t="s">
        <v>1743</v>
      </c>
      <c r="B898" s="21" t="s">
        <v>45</v>
      </c>
      <c r="C898" s="21" t="s">
        <v>1308</v>
      </c>
      <c r="D898" s="21" t="s">
        <v>1309</v>
      </c>
      <c r="E898" s="21" t="s">
        <v>1310</v>
      </c>
      <c r="F898" s="21" t="s">
        <v>49</v>
      </c>
      <c r="G898" s="21" t="s">
        <v>541</v>
      </c>
      <c r="H898" s="21" t="s">
        <v>75</v>
      </c>
      <c r="I898" s="26">
        <v>3</v>
      </c>
      <c r="J898" s="26">
        <v>45</v>
      </c>
      <c r="K898" s="21" t="s">
        <v>52</v>
      </c>
      <c r="L898" s="27">
        <v>565.65</v>
      </c>
      <c r="M898" s="21"/>
      <c r="N898" s="21"/>
      <c r="O898" s="21" t="s">
        <v>1744</v>
      </c>
      <c r="P898" s="21" t="s">
        <v>54</v>
      </c>
      <c r="Q898" s="28">
        <v>46137</v>
      </c>
      <c r="R898" s="29">
        <v>46137.3593055556</v>
      </c>
      <c r="S898" s="21" t="s">
        <v>1312</v>
      </c>
      <c r="T898" s="21"/>
      <c r="U898" s="21" t="s">
        <v>1309</v>
      </c>
      <c r="V898" s="29">
        <v>46137.3592476852</v>
      </c>
      <c r="W898">
        <f>VLOOKUP(H898,物料編碼!A:B,2,0)</f>
        <v>1300603040</v>
      </c>
      <c r="X898">
        <v>1300603</v>
      </c>
      <c r="Y898" t="str">
        <f>VLOOKUP(X898,物料編碼!D:G,4,0)</f>
        <v>帶骨全腿</v>
      </c>
      <c r="Z898" t="str">
        <f>VLOOKUP(C898,客戶屬性1!A:C,2,0)</f>
        <v>再丰有限公司</v>
      </c>
      <c r="AA898">
        <f>IF(COUNTIF($O$1:O898,O898)=1,L898,0)</f>
        <v>565.65</v>
      </c>
    </row>
    <row r="899" customHeight="1" spans="1:27">
      <c r="A899" s="21" t="s">
        <v>1745</v>
      </c>
      <c r="B899" s="21" t="s">
        <v>45</v>
      </c>
      <c r="C899" s="21" t="e">
        <v>#N/A</v>
      </c>
      <c r="D899" s="21" t="s">
        <v>1746</v>
      </c>
      <c r="E899" s="21" t="e">
        <v>#N/A</v>
      </c>
      <c r="F899" s="21"/>
      <c r="G899" s="21"/>
      <c r="H899" s="21" t="s">
        <v>1747</v>
      </c>
      <c r="I899" s="27">
        <v>2</v>
      </c>
      <c r="J899" s="26">
        <v>1</v>
      </c>
      <c r="K899" s="21" t="s">
        <v>526</v>
      </c>
      <c r="L899" s="27">
        <v>110</v>
      </c>
      <c r="M899" s="21"/>
      <c r="N899" s="21"/>
      <c r="O899" s="21"/>
      <c r="P899" s="21" t="s">
        <v>369</v>
      </c>
      <c r="Q899" s="28">
        <v>46142</v>
      </c>
      <c r="R899" s="29">
        <v>46136.7157175926</v>
      </c>
      <c r="S899" s="21" t="s">
        <v>1748</v>
      </c>
      <c r="T899" s="21"/>
      <c r="U899" s="21" t="s">
        <v>1749</v>
      </c>
      <c r="V899" s="29">
        <v>46136.7156712963</v>
      </c>
      <c r="W899" t="e">
        <f>VLOOKUP(H899,物料編碼!A:B,2,0)</f>
        <v>#N/A</v>
      </c>
      <c r="X899" t="e">
        <v>#N/A</v>
      </c>
      <c r="Y899" t="e">
        <f>VLOOKUP(X899,物料編碼!D:G,4,0)</f>
        <v>#N/A</v>
      </c>
      <c r="Z899" t="e">
        <f>VLOOKUP(C899,客戶屬性1!A:C,2,0)</f>
        <v>#N/A</v>
      </c>
      <c r="AA899">
        <f>IF(COUNTIF($O$1:O899,O899)=1,L899,0)</f>
        <v>0</v>
      </c>
    </row>
    <row r="900" customHeight="1" spans="1:27">
      <c r="A900" s="21" t="s">
        <v>1750</v>
      </c>
      <c r="B900" s="21" t="s">
        <v>45</v>
      </c>
      <c r="C900" s="21" t="e">
        <v>#N/A</v>
      </c>
      <c r="D900" s="21" t="s">
        <v>1751</v>
      </c>
      <c r="E900" s="21" t="e">
        <v>#N/A</v>
      </c>
      <c r="F900" s="21" t="s">
        <v>45</v>
      </c>
      <c r="G900" s="21" t="s">
        <v>1752</v>
      </c>
      <c r="H900" s="21" t="s">
        <v>1753</v>
      </c>
      <c r="I900" s="27">
        <v>40</v>
      </c>
      <c r="J900" s="26">
        <v>1</v>
      </c>
      <c r="K900" s="21" t="s">
        <v>526</v>
      </c>
      <c r="L900" s="27">
        <v>272</v>
      </c>
      <c r="M900" s="21"/>
      <c r="N900" s="21"/>
      <c r="O900" s="21"/>
      <c r="P900" s="21" t="s">
        <v>369</v>
      </c>
      <c r="Q900" s="28">
        <v>46142</v>
      </c>
      <c r="R900" s="29">
        <v>46136.7068287037</v>
      </c>
      <c r="S900" s="21" t="s">
        <v>1754</v>
      </c>
      <c r="T900" s="21"/>
      <c r="U900" s="21" t="s">
        <v>1755</v>
      </c>
      <c r="V900" s="29">
        <v>46136.7067824074</v>
      </c>
      <c r="W900" t="e">
        <f>VLOOKUP(H900,物料編碼!A:B,2,0)</f>
        <v>#N/A</v>
      </c>
      <c r="X900" t="e">
        <v>#N/A</v>
      </c>
      <c r="Y900" t="e">
        <f>VLOOKUP(X900,物料編碼!D:G,4,0)</f>
        <v>#N/A</v>
      </c>
      <c r="Z900" t="e">
        <f>VLOOKUP(C900,客戶屬性1!A:C,2,0)</f>
        <v>#N/A</v>
      </c>
      <c r="AA900">
        <f>IF(COUNTIF($O$1:O900,O900)=1,L900,0)</f>
        <v>0</v>
      </c>
    </row>
    <row r="901" customHeight="1" spans="1:27">
      <c r="A901" s="21" t="s">
        <v>1756</v>
      </c>
      <c r="B901" s="21" t="s">
        <v>45</v>
      </c>
      <c r="C901" s="21" t="e">
        <v>#N/A</v>
      </c>
      <c r="D901" s="21" t="s">
        <v>1041</v>
      </c>
      <c r="E901" s="21" t="e">
        <v>#N/A</v>
      </c>
      <c r="F901" s="21" t="s">
        <v>1042</v>
      </c>
      <c r="G901" s="21" t="s">
        <v>1043</v>
      </c>
      <c r="H901" s="21" t="s">
        <v>1757</v>
      </c>
      <c r="I901" s="30">
        <v>27</v>
      </c>
      <c r="J901" s="26">
        <v>1</v>
      </c>
      <c r="K901" s="21" t="s">
        <v>526</v>
      </c>
      <c r="L901" s="27">
        <v>299</v>
      </c>
      <c r="M901" s="21"/>
      <c r="N901" s="21"/>
      <c r="O901" s="21" t="s">
        <v>1758</v>
      </c>
      <c r="P901" s="21" t="s">
        <v>54</v>
      </c>
      <c r="Q901" s="28">
        <v>46140</v>
      </c>
      <c r="R901" s="29">
        <v>46136.7006018519</v>
      </c>
      <c r="S901" s="21" t="s">
        <v>1046</v>
      </c>
      <c r="T901" s="21"/>
      <c r="U901" s="21" t="s">
        <v>1041</v>
      </c>
      <c r="V901" s="29">
        <v>46136.7005555556</v>
      </c>
      <c r="W901" t="e">
        <f>VLOOKUP(H901,物料編碼!A:B,2,0)</f>
        <v>#N/A</v>
      </c>
      <c r="X901" t="e">
        <v>#N/A</v>
      </c>
      <c r="Y901" t="e">
        <f>VLOOKUP(X901,物料編碼!D:G,4,0)</f>
        <v>#N/A</v>
      </c>
      <c r="Z901" t="e">
        <f>VLOOKUP(C901,客戶屬性1!A:C,2,0)</f>
        <v>#N/A</v>
      </c>
      <c r="AA901">
        <f>IF(COUNTIF($O$1:O901,O901)=1,L901,0)</f>
        <v>299</v>
      </c>
    </row>
    <row r="902" customHeight="1" spans="1:27">
      <c r="A902" s="21" t="s">
        <v>1759</v>
      </c>
      <c r="B902" s="21" t="s">
        <v>45</v>
      </c>
      <c r="C902" s="21" t="s">
        <v>86</v>
      </c>
      <c r="D902" s="21" t="s">
        <v>87</v>
      </c>
      <c r="E902" s="21" t="s">
        <v>88</v>
      </c>
      <c r="F902" s="21" t="s">
        <v>49</v>
      </c>
      <c r="G902" s="21" t="s">
        <v>89</v>
      </c>
      <c r="H902" s="21" t="s">
        <v>75</v>
      </c>
      <c r="I902" s="26">
        <v>1</v>
      </c>
      <c r="J902" s="26">
        <v>15</v>
      </c>
      <c r="K902" s="21" t="s">
        <v>52</v>
      </c>
      <c r="L902" s="27">
        <v>188.55</v>
      </c>
      <c r="M902" s="21"/>
      <c r="N902" s="21"/>
      <c r="O902" s="21" t="s">
        <v>1760</v>
      </c>
      <c r="P902" s="21" t="s">
        <v>183</v>
      </c>
      <c r="Q902" s="28">
        <v>46137</v>
      </c>
      <c r="R902" s="29">
        <v>46136.6084837963</v>
      </c>
      <c r="S902" s="21" t="s">
        <v>91</v>
      </c>
      <c r="T902" s="21"/>
      <c r="U902" s="21" t="s">
        <v>88</v>
      </c>
      <c r="V902" s="29">
        <v>46136.6084375</v>
      </c>
      <c r="W902">
        <f>VLOOKUP(H902,物料編碼!A:B,2,0)</f>
        <v>1300603040</v>
      </c>
      <c r="X902">
        <v>1300603</v>
      </c>
      <c r="Y902" t="str">
        <f>VLOOKUP(X902,物料編碼!D:G,4,0)</f>
        <v>帶骨全腿</v>
      </c>
      <c r="Z902" t="str">
        <f>VLOOKUP(C902,客戶屬性1!A:C,2,0)</f>
        <v>新城发食品有限公司</v>
      </c>
      <c r="AA902">
        <f>IF(COUNTIF($O$1:O902,O902)=1,L902,0)</f>
        <v>188.55</v>
      </c>
    </row>
    <row r="903" customHeight="1" spans="1:27">
      <c r="A903" s="21" t="s">
        <v>1761</v>
      </c>
      <c r="B903" s="21" t="s">
        <v>45</v>
      </c>
      <c r="C903" s="21" t="s">
        <v>197</v>
      </c>
      <c r="D903" s="21" t="s">
        <v>198</v>
      </c>
      <c r="E903" s="21" t="s">
        <v>199</v>
      </c>
      <c r="F903" s="21" t="s">
        <v>49</v>
      </c>
      <c r="G903" s="21" t="s">
        <v>136</v>
      </c>
      <c r="H903" s="21" t="s">
        <v>161</v>
      </c>
      <c r="I903" s="26">
        <v>2</v>
      </c>
      <c r="J903" s="26">
        <v>40</v>
      </c>
      <c r="K903" s="21" t="s">
        <v>52</v>
      </c>
      <c r="L903" s="27">
        <v>3720</v>
      </c>
      <c r="M903" s="21"/>
      <c r="N903" s="21"/>
      <c r="O903" s="21" t="s">
        <v>1762</v>
      </c>
      <c r="P903" s="21" t="s">
        <v>54</v>
      </c>
      <c r="Q903" s="28">
        <v>46139</v>
      </c>
      <c r="R903" s="29">
        <v>46136.5767708333</v>
      </c>
      <c r="S903" s="21" t="s">
        <v>202</v>
      </c>
      <c r="T903" s="21"/>
      <c r="U903" s="21" t="s">
        <v>203</v>
      </c>
      <c r="V903" s="29">
        <v>46136.576724537</v>
      </c>
      <c r="W903">
        <f>VLOOKUP(H903,物料編碼!A:B,2,0)</f>
        <v>1300501020</v>
      </c>
      <c r="X903">
        <v>1300501</v>
      </c>
      <c r="Y903" t="str">
        <f>VLOOKUP(X903,物料編碼!D:G,4,0)</f>
        <v>羊排</v>
      </c>
      <c r="Z903" t="str">
        <f>VLOOKUP(C903,客戶屬性1!A:C,2,0)</f>
        <v>信隆(亚洲)有限公司</v>
      </c>
      <c r="AA903">
        <f>IF(COUNTIF($O$1:O903,O903)=1,L903,0)</f>
        <v>3720</v>
      </c>
    </row>
    <row r="904" customHeight="1" spans="1:27">
      <c r="A904" s="21" t="s">
        <v>1763</v>
      </c>
      <c r="B904" s="21" t="s">
        <v>45</v>
      </c>
      <c r="C904" s="21" t="s">
        <v>197</v>
      </c>
      <c r="D904" s="21" t="s">
        <v>198</v>
      </c>
      <c r="E904" s="21" t="s">
        <v>199</v>
      </c>
      <c r="F904" s="21" t="s">
        <v>49</v>
      </c>
      <c r="G904" s="21" t="s">
        <v>136</v>
      </c>
      <c r="H904" s="21" t="s">
        <v>161</v>
      </c>
      <c r="I904" s="26">
        <v>3</v>
      </c>
      <c r="J904" s="26">
        <v>60</v>
      </c>
      <c r="K904" s="21" t="s">
        <v>52</v>
      </c>
      <c r="L904" s="27">
        <v>5580</v>
      </c>
      <c r="M904" s="21"/>
      <c r="N904" s="21"/>
      <c r="O904" s="21" t="s">
        <v>1764</v>
      </c>
      <c r="P904" s="21" t="s">
        <v>54</v>
      </c>
      <c r="Q904" s="28">
        <v>46137</v>
      </c>
      <c r="R904" s="29">
        <v>46136.5745486111</v>
      </c>
      <c r="S904" s="21" t="s">
        <v>202</v>
      </c>
      <c r="T904" s="21"/>
      <c r="U904" s="21" t="s">
        <v>203</v>
      </c>
      <c r="V904" s="29">
        <v>46136.5745023148</v>
      </c>
      <c r="W904">
        <f>VLOOKUP(H904,物料編碼!A:B,2,0)</f>
        <v>1300501020</v>
      </c>
      <c r="X904">
        <v>1300501</v>
      </c>
      <c r="Y904" t="str">
        <f>VLOOKUP(X904,物料編碼!D:G,4,0)</f>
        <v>羊排</v>
      </c>
      <c r="Z904" t="str">
        <f>VLOOKUP(C904,客戶屬性1!A:C,2,0)</f>
        <v>信隆(亚洲)有限公司</v>
      </c>
      <c r="AA904">
        <f>IF(COUNTIF($O$1:O904,O904)=1,L904,0)</f>
        <v>5580</v>
      </c>
    </row>
    <row r="905" customHeight="1" spans="1:27">
      <c r="A905" s="21" t="s">
        <v>1765</v>
      </c>
      <c r="B905" s="21" t="s">
        <v>45</v>
      </c>
      <c r="C905" s="21" t="s">
        <v>216</v>
      </c>
      <c r="D905" s="21" t="s">
        <v>217</v>
      </c>
      <c r="E905" s="21" t="s">
        <v>218</v>
      </c>
      <c r="F905" s="21" t="s">
        <v>49</v>
      </c>
      <c r="G905" s="21" t="s">
        <v>68</v>
      </c>
      <c r="H905" s="21" t="s">
        <v>161</v>
      </c>
      <c r="I905" s="26">
        <v>1</v>
      </c>
      <c r="J905" s="26">
        <v>20</v>
      </c>
      <c r="K905" s="21" t="s">
        <v>52</v>
      </c>
      <c r="L905" s="27">
        <v>1860</v>
      </c>
      <c r="M905" s="21"/>
      <c r="N905" s="21"/>
      <c r="O905" s="21" t="s">
        <v>1766</v>
      </c>
      <c r="P905" s="21" t="s">
        <v>54</v>
      </c>
      <c r="Q905" s="28">
        <v>46137</v>
      </c>
      <c r="R905" s="29">
        <v>46136.5290277778</v>
      </c>
      <c r="S905" s="21" t="s">
        <v>221</v>
      </c>
      <c r="T905" s="21"/>
      <c r="U905" s="21" t="s">
        <v>222</v>
      </c>
      <c r="V905" s="29">
        <v>46136.5289814815</v>
      </c>
      <c r="W905">
        <f>VLOOKUP(H905,物料編碼!A:B,2,0)</f>
        <v>1300501020</v>
      </c>
      <c r="X905">
        <v>1300501</v>
      </c>
      <c r="Y905" t="str">
        <f>VLOOKUP(X905,物料編碼!D:G,4,0)</f>
        <v>羊排</v>
      </c>
      <c r="Z905" t="str">
        <f>VLOOKUP(C905,客戶屬性1!A:C,2,0)</f>
        <v>天恒食品有限公司</v>
      </c>
      <c r="AA905">
        <f>IF(COUNTIF($O$1:O905,O905)=1,L905,0)</f>
        <v>1860</v>
      </c>
    </row>
    <row r="906" customHeight="1" spans="1:27">
      <c r="A906" s="21" t="s">
        <v>1767</v>
      </c>
      <c r="B906" s="21" t="s">
        <v>45</v>
      </c>
      <c r="C906" s="21" t="s">
        <v>141</v>
      </c>
      <c r="D906" s="21" t="s">
        <v>142</v>
      </c>
      <c r="E906" s="21" t="s">
        <v>142</v>
      </c>
      <c r="F906" s="21" t="s">
        <v>143</v>
      </c>
      <c r="G906" s="21" t="s">
        <v>100</v>
      </c>
      <c r="H906" s="21" t="s">
        <v>1642</v>
      </c>
      <c r="I906" s="26">
        <v>2</v>
      </c>
      <c r="J906" s="26">
        <v>30</v>
      </c>
      <c r="K906" s="21" t="s">
        <v>52</v>
      </c>
      <c r="L906" s="27">
        <v>2822.2</v>
      </c>
      <c r="M906" s="21"/>
      <c r="N906" s="21"/>
      <c r="O906" s="21" t="s">
        <v>1768</v>
      </c>
      <c r="P906" s="21" t="s">
        <v>54</v>
      </c>
      <c r="Q906" s="28">
        <v>46139</v>
      </c>
      <c r="R906" s="29">
        <v>46136.5055902778</v>
      </c>
      <c r="S906" s="21" t="s">
        <v>145</v>
      </c>
      <c r="T906" s="21"/>
      <c r="U906" s="21" t="s">
        <v>142</v>
      </c>
      <c r="V906" s="29">
        <v>46136.5055439815</v>
      </c>
      <c r="W906">
        <f>VLOOKUP(H906,物料編碼!A:B,2,0)</f>
        <v>1300603042</v>
      </c>
      <c r="X906">
        <v>1300603</v>
      </c>
      <c r="Y906" t="str">
        <f>VLOOKUP(X906,物料編碼!D:G,4,0)</f>
        <v>帶骨全腿</v>
      </c>
      <c r="Z906" t="str">
        <f>VLOOKUP(C906,客戶屬性1!A:C,2,0)</f>
        <v>新昌冻肉</v>
      </c>
      <c r="AA906">
        <f>IF(COUNTIF($O$1:O906,O906)=1,L906,0)</f>
        <v>2822.2</v>
      </c>
    </row>
    <row r="907" customHeight="1" spans="1:27">
      <c r="A907" s="21" t="s">
        <v>1767</v>
      </c>
      <c r="B907" s="21" t="s">
        <v>45</v>
      </c>
      <c r="C907" s="21" t="s">
        <v>141</v>
      </c>
      <c r="D907" s="21" t="s">
        <v>142</v>
      </c>
      <c r="E907" s="21" t="s">
        <v>142</v>
      </c>
      <c r="F907" s="21" t="s">
        <v>143</v>
      </c>
      <c r="G907" s="21" t="s">
        <v>100</v>
      </c>
      <c r="H907" s="21" t="s">
        <v>63</v>
      </c>
      <c r="I907" s="26">
        <v>1</v>
      </c>
      <c r="J907" s="26">
        <v>25</v>
      </c>
      <c r="K907" s="21" t="s">
        <v>52</v>
      </c>
      <c r="L907" s="27">
        <v>2822.2</v>
      </c>
      <c r="M907" s="21"/>
      <c r="N907" s="21"/>
      <c r="O907" s="21" t="s">
        <v>1768</v>
      </c>
      <c r="P907" s="21" t="s">
        <v>54</v>
      </c>
      <c r="Q907" s="28">
        <v>46139</v>
      </c>
      <c r="R907" s="29">
        <v>46136.5055902778</v>
      </c>
      <c r="S907" s="21" t="s">
        <v>145</v>
      </c>
      <c r="T907" s="21"/>
      <c r="U907" s="21" t="s">
        <v>142</v>
      </c>
      <c r="V907" s="29">
        <v>46136.5055439815</v>
      </c>
      <c r="W907">
        <f>VLOOKUP(H907,物料編碼!A:B,2,0)</f>
        <v>1300109002</v>
      </c>
      <c r="X907">
        <v>1300109</v>
      </c>
      <c r="Y907" t="str">
        <f>VLOOKUP(X907,物料編碼!D:G,4,0)</f>
        <v>面精肉</v>
      </c>
      <c r="Z907" t="str">
        <f>VLOOKUP(C907,客戶屬性1!A:C,2,0)</f>
        <v>新昌冻肉</v>
      </c>
      <c r="AA907">
        <f>IF(COUNTIF($O$1:O907,O907)=1,L907,0)</f>
        <v>0</v>
      </c>
    </row>
    <row r="908" customHeight="1" spans="1:27">
      <c r="A908" s="21" t="s">
        <v>1767</v>
      </c>
      <c r="B908" s="21" t="s">
        <v>45</v>
      </c>
      <c r="C908" s="21" t="s">
        <v>141</v>
      </c>
      <c r="D908" s="21" t="s">
        <v>142</v>
      </c>
      <c r="E908" s="21" t="s">
        <v>142</v>
      </c>
      <c r="F908" s="21" t="s">
        <v>143</v>
      </c>
      <c r="G908" s="21" t="s">
        <v>100</v>
      </c>
      <c r="H908" s="21" t="s">
        <v>60</v>
      </c>
      <c r="I908" s="26">
        <v>1</v>
      </c>
      <c r="J908" s="26">
        <v>25</v>
      </c>
      <c r="K908" s="21" t="s">
        <v>52</v>
      </c>
      <c r="L908" s="27">
        <v>2822.2</v>
      </c>
      <c r="M908" s="21"/>
      <c r="N908" s="21"/>
      <c r="O908" s="21" t="s">
        <v>1768</v>
      </c>
      <c r="P908" s="21" t="s">
        <v>54</v>
      </c>
      <c r="Q908" s="28">
        <v>46139</v>
      </c>
      <c r="R908" s="29">
        <v>46136.5055902778</v>
      </c>
      <c r="S908" s="21" t="s">
        <v>145</v>
      </c>
      <c r="T908" s="21"/>
      <c r="U908" s="21" t="s">
        <v>142</v>
      </c>
      <c r="V908" s="29">
        <v>46136.5055439815</v>
      </c>
      <c r="W908">
        <f>VLOOKUP(H908,物料編碼!A:B,2,0)</f>
        <v>1300101043</v>
      </c>
      <c r="X908">
        <v>1300101</v>
      </c>
      <c r="Y908" t="str">
        <f>VLOOKUP(X908,物料編碼!D:G,4,0)</f>
        <v>一號肉</v>
      </c>
      <c r="Z908" t="str">
        <f>VLOOKUP(C908,客戶屬性1!A:C,2,0)</f>
        <v>新昌冻肉</v>
      </c>
      <c r="AA908">
        <f>IF(COUNTIF($O$1:O908,O908)=1,L908,0)</f>
        <v>0</v>
      </c>
    </row>
    <row r="909" customHeight="1" spans="1:27">
      <c r="A909" s="21" t="s">
        <v>1767</v>
      </c>
      <c r="B909" s="21" t="s">
        <v>45</v>
      </c>
      <c r="C909" s="21" t="s">
        <v>141</v>
      </c>
      <c r="D909" s="21" t="s">
        <v>142</v>
      </c>
      <c r="E909" s="21" t="s">
        <v>142</v>
      </c>
      <c r="F909" s="21" t="s">
        <v>143</v>
      </c>
      <c r="G909" s="21" t="s">
        <v>100</v>
      </c>
      <c r="H909" s="21" t="s">
        <v>117</v>
      </c>
      <c r="I909" s="26">
        <v>3</v>
      </c>
      <c r="J909" s="26">
        <v>45</v>
      </c>
      <c r="K909" s="21" t="s">
        <v>52</v>
      </c>
      <c r="L909" s="27">
        <v>2822.2</v>
      </c>
      <c r="M909" s="21"/>
      <c r="N909" s="21"/>
      <c r="O909" s="21" t="s">
        <v>1768</v>
      </c>
      <c r="P909" s="21" t="s">
        <v>54</v>
      </c>
      <c r="Q909" s="28">
        <v>46139</v>
      </c>
      <c r="R909" s="29">
        <v>46136.5055902778</v>
      </c>
      <c r="S909" s="21" t="s">
        <v>145</v>
      </c>
      <c r="T909" s="21"/>
      <c r="U909" s="21" t="s">
        <v>142</v>
      </c>
      <c r="V909" s="29">
        <v>46136.5055439815</v>
      </c>
      <c r="W909">
        <f>VLOOKUP(H909,物料編碼!A:B,2,0)</f>
        <v>1300607015</v>
      </c>
      <c r="X909">
        <v>1300607</v>
      </c>
      <c r="Y909" t="str">
        <f>VLOOKUP(X909,物料編碼!D:G,4,0)</f>
        <v>帶皮腿扒</v>
      </c>
      <c r="Z909" t="str">
        <f>VLOOKUP(C909,客戶屬性1!A:C,2,0)</f>
        <v>新昌冻肉</v>
      </c>
      <c r="AA909">
        <f>IF(COUNTIF($O$1:O909,O909)=1,L909,0)</f>
        <v>0</v>
      </c>
    </row>
    <row r="910" customHeight="1" spans="1:27">
      <c r="A910" s="21" t="s">
        <v>1769</v>
      </c>
      <c r="B910" s="21" t="s">
        <v>45</v>
      </c>
      <c r="C910" s="21" t="s">
        <v>141</v>
      </c>
      <c r="D910" s="21" t="s">
        <v>142</v>
      </c>
      <c r="E910" s="21" t="s">
        <v>142</v>
      </c>
      <c r="F910" s="21" t="s">
        <v>143</v>
      </c>
      <c r="G910" s="21" t="s">
        <v>100</v>
      </c>
      <c r="H910" s="21" t="s">
        <v>1642</v>
      </c>
      <c r="I910" s="26">
        <v>2</v>
      </c>
      <c r="J910" s="26">
        <v>30</v>
      </c>
      <c r="K910" s="21" t="s">
        <v>52</v>
      </c>
      <c r="L910" s="27">
        <v>474.1</v>
      </c>
      <c r="M910" s="21"/>
      <c r="N910" s="21"/>
      <c r="O910" s="21" t="s">
        <v>1770</v>
      </c>
      <c r="P910" s="21" t="s">
        <v>54</v>
      </c>
      <c r="Q910" s="28">
        <v>46137</v>
      </c>
      <c r="R910" s="29">
        <v>46136.5028703704</v>
      </c>
      <c r="S910" s="21" t="s">
        <v>145</v>
      </c>
      <c r="T910" s="21"/>
      <c r="U910" s="21" t="s">
        <v>142</v>
      </c>
      <c r="V910" s="29">
        <v>46136.5028240741</v>
      </c>
      <c r="W910">
        <f>VLOOKUP(H910,物料編碼!A:B,2,0)</f>
        <v>1300603042</v>
      </c>
      <c r="X910">
        <v>1300603</v>
      </c>
      <c r="Y910" t="str">
        <f>VLOOKUP(X910,物料編碼!D:G,4,0)</f>
        <v>帶骨全腿</v>
      </c>
      <c r="Z910" t="str">
        <f>VLOOKUP(C910,客戶屬性1!A:C,2,0)</f>
        <v>新昌冻肉</v>
      </c>
      <c r="AA910">
        <f>IF(COUNTIF($O$1:O910,O910)=1,L910,0)</f>
        <v>474.1</v>
      </c>
    </row>
    <row r="911" customHeight="1" spans="1:27">
      <c r="A911" s="21" t="s">
        <v>1769</v>
      </c>
      <c r="B911" s="21" t="s">
        <v>45</v>
      </c>
      <c r="C911" s="21" t="s">
        <v>141</v>
      </c>
      <c r="D911" s="21" t="s">
        <v>142</v>
      </c>
      <c r="E911" s="21" t="s">
        <v>142</v>
      </c>
      <c r="F911" s="21" t="s">
        <v>143</v>
      </c>
      <c r="G911" s="21" t="s">
        <v>100</v>
      </c>
      <c r="H911" s="21" t="s">
        <v>168</v>
      </c>
      <c r="I911" s="26">
        <v>1</v>
      </c>
      <c r="J911" s="26">
        <v>10</v>
      </c>
      <c r="K911" s="21" t="s">
        <v>52</v>
      </c>
      <c r="L911" s="27">
        <v>474.1</v>
      </c>
      <c r="M911" s="21"/>
      <c r="N911" s="21"/>
      <c r="O911" s="21" t="s">
        <v>1770</v>
      </c>
      <c r="P911" s="21" t="s">
        <v>54</v>
      </c>
      <c r="Q911" s="28">
        <v>46137</v>
      </c>
      <c r="R911" s="29">
        <v>46136.5028703704</v>
      </c>
      <c r="S911" s="21" t="s">
        <v>145</v>
      </c>
      <c r="T911" s="21"/>
      <c r="U911" s="21" t="s">
        <v>142</v>
      </c>
      <c r="V911" s="29">
        <v>46136.5028240741</v>
      </c>
      <c r="W911">
        <f>VLOOKUP(H911,物料編碼!A:B,2,0)</f>
        <v>1300627002</v>
      </c>
      <c r="X911">
        <v>1300627</v>
      </c>
      <c r="Y911" t="str">
        <f>VLOOKUP(X911,物料編碼!D:G,4,0)</f>
        <v>翅尖</v>
      </c>
      <c r="Z911" t="str">
        <f>VLOOKUP(C911,客戶屬性1!A:C,2,0)</f>
        <v>新昌冻肉</v>
      </c>
      <c r="AA911">
        <f>IF(COUNTIF($O$1:O911,O911)=1,L911,0)</f>
        <v>0</v>
      </c>
    </row>
    <row r="912" customHeight="1" spans="1:27">
      <c r="A912" s="21" t="s">
        <v>1771</v>
      </c>
      <c r="B912" s="21" t="s">
        <v>45</v>
      </c>
      <c r="C912" s="21" t="s">
        <v>141</v>
      </c>
      <c r="D912" s="21" t="s">
        <v>142</v>
      </c>
      <c r="E912" s="21" t="s">
        <v>142</v>
      </c>
      <c r="F912" s="21" t="s">
        <v>143</v>
      </c>
      <c r="G912" s="21" t="s">
        <v>100</v>
      </c>
      <c r="H912" s="21" t="s">
        <v>298</v>
      </c>
      <c r="I912" s="26">
        <v>1</v>
      </c>
      <c r="J912" s="26">
        <v>10</v>
      </c>
      <c r="K912" s="21" t="s">
        <v>52</v>
      </c>
      <c r="L912" s="27">
        <v>1185.1</v>
      </c>
      <c r="M912" s="21"/>
      <c r="N912" s="21"/>
      <c r="O912" s="21" t="s">
        <v>1772</v>
      </c>
      <c r="P912" s="21" t="s">
        <v>54</v>
      </c>
      <c r="Q912" s="28">
        <v>46137</v>
      </c>
      <c r="R912" s="29">
        <v>46136.5017476852</v>
      </c>
      <c r="S912" s="21" t="s">
        <v>145</v>
      </c>
      <c r="T912" s="21"/>
      <c r="U912" s="21" t="s">
        <v>142</v>
      </c>
      <c r="V912" s="29">
        <v>46136.501712963</v>
      </c>
      <c r="W912">
        <f>VLOOKUP(H912,物料編碼!A:B,2,0)</f>
        <v>1300111003</v>
      </c>
      <c r="X912">
        <v>1300111</v>
      </c>
      <c r="Y912" t="str">
        <f>VLOOKUP(X912,物料編碼!D:G,4,0)</f>
        <v>寸骨</v>
      </c>
      <c r="Z912" t="str">
        <f>VLOOKUP(C912,客戶屬性1!A:C,2,0)</f>
        <v>新昌冻肉</v>
      </c>
      <c r="AA912">
        <f>IF(COUNTIF($O$1:O912,O912)=1,L912,0)</f>
        <v>1185.1</v>
      </c>
    </row>
    <row r="913" customHeight="1" spans="1:27">
      <c r="A913" s="21" t="s">
        <v>1771</v>
      </c>
      <c r="B913" s="21" t="s">
        <v>45</v>
      </c>
      <c r="C913" s="21" t="s">
        <v>141</v>
      </c>
      <c r="D913" s="21" t="s">
        <v>142</v>
      </c>
      <c r="E913" s="21" t="s">
        <v>142</v>
      </c>
      <c r="F913" s="21" t="s">
        <v>143</v>
      </c>
      <c r="G913" s="21" t="s">
        <v>100</v>
      </c>
      <c r="H913" s="21" t="s">
        <v>117</v>
      </c>
      <c r="I913" s="26">
        <v>3</v>
      </c>
      <c r="J913" s="26">
        <v>45</v>
      </c>
      <c r="K913" s="21" t="s">
        <v>52</v>
      </c>
      <c r="L913" s="27">
        <v>1185.1</v>
      </c>
      <c r="M913" s="21"/>
      <c r="N913" s="21"/>
      <c r="O913" s="21" t="s">
        <v>1772</v>
      </c>
      <c r="P913" s="21" t="s">
        <v>54</v>
      </c>
      <c r="Q913" s="28">
        <v>46137</v>
      </c>
      <c r="R913" s="29">
        <v>46136.5017476852</v>
      </c>
      <c r="S913" s="21" t="s">
        <v>145</v>
      </c>
      <c r="T913" s="21"/>
      <c r="U913" s="21" t="s">
        <v>142</v>
      </c>
      <c r="V913" s="29">
        <v>46136.501712963</v>
      </c>
      <c r="W913">
        <f>VLOOKUP(H913,物料編碼!A:B,2,0)</f>
        <v>1300607015</v>
      </c>
      <c r="X913">
        <v>1300607</v>
      </c>
      <c r="Y913" t="str">
        <f>VLOOKUP(X913,物料編碼!D:G,4,0)</f>
        <v>帶皮腿扒</v>
      </c>
      <c r="Z913" t="str">
        <f>VLOOKUP(C913,客戶屬性1!A:C,2,0)</f>
        <v>新昌冻肉</v>
      </c>
      <c r="AA913">
        <f>IF(COUNTIF($O$1:O913,O913)=1,L913,0)</f>
        <v>0</v>
      </c>
    </row>
    <row r="914" customHeight="1" spans="1:27">
      <c r="A914" s="21" t="s">
        <v>1773</v>
      </c>
      <c r="B914" s="21" t="s">
        <v>45</v>
      </c>
      <c r="C914" s="21" t="s">
        <v>72</v>
      </c>
      <c r="D914" s="21" t="s">
        <v>73</v>
      </c>
      <c r="E914" s="21" t="s">
        <v>74</v>
      </c>
      <c r="F914" s="21" t="s">
        <v>49</v>
      </c>
      <c r="G914" s="21" t="s">
        <v>50</v>
      </c>
      <c r="H914" s="21" t="s">
        <v>117</v>
      </c>
      <c r="I914" s="26">
        <v>5</v>
      </c>
      <c r="J914" s="26">
        <v>75</v>
      </c>
      <c r="K914" s="21" t="s">
        <v>52</v>
      </c>
      <c r="L914" s="27">
        <v>1108.5</v>
      </c>
      <c r="M914" s="21"/>
      <c r="N914" s="21"/>
      <c r="O914" s="21" t="s">
        <v>1774</v>
      </c>
      <c r="P914" s="21" t="s">
        <v>54</v>
      </c>
      <c r="Q914" s="28">
        <v>46137</v>
      </c>
      <c r="R914" s="29">
        <v>46136.49125</v>
      </c>
      <c r="S914" s="21" t="s">
        <v>377</v>
      </c>
      <c r="T914" s="21"/>
      <c r="U914" s="21" t="s">
        <v>82</v>
      </c>
      <c r="V914" s="29">
        <v>46136.4911921296</v>
      </c>
      <c r="W914">
        <f>VLOOKUP(H914,物料編碼!A:B,2,0)</f>
        <v>1300607015</v>
      </c>
      <c r="X914">
        <v>1300607</v>
      </c>
      <c r="Y914" t="str">
        <f>VLOOKUP(X914,物料編碼!D:G,4,0)</f>
        <v>帶皮腿扒</v>
      </c>
      <c r="Z914" t="str">
        <f>VLOOKUP(C914,客戶屬性1!A:C,2,0)</f>
        <v>恒辉贸易公司</v>
      </c>
      <c r="AA914">
        <f>IF(COUNTIF($O$1:O914,O914)=1,L914,0)</f>
        <v>1108.5</v>
      </c>
    </row>
    <row r="915" customHeight="1" spans="1:27">
      <c r="A915" s="21" t="s">
        <v>1775</v>
      </c>
      <c r="B915" s="21" t="s">
        <v>45</v>
      </c>
      <c r="C915" s="21" t="s">
        <v>538</v>
      </c>
      <c r="D915" s="21" t="s">
        <v>539</v>
      </c>
      <c r="E915" s="21" t="s">
        <v>540</v>
      </c>
      <c r="F915" s="21" t="s">
        <v>49</v>
      </c>
      <c r="G915" s="21" t="s">
        <v>541</v>
      </c>
      <c r="H915" s="21" t="s">
        <v>63</v>
      </c>
      <c r="I915" s="26">
        <v>3</v>
      </c>
      <c r="J915" s="26">
        <v>75</v>
      </c>
      <c r="K915" s="21" t="s">
        <v>52</v>
      </c>
      <c r="L915" s="27">
        <v>2505</v>
      </c>
      <c r="M915" s="21"/>
      <c r="N915" s="21"/>
      <c r="O915" s="21" t="s">
        <v>1776</v>
      </c>
      <c r="P915" s="21" t="s">
        <v>54</v>
      </c>
      <c r="Q915" s="28">
        <v>46136</v>
      </c>
      <c r="R915" s="29">
        <v>46136.472962963</v>
      </c>
      <c r="S915" s="21" t="s">
        <v>543</v>
      </c>
      <c r="T915" s="21"/>
      <c r="U915" s="21" t="s">
        <v>539</v>
      </c>
      <c r="V915" s="29">
        <v>46136.4729282407</v>
      </c>
      <c r="W915">
        <f>VLOOKUP(H915,物料編碼!A:B,2,0)</f>
        <v>1300109002</v>
      </c>
      <c r="X915">
        <v>1300109</v>
      </c>
      <c r="Y915" t="str">
        <f>VLOOKUP(X915,物料編碼!D:G,4,0)</f>
        <v>面精肉</v>
      </c>
      <c r="Z915" t="str">
        <f>VLOOKUP(C915,客戶屬性1!A:C,2,0)</f>
        <v>诚信冻肉有限公司</v>
      </c>
      <c r="AA915">
        <f>IF(COUNTIF($O$1:O915,O915)=1,L915,0)</f>
        <v>2505</v>
      </c>
    </row>
    <row r="916" customHeight="1" spans="1:27">
      <c r="A916" s="21" t="s">
        <v>1777</v>
      </c>
      <c r="B916" s="21" t="s">
        <v>45</v>
      </c>
      <c r="C916" s="21" t="s">
        <v>158</v>
      </c>
      <c r="D916" s="21" t="s">
        <v>159</v>
      </c>
      <c r="E916" s="21" t="s">
        <v>160</v>
      </c>
      <c r="F916" s="21" t="s">
        <v>49</v>
      </c>
      <c r="G916" s="21" t="s">
        <v>68</v>
      </c>
      <c r="H916" s="21" t="s">
        <v>161</v>
      </c>
      <c r="I916" s="26">
        <v>10</v>
      </c>
      <c r="J916" s="26">
        <v>200</v>
      </c>
      <c r="K916" s="21" t="s">
        <v>52</v>
      </c>
      <c r="L916" s="27">
        <v>18600</v>
      </c>
      <c r="M916" s="21"/>
      <c r="N916" s="21"/>
      <c r="O916" s="21" t="s">
        <v>1778</v>
      </c>
      <c r="P916" s="21" t="s">
        <v>54</v>
      </c>
      <c r="Q916" s="28">
        <v>46137</v>
      </c>
      <c r="R916" s="29">
        <v>46136.4723958333</v>
      </c>
      <c r="S916" s="21" t="s">
        <v>163</v>
      </c>
      <c r="T916" s="21"/>
      <c r="U916" s="21" t="s">
        <v>164</v>
      </c>
      <c r="V916" s="29">
        <v>46136.472337963</v>
      </c>
      <c r="W916">
        <f>VLOOKUP(H916,物料編碼!A:B,2,0)</f>
        <v>1300501020</v>
      </c>
      <c r="X916">
        <v>1300501</v>
      </c>
      <c r="Y916" t="str">
        <f>VLOOKUP(X916,物料編碼!D:G,4,0)</f>
        <v>羊排</v>
      </c>
      <c r="Z916" t="str">
        <f>VLOOKUP(C916,客戶屬性1!A:C,2,0)</f>
        <v>先进食品国际有限公司</v>
      </c>
      <c r="AA916">
        <f>IF(COUNTIF($O$1:O916,O916)=1,L916,0)</f>
        <v>18600</v>
      </c>
    </row>
    <row r="917" customHeight="1" spans="1:27">
      <c r="A917" s="21" t="s">
        <v>1779</v>
      </c>
      <c r="B917" s="21" t="s">
        <v>45</v>
      </c>
      <c r="C917" s="21" t="s">
        <v>235</v>
      </c>
      <c r="D917" s="21" t="s">
        <v>236</v>
      </c>
      <c r="E917" s="21" t="s">
        <v>237</v>
      </c>
      <c r="F917" s="21" t="s">
        <v>49</v>
      </c>
      <c r="G917" s="21" t="s">
        <v>238</v>
      </c>
      <c r="H917" s="21" t="s">
        <v>239</v>
      </c>
      <c r="I917" s="26">
        <v>1</v>
      </c>
      <c r="J917" s="26">
        <v>10</v>
      </c>
      <c r="K917" s="21" t="s">
        <v>52</v>
      </c>
      <c r="L917" s="27">
        <v>220</v>
      </c>
      <c r="M917" s="21"/>
      <c r="N917" s="21"/>
      <c r="O917" s="21" t="s">
        <v>1780</v>
      </c>
      <c r="P917" s="21" t="s">
        <v>54</v>
      </c>
      <c r="Q917" s="28">
        <v>46136</v>
      </c>
      <c r="R917" s="29">
        <v>46136.4484606481</v>
      </c>
      <c r="S917" s="21" t="s">
        <v>241</v>
      </c>
      <c r="T917" s="21"/>
      <c r="U917" s="21" t="s">
        <v>237</v>
      </c>
      <c r="V917" s="29">
        <v>46136.4484143518</v>
      </c>
      <c r="W917">
        <f>VLOOKUP(H917,物料編碼!A:B,2,0)</f>
        <v>1300904023</v>
      </c>
      <c r="X917">
        <v>1300904</v>
      </c>
      <c r="Y917" t="str">
        <f>VLOOKUP(X917,物料編碼!D:G,4,0)</f>
        <v>煙熏鴨胸</v>
      </c>
      <c r="Z917" t="str">
        <f>VLOOKUP(C917,客戶屬性1!A:C,2,0)</f>
        <v>联合林记食品有限公司</v>
      </c>
      <c r="AA917">
        <f>IF(COUNTIF($O$1:O917,O917)=1,L917,0)</f>
        <v>220</v>
      </c>
    </row>
    <row r="918" customHeight="1" spans="1:27">
      <c r="A918" s="21" t="s">
        <v>1781</v>
      </c>
      <c r="B918" s="21" t="s">
        <v>45</v>
      </c>
      <c r="C918" s="21" t="s">
        <v>1308</v>
      </c>
      <c r="D918" s="21" t="s">
        <v>1309</v>
      </c>
      <c r="E918" s="21" t="s">
        <v>1310</v>
      </c>
      <c r="F918" s="21" t="s">
        <v>49</v>
      </c>
      <c r="G918" s="21" t="s">
        <v>541</v>
      </c>
      <c r="H918" s="21" t="s">
        <v>117</v>
      </c>
      <c r="I918" s="26">
        <v>2</v>
      </c>
      <c r="J918" s="26">
        <v>30</v>
      </c>
      <c r="K918" s="21" t="s">
        <v>52</v>
      </c>
      <c r="L918" s="27">
        <v>443.4</v>
      </c>
      <c r="M918" s="21"/>
      <c r="N918" s="21"/>
      <c r="O918" s="21" t="s">
        <v>1782</v>
      </c>
      <c r="P918" s="21" t="s">
        <v>54</v>
      </c>
      <c r="Q918" s="28">
        <v>46137</v>
      </c>
      <c r="R918" s="29">
        <v>46136.4402893518</v>
      </c>
      <c r="S918" s="21" t="s">
        <v>1312</v>
      </c>
      <c r="T918" s="21"/>
      <c r="U918" s="21" t="s">
        <v>1309</v>
      </c>
      <c r="V918" s="29">
        <v>46136.4402546296</v>
      </c>
      <c r="W918">
        <f>VLOOKUP(H918,物料編碼!A:B,2,0)</f>
        <v>1300607015</v>
      </c>
      <c r="X918">
        <v>1300607</v>
      </c>
      <c r="Y918" t="str">
        <f>VLOOKUP(X918,物料編碼!D:G,4,0)</f>
        <v>帶皮腿扒</v>
      </c>
      <c r="Z918" t="str">
        <f>VLOOKUP(C918,客戶屬性1!A:C,2,0)</f>
        <v>再丰有限公司</v>
      </c>
      <c r="AA918">
        <f>IF(COUNTIF($O$1:O918,O918)=1,L918,0)</f>
        <v>443.4</v>
      </c>
    </row>
    <row r="919" customHeight="1" spans="1:27">
      <c r="A919" s="21" t="s">
        <v>1783</v>
      </c>
      <c r="B919" s="21" t="s">
        <v>45</v>
      </c>
      <c r="C919" s="21" t="s">
        <v>1308</v>
      </c>
      <c r="D919" s="21" t="s">
        <v>1309</v>
      </c>
      <c r="E919" s="21" t="s">
        <v>1310</v>
      </c>
      <c r="F919" s="21" t="s">
        <v>49</v>
      </c>
      <c r="G919" s="21" t="s">
        <v>541</v>
      </c>
      <c r="H919" s="21" t="s">
        <v>117</v>
      </c>
      <c r="I919" s="26">
        <v>3</v>
      </c>
      <c r="J919" s="26">
        <v>45</v>
      </c>
      <c r="K919" s="21" t="s">
        <v>52</v>
      </c>
      <c r="L919" s="27">
        <v>665.1</v>
      </c>
      <c r="M919" s="21"/>
      <c r="N919" s="21"/>
      <c r="O919" s="21" t="s">
        <v>1784</v>
      </c>
      <c r="P919" s="21" t="s">
        <v>54</v>
      </c>
      <c r="Q919" s="28">
        <v>46136</v>
      </c>
      <c r="R919" s="29">
        <v>46136.3839930556</v>
      </c>
      <c r="S919" s="21" t="s">
        <v>1312</v>
      </c>
      <c r="T919" s="21"/>
      <c r="U919" s="21" t="s">
        <v>1309</v>
      </c>
      <c r="V919" s="29">
        <v>46136.3839467593</v>
      </c>
      <c r="W919">
        <f>VLOOKUP(H919,物料編碼!A:B,2,0)</f>
        <v>1300607015</v>
      </c>
      <c r="X919">
        <v>1300607</v>
      </c>
      <c r="Y919" t="str">
        <f>VLOOKUP(X919,物料編碼!D:G,4,0)</f>
        <v>帶皮腿扒</v>
      </c>
      <c r="Z919" t="str">
        <f>VLOOKUP(C919,客戶屬性1!A:C,2,0)</f>
        <v>再丰有限公司</v>
      </c>
      <c r="AA919">
        <f>IF(COUNTIF($O$1:O919,O919)=1,L919,0)</f>
        <v>665.1</v>
      </c>
    </row>
    <row r="920" customHeight="1" spans="1:27">
      <c r="A920" s="21" t="s">
        <v>1785</v>
      </c>
      <c r="B920" s="21" t="s">
        <v>45</v>
      </c>
      <c r="C920" s="21" t="s">
        <v>72</v>
      </c>
      <c r="D920" s="21" t="s">
        <v>73</v>
      </c>
      <c r="E920" s="21" t="s">
        <v>74</v>
      </c>
      <c r="F920" s="21" t="s">
        <v>49</v>
      </c>
      <c r="G920" s="21" t="s">
        <v>50</v>
      </c>
      <c r="H920" s="21" t="s">
        <v>1541</v>
      </c>
      <c r="I920" s="26">
        <v>1</v>
      </c>
      <c r="J920" s="26">
        <v>14.4</v>
      </c>
      <c r="K920" s="21" t="s">
        <v>52</v>
      </c>
      <c r="L920" s="27">
        <v>152.64</v>
      </c>
      <c r="M920" s="21"/>
      <c r="N920" s="21"/>
      <c r="O920" s="21" t="s">
        <v>1786</v>
      </c>
      <c r="P920" s="21" t="s">
        <v>183</v>
      </c>
      <c r="Q920" s="28">
        <v>46136</v>
      </c>
      <c r="R920" s="29">
        <v>46136.372037037</v>
      </c>
      <c r="S920" s="21" t="s">
        <v>377</v>
      </c>
      <c r="T920" s="21"/>
      <c r="U920" s="21" t="s">
        <v>82</v>
      </c>
      <c r="V920" s="29">
        <v>46136.3719791667</v>
      </c>
      <c r="W920">
        <f>VLOOKUP(H920,物料編碼!A:B,2,0)</f>
        <v>1300901006</v>
      </c>
      <c r="X920">
        <v>1300901</v>
      </c>
      <c r="Y920" t="str">
        <f>VLOOKUP(X920,物料編碼!D:G,4,0)</f>
        <v>整鴨</v>
      </c>
      <c r="Z920" t="str">
        <f>VLOOKUP(C920,客戶屬性1!A:C,2,0)</f>
        <v>恒辉贸易公司</v>
      </c>
      <c r="AA920">
        <f>IF(COUNTIF($O$1:O920,O920)=1,L920,0)</f>
        <v>152.64</v>
      </c>
    </row>
    <row r="921" customHeight="1" spans="1:27">
      <c r="A921" s="21" t="s">
        <v>1787</v>
      </c>
      <c r="B921" s="21" t="s">
        <v>45</v>
      </c>
      <c r="C921" s="21" t="s">
        <v>1072</v>
      </c>
      <c r="D921" s="21" t="s">
        <v>1073</v>
      </c>
      <c r="E921" s="21" t="s">
        <v>1074</v>
      </c>
      <c r="F921" s="21" t="s">
        <v>49</v>
      </c>
      <c r="G921" s="21" t="s">
        <v>238</v>
      </c>
      <c r="H921" s="21" t="s">
        <v>190</v>
      </c>
      <c r="I921" s="26">
        <v>20</v>
      </c>
      <c r="J921" s="26">
        <v>240</v>
      </c>
      <c r="K921" s="21" t="s">
        <v>52</v>
      </c>
      <c r="L921" s="27">
        <v>3792</v>
      </c>
      <c r="M921" s="21"/>
      <c r="N921" s="21"/>
      <c r="O921" s="21" t="s">
        <v>1788</v>
      </c>
      <c r="P921" s="21" t="s">
        <v>54</v>
      </c>
      <c r="Q921" s="28">
        <v>46136</v>
      </c>
      <c r="R921" s="29">
        <v>46135.5731481481</v>
      </c>
      <c r="S921" s="21" t="s">
        <v>1076</v>
      </c>
      <c r="T921" s="21"/>
      <c r="U921" s="21" t="s">
        <v>1077</v>
      </c>
      <c r="V921" s="29">
        <v>46135.5731018518</v>
      </c>
      <c r="W921">
        <f>VLOOKUP(H921,物料編碼!A:B,2,0)</f>
        <v>1300609001</v>
      </c>
      <c r="X921">
        <v>1300609</v>
      </c>
      <c r="Y921" t="str">
        <f>VLOOKUP(X921,物料編碼!D:G,4,0)</f>
        <v>去皮上腿肉</v>
      </c>
      <c r="Z921" t="str">
        <f>VLOOKUP(C921,客戶屬性1!A:C,2,0)</f>
        <v>昭楠贸易有限公司</v>
      </c>
      <c r="AA921">
        <f>IF(COUNTIF($O$1:O921,O921)=1,L921,0)</f>
        <v>3792</v>
      </c>
    </row>
    <row r="922" customHeight="1" spans="1:27">
      <c r="A922" s="21" t="s">
        <v>1789</v>
      </c>
      <c r="B922" s="21" t="s">
        <v>45</v>
      </c>
      <c r="C922" s="21" t="s">
        <v>97</v>
      </c>
      <c r="D922" s="21" t="s">
        <v>98</v>
      </c>
      <c r="E922" s="21" t="s">
        <v>99</v>
      </c>
      <c r="F922" s="21" t="s">
        <v>49</v>
      </c>
      <c r="G922" s="21" t="s">
        <v>100</v>
      </c>
      <c r="H922" s="21" t="s">
        <v>298</v>
      </c>
      <c r="I922" s="26">
        <v>5</v>
      </c>
      <c r="J922" s="26">
        <v>50</v>
      </c>
      <c r="K922" s="21" t="s">
        <v>52</v>
      </c>
      <c r="L922" s="27">
        <v>2425</v>
      </c>
      <c r="M922" s="21"/>
      <c r="N922" s="21"/>
      <c r="O922" s="21" t="s">
        <v>1790</v>
      </c>
      <c r="P922" s="21" t="s">
        <v>54</v>
      </c>
      <c r="Q922" s="28">
        <v>46135</v>
      </c>
      <c r="R922" s="29">
        <v>46135.5206134259</v>
      </c>
      <c r="S922" s="21" t="s">
        <v>103</v>
      </c>
      <c r="T922" s="21"/>
      <c r="U922" s="21" t="s">
        <v>99</v>
      </c>
      <c r="V922" s="29">
        <v>46135.5205671296</v>
      </c>
      <c r="W922">
        <f>VLOOKUP(H922,物料編碼!A:B,2,0)</f>
        <v>1300111003</v>
      </c>
      <c r="X922">
        <v>1300111</v>
      </c>
      <c r="Y922" t="str">
        <f>VLOOKUP(X922,物料編碼!D:G,4,0)</f>
        <v>寸骨</v>
      </c>
      <c r="Z922" t="str">
        <f>VLOOKUP(C922,客戶屬性1!A:C,2,0)</f>
        <v>三明有限公司</v>
      </c>
      <c r="AA922">
        <f>IF(COUNTIF($O$1:O922,O922)=1,L922,0)</f>
        <v>2425</v>
      </c>
    </row>
    <row r="923" customHeight="1" spans="1:27">
      <c r="A923" s="21" t="s">
        <v>1791</v>
      </c>
      <c r="B923" s="21" t="s">
        <v>45</v>
      </c>
      <c r="C923" s="21" t="s">
        <v>72</v>
      </c>
      <c r="D923" s="21" t="s">
        <v>73</v>
      </c>
      <c r="E923" s="21" t="s">
        <v>74</v>
      </c>
      <c r="F923" s="21" t="s">
        <v>49</v>
      </c>
      <c r="G923" s="21" t="s">
        <v>50</v>
      </c>
      <c r="H923" s="21" t="s">
        <v>117</v>
      </c>
      <c r="I923" s="26">
        <v>6</v>
      </c>
      <c r="J923" s="26">
        <v>90</v>
      </c>
      <c r="K923" s="21" t="s">
        <v>52</v>
      </c>
      <c r="L923" s="27">
        <v>1330.2</v>
      </c>
      <c r="M923" s="21"/>
      <c r="N923" s="21"/>
      <c r="O923" s="21" t="s">
        <v>1792</v>
      </c>
      <c r="P923" s="21" t="s">
        <v>54</v>
      </c>
      <c r="Q923" s="28">
        <v>46136</v>
      </c>
      <c r="R923" s="29">
        <v>46135.5006481481</v>
      </c>
      <c r="S923" s="21" t="s">
        <v>77</v>
      </c>
      <c r="T923" s="21"/>
      <c r="U923" s="21" t="s">
        <v>74</v>
      </c>
      <c r="V923" s="29">
        <v>46135.5006018519</v>
      </c>
      <c r="W923">
        <f>VLOOKUP(H923,物料編碼!A:B,2,0)</f>
        <v>1300607015</v>
      </c>
      <c r="X923">
        <v>1300607</v>
      </c>
      <c r="Y923" t="str">
        <f>VLOOKUP(X923,物料編碼!D:G,4,0)</f>
        <v>帶皮腿扒</v>
      </c>
      <c r="Z923" t="str">
        <f>VLOOKUP(C923,客戶屬性1!A:C,2,0)</f>
        <v>恒辉贸易公司</v>
      </c>
      <c r="AA923">
        <f>IF(COUNTIF($O$1:O923,O923)=1,L923,0)</f>
        <v>1330.2</v>
      </c>
    </row>
    <row r="924" customHeight="1" spans="1:27">
      <c r="A924" s="21" t="s">
        <v>1793</v>
      </c>
      <c r="B924" s="21" t="s">
        <v>45</v>
      </c>
      <c r="C924" s="21" t="s">
        <v>72</v>
      </c>
      <c r="D924" s="21" t="s">
        <v>73</v>
      </c>
      <c r="E924" s="21" t="s">
        <v>74</v>
      </c>
      <c r="F924" s="21" t="s">
        <v>49</v>
      </c>
      <c r="G924" s="21" t="s">
        <v>50</v>
      </c>
      <c r="H924" s="21" t="s">
        <v>78</v>
      </c>
      <c r="I924" s="26">
        <v>1</v>
      </c>
      <c r="J924" s="26">
        <v>15</v>
      </c>
      <c r="K924" s="21" t="s">
        <v>52</v>
      </c>
      <c r="L924" s="27">
        <v>600.9</v>
      </c>
      <c r="M924" s="21"/>
      <c r="N924" s="21"/>
      <c r="O924" s="21" t="s">
        <v>1794</v>
      </c>
      <c r="P924" s="21" t="s">
        <v>54</v>
      </c>
      <c r="Q924" s="28">
        <v>46136</v>
      </c>
      <c r="R924" s="29">
        <v>46135.4761805556</v>
      </c>
      <c r="S924" s="21" t="s">
        <v>77</v>
      </c>
      <c r="T924" s="21"/>
      <c r="U924" s="21" t="s">
        <v>74</v>
      </c>
      <c r="V924" s="29">
        <v>46135.4761342593</v>
      </c>
      <c r="W924">
        <f>VLOOKUP(H924,物料編碼!A:B,2,0)</f>
        <v>1300607014</v>
      </c>
      <c r="X924">
        <v>1300607</v>
      </c>
      <c r="Y924" t="str">
        <f>VLOOKUP(X924,物料編碼!D:G,4,0)</f>
        <v>帶皮腿扒</v>
      </c>
      <c r="Z924" t="str">
        <f>VLOOKUP(C924,客戶屬性1!A:C,2,0)</f>
        <v>恒辉贸易公司</v>
      </c>
      <c r="AA924">
        <f>IF(COUNTIF($O$1:O924,O924)=1,L924,0)</f>
        <v>600.9</v>
      </c>
    </row>
    <row r="925" customHeight="1" spans="1:27">
      <c r="A925" s="21" t="s">
        <v>1793</v>
      </c>
      <c r="B925" s="21" t="s">
        <v>45</v>
      </c>
      <c r="C925" s="21" t="s">
        <v>72</v>
      </c>
      <c r="D925" s="21" t="s">
        <v>73</v>
      </c>
      <c r="E925" s="21" t="s">
        <v>74</v>
      </c>
      <c r="F925" s="21" t="s">
        <v>49</v>
      </c>
      <c r="G925" s="21" t="s">
        <v>50</v>
      </c>
      <c r="H925" s="21" t="s">
        <v>190</v>
      </c>
      <c r="I925" s="26">
        <v>2</v>
      </c>
      <c r="J925" s="26">
        <v>24</v>
      </c>
      <c r="K925" s="21" t="s">
        <v>52</v>
      </c>
      <c r="L925" s="27">
        <v>600.9</v>
      </c>
      <c r="M925" s="21"/>
      <c r="N925" s="21"/>
      <c r="O925" s="21" t="s">
        <v>1794</v>
      </c>
      <c r="P925" s="21" t="s">
        <v>54</v>
      </c>
      <c r="Q925" s="28">
        <v>46136</v>
      </c>
      <c r="R925" s="29">
        <v>46135.4761805556</v>
      </c>
      <c r="S925" s="21" t="s">
        <v>77</v>
      </c>
      <c r="T925" s="21"/>
      <c r="U925" s="21" t="s">
        <v>74</v>
      </c>
      <c r="V925" s="29">
        <v>46135.4761342593</v>
      </c>
      <c r="W925">
        <f>VLOOKUP(H925,物料編碼!A:B,2,0)</f>
        <v>1300609001</v>
      </c>
      <c r="X925">
        <v>1300609</v>
      </c>
      <c r="Y925" t="str">
        <f>VLOOKUP(X925,物料編碼!D:G,4,0)</f>
        <v>去皮上腿肉</v>
      </c>
      <c r="Z925" t="str">
        <f>VLOOKUP(C925,客戶屬性1!A:C,2,0)</f>
        <v>恒辉贸易公司</v>
      </c>
      <c r="AA925">
        <f>IF(COUNTIF($O$1:O925,O925)=1,L925,0)</f>
        <v>0</v>
      </c>
    </row>
    <row r="926" customHeight="1" spans="1:27">
      <c r="A926" s="21" t="s">
        <v>1795</v>
      </c>
      <c r="B926" s="21" t="s">
        <v>45</v>
      </c>
      <c r="C926" s="21" t="s">
        <v>141</v>
      </c>
      <c r="D926" s="21" t="s">
        <v>142</v>
      </c>
      <c r="E926" s="21" t="s">
        <v>142</v>
      </c>
      <c r="F926" s="21" t="s">
        <v>143</v>
      </c>
      <c r="G926" s="21" t="s">
        <v>100</v>
      </c>
      <c r="H926" s="21" t="s">
        <v>60</v>
      </c>
      <c r="I926" s="26">
        <v>1</v>
      </c>
      <c r="J926" s="26">
        <v>25</v>
      </c>
      <c r="K926" s="21" t="s">
        <v>52</v>
      </c>
      <c r="L926" s="27">
        <v>1707.1</v>
      </c>
      <c r="M926" s="21"/>
      <c r="N926" s="21"/>
      <c r="O926" s="21" t="s">
        <v>1796</v>
      </c>
      <c r="P926" s="21" t="s">
        <v>54</v>
      </c>
      <c r="Q926" s="28">
        <v>46136</v>
      </c>
      <c r="R926" s="29">
        <v>46135.4652083333</v>
      </c>
      <c r="S926" s="21" t="s">
        <v>145</v>
      </c>
      <c r="T926" s="21"/>
      <c r="U926" s="21" t="s">
        <v>142</v>
      </c>
      <c r="V926" s="29">
        <v>46135.465162037</v>
      </c>
      <c r="W926">
        <f>VLOOKUP(H926,物料編碼!A:B,2,0)</f>
        <v>1300101043</v>
      </c>
      <c r="X926">
        <v>1300101</v>
      </c>
      <c r="Y926" t="str">
        <f>VLOOKUP(X926,物料編碼!D:G,4,0)</f>
        <v>一號肉</v>
      </c>
      <c r="Z926" t="str">
        <f>VLOOKUP(C926,客戶屬性1!A:C,2,0)</f>
        <v>新昌冻肉</v>
      </c>
      <c r="AA926">
        <f>IF(COUNTIF($O$1:O926,O926)=1,L926,0)</f>
        <v>1707.1</v>
      </c>
    </row>
    <row r="927" customHeight="1" spans="1:27">
      <c r="A927" s="21" t="s">
        <v>1795</v>
      </c>
      <c r="B927" s="21" t="s">
        <v>45</v>
      </c>
      <c r="C927" s="21" t="s">
        <v>141</v>
      </c>
      <c r="D927" s="21" t="s">
        <v>142</v>
      </c>
      <c r="E927" s="21" t="s">
        <v>142</v>
      </c>
      <c r="F927" s="21" t="s">
        <v>143</v>
      </c>
      <c r="G927" s="21" t="s">
        <v>100</v>
      </c>
      <c r="H927" s="21" t="s">
        <v>168</v>
      </c>
      <c r="I927" s="26">
        <v>1</v>
      </c>
      <c r="J927" s="26">
        <v>10</v>
      </c>
      <c r="K927" s="21" t="s">
        <v>52</v>
      </c>
      <c r="L927" s="27">
        <v>1707.1</v>
      </c>
      <c r="M927" s="21"/>
      <c r="N927" s="21"/>
      <c r="O927" s="21" t="s">
        <v>1796</v>
      </c>
      <c r="P927" s="21" t="s">
        <v>54</v>
      </c>
      <c r="Q927" s="28">
        <v>46136</v>
      </c>
      <c r="R927" s="29">
        <v>46135.4652083333</v>
      </c>
      <c r="S927" s="21" t="s">
        <v>145</v>
      </c>
      <c r="T927" s="21"/>
      <c r="U927" s="21" t="s">
        <v>142</v>
      </c>
      <c r="V927" s="29">
        <v>46135.465162037</v>
      </c>
      <c r="W927">
        <f>VLOOKUP(H927,物料編碼!A:B,2,0)</f>
        <v>1300627002</v>
      </c>
      <c r="X927">
        <v>1300627</v>
      </c>
      <c r="Y927" t="str">
        <f>VLOOKUP(X927,物料編碼!D:G,4,0)</f>
        <v>翅尖</v>
      </c>
      <c r="Z927" t="str">
        <f>VLOOKUP(C927,客戶屬性1!A:C,2,0)</f>
        <v>新昌冻肉</v>
      </c>
      <c r="AA927">
        <f>IF(COUNTIF($O$1:O927,O927)=1,L927,0)</f>
        <v>0</v>
      </c>
    </row>
    <row r="928" customHeight="1" spans="1:27">
      <c r="A928" s="21" t="s">
        <v>1795</v>
      </c>
      <c r="B928" s="21" t="s">
        <v>45</v>
      </c>
      <c r="C928" s="21" t="s">
        <v>141</v>
      </c>
      <c r="D928" s="21" t="s">
        <v>142</v>
      </c>
      <c r="E928" s="21" t="s">
        <v>142</v>
      </c>
      <c r="F928" s="21" t="s">
        <v>143</v>
      </c>
      <c r="G928" s="21" t="s">
        <v>100</v>
      </c>
      <c r="H928" s="21" t="s">
        <v>117</v>
      </c>
      <c r="I928" s="26">
        <v>3</v>
      </c>
      <c r="J928" s="26">
        <v>45</v>
      </c>
      <c r="K928" s="21" t="s">
        <v>52</v>
      </c>
      <c r="L928" s="27">
        <v>1707.1</v>
      </c>
      <c r="M928" s="21"/>
      <c r="N928" s="21"/>
      <c r="O928" s="21" t="s">
        <v>1796</v>
      </c>
      <c r="P928" s="21" t="s">
        <v>54</v>
      </c>
      <c r="Q928" s="28">
        <v>46136</v>
      </c>
      <c r="R928" s="29">
        <v>46135.4652083333</v>
      </c>
      <c r="S928" s="21" t="s">
        <v>145</v>
      </c>
      <c r="T928" s="21"/>
      <c r="U928" s="21" t="s">
        <v>142</v>
      </c>
      <c r="V928" s="29">
        <v>46135.465162037</v>
      </c>
      <c r="W928">
        <f>VLOOKUP(H928,物料編碼!A:B,2,0)</f>
        <v>1300607015</v>
      </c>
      <c r="X928">
        <v>1300607</v>
      </c>
      <c r="Y928" t="str">
        <f>VLOOKUP(X928,物料編碼!D:G,4,0)</f>
        <v>帶皮腿扒</v>
      </c>
      <c r="Z928" t="str">
        <f>VLOOKUP(C928,客戶屬性1!A:C,2,0)</f>
        <v>新昌冻肉</v>
      </c>
      <c r="AA928">
        <f>IF(COUNTIF($O$1:O928,O928)=1,L928,0)</f>
        <v>0</v>
      </c>
    </row>
    <row r="929" customHeight="1" spans="1:27">
      <c r="A929" s="21" t="s">
        <v>1797</v>
      </c>
      <c r="B929" s="21" t="s">
        <v>45</v>
      </c>
      <c r="C929" s="21" t="s">
        <v>97</v>
      </c>
      <c r="D929" s="21" t="s">
        <v>98</v>
      </c>
      <c r="E929" s="21" t="s">
        <v>99</v>
      </c>
      <c r="F929" s="21" t="s">
        <v>49</v>
      </c>
      <c r="G929" s="21" t="s">
        <v>100</v>
      </c>
      <c r="H929" s="21" t="s">
        <v>283</v>
      </c>
      <c r="I929" s="26">
        <v>3</v>
      </c>
      <c r="J929" s="26">
        <v>75</v>
      </c>
      <c r="K929" s="21" t="s">
        <v>52</v>
      </c>
      <c r="L929" s="27">
        <v>1485</v>
      </c>
      <c r="M929" s="21"/>
      <c r="N929" s="21"/>
      <c r="O929" s="21" t="s">
        <v>1798</v>
      </c>
      <c r="P929" s="21" t="s">
        <v>54</v>
      </c>
      <c r="Q929" s="28">
        <v>46135</v>
      </c>
      <c r="R929" s="29">
        <v>46135.3878009259</v>
      </c>
      <c r="S929" s="21" t="s">
        <v>103</v>
      </c>
      <c r="T929" s="21"/>
      <c r="U929" s="21" t="s">
        <v>99</v>
      </c>
      <c r="V929" s="29">
        <v>46135.3877430556</v>
      </c>
      <c r="W929">
        <f>VLOOKUP(H929,物料編碼!A:B,2,0)</f>
        <v>1300104005</v>
      </c>
      <c r="X929">
        <v>1300104</v>
      </c>
      <c r="Y929" t="str">
        <f>VLOOKUP(X929,物料編碼!D:G,4,0)</f>
        <v>四號肉</v>
      </c>
      <c r="Z929" t="str">
        <f>VLOOKUP(C929,客戶屬性1!A:C,2,0)</f>
        <v>三明有限公司</v>
      </c>
      <c r="AA929">
        <f>IF(COUNTIF($O$1:O929,O929)=1,L929,0)</f>
        <v>1485</v>
      </c>
    </row>
    <row r="930" customHeight="1" spans="1:27">
      <c r="A930" s="21" t="s">
        <v>1799</v>
      </c>
      <c r="B930" s="21" t="s">
        <v>45</v>
      </c>
      <c r="C930" s="21" t="s">
        <v>825</v>
      </c>
      <c r="D930" s="21" t="s">
        <v>826</v>
      </c>
      <c r="E930" s="21" t="s">
        <v>827</v>
      </c>
      <c r="F930" s="21" t="s">
        <v>49</v>
      </c>
      <c r="G930" s="21" t="s">
        <v>136</v>
      </c>
      <c r="H930" s="21" t="s">
        <v>111</v>
      </c>
      <c r="I930" s="26">
        <v>2</v>
      </c>
      <c r="J930" s="27">
        <v>64</v>
      </c>
      <c r="K930" s="21" t="s">
        <v>112</v>
      </c>
      <c r="L930" s="27">
        <v>441.6</v>
      </c>
      <c r="M930" s="21"/>
      <c r="N930" s="21"/>
      <c r="O930" s="21" t="s">
        <v>1800</v>
      </c>
      <c r="P930" s="21" t="s">
        <v>54</v>
      </c>
      <c r="Q930" s="28">
        <v>46135</v>
      </c>
      <c r="R930" s="29">
        <v>46134.6734837963</v>
      </c>
      <c r="S930" s="21" t="s">
        <v>829</v>
      </c>
      <c r="T930" s="21"/>
      <c r="U930" s="21" t="s">
        <v>826</v>
      </c>
      <c r="V930" s="29">
        <v>46134.6734375</v>
      </c>
      <c r="W930">
        <f>VLOOKUP(H930,物料編碼!A:B,2,0)</f>
        <v>1310501001</v>
      </c>
      <c r="X930">
        <v>1310501</v>
      </c>
      <c r="Y930" t="str">
        <f>VLOOKUP(X930,物料編碼!D:G,4,0)</f>
        <v>腸類.雞肉腸</v>
      </c>
      <c r="Z930" t="str">
        <f>VLOOKUP(C930,客戶屬性1!A:C,2,0)</f>
        <v>鸿兴食品供应有限公司</v>
      </c>
      <c r="AA930">
        <f>IF(COUNTIF($O$1:O930,O930)=1,L930,0)</f>
        <v>441.6</v>
      </c>
    </row>
    <row r="931" customHeight="1" spans="1:27">
      <c r="A931" s="21" t="s">
        <v>1801</v>
      </c>
      <c r="B931" s="21" t="s">
        <v>45</v>
      </c>
      <c r="C931" s="21" t="s">
        <v>114</v>
      </c>
      <c r="D931" s="21" t="s">
        <v>115</v>
      </c>
      <c r="E931" s="21" t="s">
        <v>116</v>
      </c>
      <c r="F931" s="21" t="s">
        <v>49</v>
      </c>
      <c r="G931" s="21" t="s">
        <v>100</v>
      </c>
      <c r="H931" s="21" t="s">
        <v>1642</v>
      </c>
      <c r="I931" s="26">
        <v>15</v>
      </c>
      <c r="J931" s="26">
        <v>225</v>
      </c>
      <c r="K931" s="21" t="s">
        <v>52</v>
      </c>
      <c r="L931" s="27">
        <v>2877.75</v>
      </c>
      <c r="M931" s="21"/>
      <c r="N931" s="21"/>
      <c r="O931" s="21" t="s">
        <v>1802</v>
      </c>
      <c r="P931" s="21" t="s">
        <v>54</v>
      </c>
      <c r="Q931" s="28">
        <v>46135</v>
      </c>
      <c r="R931" s="29">
        <v>46134.5974652778</v>
      </c>
      <c r="S931" s="21" t="s">
        <v>119</v>
      </c>
      <c r="T931" s="21"/>
      <c r="U931" s="21" t="s">
        <v>115</v>
      </c>
      <c r="V931" s="29">
        <v>46134.5974189815</v>
      </c>
      <c r="W931">
        <f>VLOOKUP(H931,物料編碼!A:B,2,0)</f>
        <v>1300603042</v>
      </c>
      <c r="X931">
        <v>1300603</v>
      </c>
      <c r="Y931" t="str">
        <f>VLOOKUP(X931,物料編碼!D:G,4,0)</f>
        <v>帶骨全腿</v>
      </c>
      <c r="Z931" t="str">
        <f>VLOOKUP(C931,客戶屬性1!A:C,2,0)</f>
        <v>骏利贸易公司</v>
      </c>
      <c r="AA931">
        <f>IF(COUNTIF($O$1:O931,O931)=1,L931,0)</f>
        <v>2877.75</v>
      </c>
    </row>
    <row r="932" customHeight="1" spans="1:27">
      <c r="A932" s="21" t="s">
        <v>1803</v>
      </c>
      <c r="B932" s="21" t="s">
        <v>45</v>
      </c>
      <c r="C932" s="21" t="s">
        <v>197</v>
      </c>
      <c r="D932" s="21" t="s">
        <v>198</v>
      </c>
      <c r="E932" s="21" t="s">
        <v>199</v>
      </c>
      <c r="F932" s="21" t="s">
        <v>49</v>
      </c>
      <c r="G932" s="21" t="s">
        <v>136</v>
      </c>
      <c r="H932" s="21" t="s">
        <v>283</v>
      </c>
      <c r="I932" s="26">
        <v>20</v>
      </c>
      <c r="J932" s="26">
        <v>500</v>
      </c>
      <c r="K932" s="21" t="s">
        <v>52</v>
      </c>
      <c r="L932" s="27">
        <v>9900</v>
      </c>
      <c r="M932" s="21"/>
      <c r="N932" s="21"/>
      <c r="O932" s="21" t="s">
        <v>1804</v>
      </c>
      <c r="P932" s="21" t="s">
        <v>54</v>
      </c>
      <c r="Q932" s="28">
        <v>46135</v>
      </c>
      <c r="R932" s="29">
        <v>46134.5003587963</v>
      </c>
      <c r="S932" s="21" t="s">
        <v>202</v>
      </c>
      <c r="T932" s="21"/>
      <c r="U932" s="21" t="s">
        <v>203</v>
      </c>
      <c r="V932" s="29">
        <v>46134.5003125</v>
      </c>
      <c r="W932">
        <f>VLOOKUP(H932,物料編碼!A:B,2,0)</f>
        <v>1300104005</v>
      </c>
      <c r="X932">
        <v>1300104</v>
      </c>
      <c r="Y932" t="str">
        <f>VLOOKUP(X932,物料編碼!D:G,4,0)</f>
        <v>四號肉</v>
      </c>
      <c r="Z932" t="str">
        <f>VLOOKUP(C932,客戶屬性1!A:C,2,0)</f>
        <v>信隆(亚洲)有限公司</v>
      </c>
      <c r="AA932">
        <f>IF(COUNTIF($O$1:O932,O932)=1,L932,0)</f>
        <v>9900</v>
      </c>
    </row>
    <row r="933" customHeight="1" spans="1:27">
      <c r="A933" s="21" t="s">
        <v>1805</v>
      </c>
      <c r="B933" s="21" t="s">
        <v>45</v>
      </c>
      <c r="C933" s="21" t="s">
        <v>72</v>
      </c>
      <c r="D933" s="21" t="s">
        <v>73</v>
      </c>
      <c r="E933" s="21" t="s">
        <v>74</v>
      </c>
      <c r="F933" s="21" t="s">
        <v>49</v>
      </c>
      <c r="G933" s="21" t="s">
        <v>50</v>
      </c>
      <c r="H933" s="21" t="s">
        <v>78</v>
      </c>
      <c r="I933" s="26">
        <v>1</v>
      </c>
      <c r="J933" s="26">
        <v>15</v>
      </c>
      <c r="K933" s="21" t="s">
        <v>52</v>
      </c>
      <c r="L933" s="27">
        <v>4013.7</v>
      </c>
      <c r="M933" s="21"/>
      <c r="N933" s="21"/>
      <c r="O933" s="21" t="s">
        <v>1806</v>
      </c>
      <c r="P933" s="21" t="s">
        <v>54</v>
      </c>
      <c r="Q933" s="28">
        <v>46135</v>
      </c>
      <c r="R933" s="29">
        <v>46134.4709722222</v>
      </c>
      <c r="S933" s="21" t="s">
        <v>77</v>
      </c>
      <c r="T933" s="21"/>
      <c r="U933" s="21" t="s">
        <v>74</v>
      </c>
      <c r="V933" s="29">
        <v>46134.4709259259</v>
      </c>
      <c r="W933">
        <f>VLOOKUP(H933,物料編碼!A:B,2,0)</f>
        <v>1300607014</v>
      </c>
      <c r="X933">
        <v>1300607</v>
      </c>
      <c r="Y933" t="str">
        <f>VLOOKUP(X933,物料編碼!D:G,4,0)</f>
        <v>帶皮腿扒</v>
      </c>
      <c r="Z933" t="str">
        <f>VLOOKUP(C933,客戶屬性1!A:C,2,0)</f>
        <v>恒辉贸易公司</v>
      </c>
      <c r="AA933">
        <f>IF(COUNTIF($O$1:O933,O933)=1,L933,0)</f>
        <v>4013.7</v>
      </c>
    </row>
    <row r="934" customHeight="1" spans="1:27">
      <c r="A934" s="21" t="s">
        <v>1805</v>
      </c>
      <c r="B934" s="21" t="s">
        <v>45</v>
      </c>
      <c r="C934" s="21" t="s">
        <v>72</v>
      </c>
      <c r="D934" s="21" t="s">
        <v>73</v>
      </c>
      <c r="E934" s="21" t="s">
        <v>74</v>
      </c>
      <c r="F934" s="21" t="s">
        <v>49</v>
      </c>
      <c r="G934" s="21" t="s">
        <v>50</v>
      </c>
      <c r="H934" s="21" t="s">
        <v>190</v>
      </c>
      <c r="I934" s="26">
        <v>20</v>
      </c>
      <c r="J934" s="26">
        <v>240</v>
      </c>
      <c r="K934" s="21" t="s">
        <v>52</v>
      </c>
      <c r="L934" s="27">
        <v>4013.7</v>
      </c>
      <c r="M934" s="21"/>
      <c r="N934" s="21"/>
      <c r="O934" s="21" t="s">
        <v>1806</v>
      </c>
      <c r="P934" s="21" t="s">
        <v>54</v>
      </c>
      <c r="Q934" s="28">
        <v>46135</v>
      </c>
      <c r="R934" s="29">
        <v>46134.4709722222</v>
      </c>
      <c r="S934" s="21" t="s">
        <v>77</v>
      </c>
      <c r="T934" s="21"/>
      <c r="U934" s="21" t="s">
        <v>74</v>
      </c>
      <c r="V934" s="29">
        <v>46134.4709259259</v>
      </c>
      <c r="W934">
        <f>VLOOKUP(H934,物料編碼!A:B,2,0)</f>
        <v>1300609001</v>
      </c>
      <c r="X934">
        <v>1300609</v>
      </c>
      <c r="Y934" t="str">
        <f>VLOOKUP(X934,物料編碼!D:G,4,0)</f>
        <v>去皮上腿肉</v>
      </c>
      <c r="Z934" t="str">
        <f>VLOOKUP(C934,客戶屬性1!A:C,2,0)</f>
        <v>恒辉贸易公司</v>
      </c>
      <c r="AA934">
        <f>IF(COUNTIF($O$1:O934,O934)=1,L934,0)</f>
        <v>0</v>
      </c>
    </row>
    <row r="935" customHeight="1" spans="1:27">
      <c r="A935" s="21" t="s">
        <v>1807</v>
      </c>
      <c r="B935" s="21" t="s">
        <v>45</v>
      </c>
      <c r="C935" s="21" t="s">
        <v>141</v>
      </c>
      <c r="D935" s="21" t="s">
        <v>142</v>
      </c>
      <c r="E935" s="21" t="s">
        <v>142</v>
      </c>
      <c r="F935" s="21" t="s">
        <v>143</v>
      </c>
      <c r="G935" s="21" t="s">
        <v>100</v>
      </c>
      <c r="H935" s="21" t="s">
        <v>298</v>
      </c>
      <c r="I935" s="26">
        <v>1</v>
      </c>
      <c r="J935" s="26">
        <v>10</v>
      </c>
      <c r="K935" s="21" t="s">
        <v>52</v>
      </c>
      <c r="L935" s="27">
        <v>520</v>
      </c>
      <c r="M935" s="21"/>
      <c r="N935" s="21"/>
      <c r="O935" s="21" t="s">
        <v>1808</v>
      </c>
      <c r="P935" s="21" t="s">
        <v>54</v>
      </c>
      <c r="Q935" s="28">
        <v>46135</v>
      </c>
      <c r="R935" s="29">
        <v>46134.4695486111</v>
      </c>
      <c r="S935" s="21" t="s">
        <v>145</v>
      </c>
      <c r="T935" s="21"/>
      <c r="U935" s="21" t="s">
        <v>142</v>
      </c>
      <c r="V935" s="29">
        <v>46134.4695023148</v>
      </c>
      <c r="W935">
        <f>VLOOKUP(H935,物料編碼!A:B,2,0)</f>
        <v>1300111003</v>
      </c>
      <c r="X935">
        <v>1300111</v>
      </c>
      <c r="Y935" t="str">
        <f>VLOOKUP(X935,物料編碼!D:G,4,0)</f>
        <v>寸骨</v>
      </c>
      <c r="Z935" t="str">
        <f>VLOOKUP(C935,客戶屬性1!A:C,2,0)</f>
        <v>新昌冻肉</v>
      </c>
      <c r="AA935">
        <f>IF(COUNTIF($O$1:O935,O935)=1,L935,0)</f>
        <v>520</v>
      </c>
    </row>
    <row r="936" customHeight="1" spans="1:27">
      <c r="A936" s="21" t="s">
        <v>1809</v>
      </c>
      <c r="B936" s="21" t="s">
        <v>45</v>
      </c>
      <c r="C936" s="21" t="s">
        <v>141</v>
      </c>
      <c r="D936" s="21" t="s">
        <v>142</v>
      </c>
      <c r="E936" s="21" t="s">
        <v>142</v>
      </c>
      <c r="F936" s="21" t="s">
        <v>143</v>
      </c>
      <c r="G936" s="21" t="s">
        <v>100</v>
      </c>
      <c r="H936" s="21" t="s">
        <v>168</v>
      </c>
      <c r="I936" s="26">
        <v>1</v>
      </c>
      <c r="J936" s="26">
        <v>10</v>
      </c>
      <c r="K936" s="21" t="s">
        <v>52</v>
      </c>
      <c r="L936" s="27">
        <v>762.1</v>
      </c>
      <c r="M936" s="21"/>
      <c r="N936" s="21"/>
      <c r="O936" s="21" t="s">
        <v>1810</v>
      </c>
      <c r="P936" s="21" t="s">
        <v>54</v>
      </c>
      <c r="Q936" s="28">
        <v>46135</v>
      </c>
      <c r="R936" s="29">
        <v>46134.4686574074</v>
      </c>
      <c r="S936" s="21" t="s">
        <v>145</v>
      </c>
      <c r="T936" s="21"/>
      <c r="U936" s="21" t="s">
        <v>142</v>
      </c>
      <c r="V936" s="29">
        <v>46134.4686111111</v>
      </c>
      <c r="W936">
        <f>VLOOKUP(H936,物料編碼!A:B,2,0)</f>
        <v>1300627002</v>
      </c>
      <c r="X936">
        <v>1300627</v>
      </c>
      <c r="Y936" t="str">
        <f>VLOOKUP(X936,物料編碼!D:G,4,0)</f>
        <v>翅尖</v>
      </c>
      <c r="Z936" t="str">
        <f>VLOOKUP(C936,客戶屬性1!A:C,2,0)</f>
        <v>新昌冻肉</v>
      </c>
      <c r="AA936">
        <f>IF(COUNTIF($O$1:O936,O936)=1,L936,0)</f>
        <v>762.1</v>
      </c>
    </row>
    <row r="937" customHeight="1" spans="1:27">
      <c r="A937" s="21" t="s">
        <v>1809</v>
      </c>
      <c r="B937" s="21" t="s">
        <v>45</v>
      </c>
      <c r="C937" s="21" t="s">
        <v>141</v>
      </c>
      <c r="D937" s="21" t="s">
        <v>142</v>
      </c>
      <c r="E937" s="21" t="s">
        <v>142</v>
      </c>
      <c r="F937" s="21" t="s">
        <v>143</v>
      </c>
      <c r="G937" s="21" t="s">
        <v>100</v>
      </c>
      <c r="H937" s="21" t="s">
        <v>117</v>
      </c>
      <c r="I937" s="26">
        <v>3</v>
      </c>
      <c r="J937" s="26">
        <v>45</v>
      </c>
      <c r="K937" s="21" t="s">
        <v>52</v>
      </c>
      <c r="L937" s="27">
        <v>762.1</v>
      </c>
      <c r="M937" s="21"/>
      <c r="N937" s="21"/>
      <c r="O937" s="21" t="s">
        <v>1810</v>
      </c>
      <c r="P937" s="21" t="s">
        <v>54</v>
      </c>
      <c r="Q937" s="28">
        <v>46135</v>
      </c>
      <c r="R937" s="29">
        <v>46134.4686574074</v>
      </c>
      <c r="S937" s="21" t="s">
        <v>145</v>
      </c>
      <c r="T937" s="21"/>
      <c r="U937" s="21" t="s">
        <v>142</v>
      </c>
      <c r="V937" s="29">
        <v>46134.4686111111</v>
      </c>
      <c r="W937">
        <f>VLOOKUP(H937,物料編碼!A:B,2,0)</f>
        <v>1300607015</v>
      </c>
      <c r="X937">
        <v>1300607</v>
      </c>
      <c r="Y937" t="str">
        <f>VLOOKUP(X937,物料編碼!D:G,4,0)</f>
        <v>帶皮腿扒</v>
      </c>
      <c r="Z937" t="str">
        <f>VLOOKUP(C937,客戶屬性1!A:C,2,0)</f>
        <v>新昌冻肉</v>
      </c>
      <c r="AA937">
        <f>IF(COUNTIF($O$1:O937,O937)=1,L937,0)</f>
        <v>0</v>
      </c>
    </row>
    <row r="938" customHeight="1" spans="1:27">
      <c r="A938" s="21" t="s">
        <v>1811</v>
      </c>
      <c r="B938" s="21" t="s">
        <v>45</v>
      </c>
      <c r="C938" s="21" t="s">
        <v>97</v>
      </c>
      <c r="D938" s="21" t="s">
        <v>98</v>
      </c>
      <c r="E938" s="21" t="s">
        <v>99</v>
      </c>
      <c r="F938" s="21" t="s">
        <v>49</v>
      </c>
      <c r="G938" s="21" t="s">
        <v>100</v>
      </c>
      <c r="H938" s="21" t="s">
        <v>1019</v>
      </c>
      <c r="I938" s="26">
        <v>2</v>
      </c>
      <c r="J938" s="26">
        <v>20</v>
      </c>
      <c r="K938" s="21" t="s">
        <v>52</v>
      </c>
      <c r="L938" s="27">
        <v>656</v>
      </c>
      <c r="M938" s="21"/>
      <c r="N938" s="21"/>
      <c r="O938" s="21" t="s">
        <v>1812</v>
      </c>
      <c r="P938" s="21" t="s">
        <v>54</v>
      </c>
      <c r="Q938" s="28">
        <v>46134</v>
      </c>
      <c r="R938" s="29">
        <v>46134.4552430556</v>
      </c>
      <c r="S938" s="21" t="s">
        <v>103</v>
      </c>
      <c r="T938" s="21"/>
      <c r="U938" s="21" t="s">
        <v>99</v>
      </c>
      <c r="V938" s="29">
        <v>46134.4551967593</v>
      </c>
      <c r="W938">
        <f>VLOOKUP(H938,物料編碼!A:B,2,0)</f>
        <v>1800108095</v>
      </c>
      <c r="X938">
        <v>1800108</v>
      </c>
      <c r="Y938" t="str">
        <f>VLOOKUP(X938,物料編碼!D:G,4,0)</f>
        <v>魚.其他</v>
      </c>
      <c r="Z938" t="str">
        <f>VLOOKUP(C938,客戶屬性1!A:C,2,0)</f>
        <v>三明有限公司</v>
      </c>
      <c r="AA938">
        <f>IF(COUNTIF($O$1:O938,O938)=1,L938,0)</f>
        <v>656</v>
      </c>
    </row>
    <row r="939" customHeight="1" spans="1:27">
      <c r="A939" s="21" t="s">
        <v>1813</v>
      </c>
      <c r="B939" s="21" t="s">
        <v>45</v>
      </c>
      <c r="C939" s="21" t="s">
        <v>1814</v>
      </c>
      <c r="D939" s="21" t="s">
        <v>371</v>
      </c>
      <c r="E939" s="21" t="e">
        <v>#N/A</v>
      </c>
      <c r="F939" s="21" t="s">
        <v>49</v>
      </c>
      <c r="G939" s="21" t="s">
        <v>89</v>
      </c>
      <c r="H939" s="21" t="s">
        <v>75</v>
      </c>
      <c r="I939" s="26">
        <v>20</v>
      </c>
      <c r="J939" s="26">
        <v>300</v>
      </c>
      <c r="K939" s="21" t="s">
        <v>52</v>
      </c>
      <c r="L939" s="27">
        <v>3837</v>
      </c>
      <c r="M939" s="21"/>
      <c r="N939" s="21"/>
      <c r="O939" s="21" t="s">
        <v>1815</v>
      </c>
      <c r="P939" s="21" t="s">
        <v>183</v>
      </c>
      <c r="Q939" s="28">
        <v>46134</v>
      </c>
      <c r="R939" s="29">
        <v>46134.4306134259</v>
      </c>
      <c r="S939" s="21" t="s">
        <v>1816</v>
      </c>
      <c r="T939" s="21"/>
      <c r="U939" s="21" t="s">
        <v>1817</v>
      </c>
      <c r="V939" s="29">
        <v>46134.4305787037</v>
      </c>
      <c r="W939">
        <f>VLOOKUP(H939,物料編碼!A:B,2,0)</f>
        <v>1300603040</v>
      </c>
      <c r="X939">
        <v>1300603</v>
      </c>
      <c r="Y939" t="str">
        <f>VLOOKUP(X939,物料編碼!D:G,4,0)</f>
        <v>帶骨全腿</v>
      </c>
      <c r="Z939" t="str">
        <f>VLOOKUP(C939,客戶屬性1!A:C,2,0)</f>
        <v>运兴泰有限公司</v>
      </c>
      <c r="AA939">
        <f>IF(COUNTIF($O$1:O939,O939)=1,L939,0)</f>
        <v>3837</v>
      </c>
    </row>
    <row r="940" customHeight="1" spans="1:27">
      <c r="A940" s="21" t="s">
        <v>1818</v>
      </c>
      <c r="B940" s="21" t="s">
        <v>45</v>
      </c>
      <c r="C940" s="21" t="s">
        <v>126</v>
      </c>
      <c r="D940" s="21" t="s">
        <v>127</v>
      </c>
      <c r="E940" s="21" t="s">
        <v>128</v>
      </c>
      <c r="F940" s="21" t="s">
        <v>49</v>
      </c>
      <c r="G940" s="21" t="s">
        <v>129</v>
      </c>
      <c r="H940" s="21" t="s">
        <v>117</v>
      </c>
      <c r="I940" s="26">
        <v>20</v>
      </c>
      <c r="J940" s="26">
        <v>300</v>
      </c>
      <c r="K940" s="21" t="s">
        <v>52</v>
      </c>
      <c r="L940" s="27">
        <v>4434</v>
      </c>
      <c r="M940" s="21"/>
      <c r="N940" s="21"/>
      <c r="O940" s="21" t="s">
        <v>1819</v>
      </c>
      <c r="P940" s="21" t="s">
        <v>54</v>
      </c>
      <c r="Q940" s="28">
        <v>46134</v>
      </c>
      <c r="R940" s="29">
        <v>46134.4004976852</v>
      </c>
      <c r="S940" s="21" t="s">
        <v>131</v>
      </c>
      <c r="T940" s="21"/>
      <c r="U940" s="21" t="s">
        <v>127</v>
      </c>
      <c r="V940" s="29">
        <v>46134.4004513889</v>
      </c>
      <c r="W940">
        <f>VLOOKUP(H940,物料編碼!A:B,2,0)</f>
        <v>1300607015</v>
      </c>
      <c r="X940">
        <v>1300607</v>
      </c>
      <c r="Y940" t="str">
        <f>VLOOKUP(X940,物料編碼!D:G,4,0)</f>
        <v>帶皮腿扒</v>
      </c>
      <c r="Z940" t="str">
        <f>VLOOKUP(C940,客戶屬性1!A:C,2,0)</f>
        <v>福源食品有限公司</v>
      </c>
      <c r="AA940">
        <f>IF(COUNTIF($O$1:O940,O940)=1,L940,0)</f>
        <v>4434</v>
      </c>
    </row>
    <row r="941" customHeight="1" spans="1:27">
      <c r="A941" s="21" t="s">
        <v>1820</v>
      </c>
      <c r="B941" s="21" t="s">
        <v>45</v>
      </c>
      <c r="C941" s="21" t="s">
        <v>72</v>
      </c>
      <c r="D941" s="21" t="s">
        <v>73</v>
      </c>
      <c r="E941" s="21" t="s">
        <v>74</v>
      </c>
      <c r="F941" s="21" t="s">
        <v>49</v>
      </c>
      <c r="G941" s="21" t="s">
        <v>50</v>
      </c>
      <c r="H941" s="21" t="s">
        <v>450</v>
      </c>
      <c r="I941" s="26">
        <v>1</v>
      </c>
      <c r="J941" s="26">
        <v>20</v>
      </c>
      <c r="K941" s="21" t="s">
        <v>52</v>
      </c>
      <c r="L941" s="27">
        <v>1600</v>
      </c>
      <c r="M941" s="21"/>
      <c r="N941" s="21"/>
      <c r="O941" s="21" t="s">
        <v>1821</v>
      </c>
      <c r="P941" s="21" t="s">
        <v>54</v>
      </c>
      <c r="Q941" s="28">
        <v>46134</v>
      </c>
      <c r="R941" s="29">
        <v>46134.3694444444</v>
      </c>
      <c r="S941" s="21" t="s">
        <v>81</v>
      </c>
      <c r="T941" s="21"/>
      <c r="U941" s="21" t="s">
        <v>82</v>
      </c>
      <c r="V941" s="29">
        <v>46134.3693865741</v>
      </c>
      <c r="W941">
        <f>VLOOKUP(H941,物料編碼!A:B,2,0)</f>
        <v>1300501019</v>
      </c>
      <c r="X941">
        <v>1300501</v>
      </c>
      <c r="Y941" t="str">
        <f>VLOOKUP(X941,物料編碼!D:G,4,0)</f>
        <v>羊排</v>
      </c>
      <c r="Z941" t="str">
        <f>VLOOKUP(C941,客戶屬性1!A:C,2,0)</f>
        <v>恒辉贸易公司</v>
      </c>
      <c r="AA941">
        <f>IF(COUNTIF($O$1:O941,O941)=1,L941,0)</f>
        <v>1600</v>
      </c>
    </row>
    <row r="942" customHeight="1" spans="1:27">
      <c r="A942" s="21" t="s">
        <v>1822</v>
      </c>
      <c r="B942" s="21" t="s">
        <v>45</v>
      </c>
      <c r="C942" s="21" t="s">
        <v>114</v>
      </c>
      <c r="D942" s="21" t="s">
        <v>115</v>
      </c>
      <c r="E942" s="21" t="s">
        <v>116</v>
      </c>
      <c r="F942" s="21" t="s">
        <v>49</v>
      </c>
      <c r="G942" s="21" t="s">
        <v>100</v>
      </c>
      <c r="H942" s="21" t="s">
        <v>117</v>
      </c>
      <c r="I942" s="26">
        <v>1</v>
      </c>
      <c r="J942" s="26">
        <v>15</v>
      </c>
      <c r="K942" s="21" t="s">
        <v>52</v>
      </c>
      <c r="L942" s="27">
        <v>221.7</v>
      </c>
      <c r="M942" s="21"/>
      <c r="N942" s="21"/>
      <c r="O942" s="21" t="s">
        <v>1823</v>
      </c>
      <c r="P942" s="21" t="s">
        <v>54</v>
      </c>
      <c r="Q942" s="28">
        <v>46134</v>
      </c>
      <c r="R942" s="29">
        <v>46133.4725694444</v>
      </c>
      <c r="S942" s="21" t="s">
        <v>119</v>
      </c>
      <c r="T942" s="21"/>
      <c r="U942" s="21" t="s">
        <v>115</v>
      </c>
      <c r="V942" s="29">
        <v>46133.4725231481</v>
      </c>
      <c r="W942">
        <f>VLOOKUP(H942,物料編碼!A:B,2,0)</f>
        <v>1300607015</v>
      </c>
      <c r="X942">
        <v>1300607</v>
      </c>
      <c r="Y942" t="str">
        <f>VLOOKUP(X942,物料編碼!D:G,4,0)</f>
        <v>帶皮腿扒</v>
      </c>
      <c r="Z942" t="str">
        <f>VLOOKUP(C942,客戶屬性1!A:C,2,0)</f>
        <v>骏利贸易公司</v>
      </c>
      <c r="AA942">
        <f>IF(COUNTIF($O$1:O942,O942)=1,L942,0)</f>
        <v>221.7</v>
      </c>
    </row>
    <row r="943" customHeight="1" spans="1:27">
      <c r="A943" s="21" t="s">
        <v>1824</v>
      </c>
      <c r="B943" s="21" t="s">
        <v>45</v>
      </c>
      <c r="C943" s="21" t="s">
        <v>141</v>
      </c>
      <c r="D943" s="21" t="s">
        <v>142</v>
      </c>
      <c r="E943" s="21" t="s">
        <v>142</v>
      </c>
      <c r="F943" s="21" t="s">
        <v>143</v>
      </c>
      <c r="G943" s="21" t="s">
        <v>100</v>
      </c>
      <c r="H943" s="21" t="s">
        <v>60</v>
      </c>
      <c r="I943" s="26">
        <v>1</v>
      </c>
      <c r="J943" s="26">
        <v>25</v>
      </c>
      <c r="K943" s="21" t="s">
        <v>52</v>
      </c>
      <c r="L943" s="27">
        <v>1682.1</v>
      </c>
      <c r="M943" s="21"/>
      <c r="N943" s="21"/>
      <c r="O943" s="21" t="s">
        <v>1825</v>
      </c>
      <c r="P943" s="21" t="s">
        <v>54</v>
      </c>
      <c r="Q943" s="28">
        <v>46134</v>
      </c>
      <c r="R943" s="29">
        <v>46133.4697569444</v>
      </c>
      <c r="S943" s="21" t="s">
        <v>145</v>
      </c>
      <c r="T943" s="21"/>
      <c r="U943" s="21" t="s">
        <v>142</v>
      </c>
      <c r="V943" s="29">
        <v>46133.4697106481</v>
      </c>
      <c r="W943">
        <f>VLOOKUP(H943,物料編碼!A:B,2,0)</f>
        <v>1300101043</v>
      </c>
      <c r="X943">
        <v>1300101</v>
      </c>
      <c r="Y943" t="str">
        <f>VLOOKUP(X943,物料編碼!D:G,4,0)</f>
        <v>一號肉</v>
      </c>
      <c r="Z943" t="str">
        <f>VLOOKUP(C943,客戶屬性1!A:C,2,0)</f>
        <v>新昌冻肉</v>
      </c>
      <c r="AA943">
        <f>IF(COUNTIF($O$1:O943,O943)=1,L943,0)</f>
        <v>1682.1</v>
      </c>
    </row>
    <row r="944" customHeight="1" spans="1:27">
      <c r="A944" s="21" t="s">
        <v>1824</v>
      </c>
      <c r="B944" s="21" t="s">
        <v>45</v>
      </c>
      <c r="C944" s="21" t="s">
        <v>141</v>
      </c>
      <c r="D944" s="21" t="s">
        <v>142</v>
      </c>
      <c r="E944" s="21" t="s">
        <v>142</v>
      </c>
      <c r="F944" s="21" t="s">
        <v>143</v>
      </c>
      <c r="G944" s="21" t="s">
        <v>100</v>
      </c>
      <c r="H944" s="21" t="s">
        <v>168</v>
      </c>
      <c r="I944" s="26">
        <v>1</v>
      </c>
      <c r="J944" s="26">
        <v>10</v>
      </c>
      <c r="K944" s="21" t="s">
        <v>52</v>
      </c>
      <c r="L944" s="27">
        <v>1682.1</v>
      </c>
      <c r="M944" s="21"/>
      <c r="N944" s="21"/>
      <c r="O944" s="21" t="s">
        <v>1825</v>
      </c>
      <c r="P944" s="21" t="s">
        <v>54</v>
      </c>
      <c r="Q944" s="28">
        <v>46134</v>
      </c>
      <c r="R944" s="29">
        <v>46133.4697569444</v>
      </c>
      <c r="S944" s="21" t="s">
        <v>145</v>
      </c>
      <c r="T944" s="21"/>
      <c r="U944" s="21" t="s">
        <v>142</v>
      </c>
      <c r="V944" s="29">
        <v>46133.4697106481</v>
      </c>
      <c r="W944">
        <f>VLOOKUP(H944,物料編碼!A:B,2,0)</f>
        <v>1300627002</v>
      </c>
      <c r="X944">
        <v>1300627</v>
      </c>
      <c r="Y944" t="str">
        <f>VLOOKUP(X944,物料編碼!D:G,4,0)</f>
        <v>翅尖</v>
      </c>
      <c r="Z944" t="str">
        <f>VLOOKUP(C944,客戶屬性1!A:C,2,0)</f>
        <v>新昌冻肉</v>
      </c>
      <c r="AA944">
        <f>IF(COUNTIF($O$1:O944,O944)=1,L944,0)</f>
        <v>0</v>
      </c>
    </row>
    <row r="945" customHeight="1" spans="1:27">
      <c r="A945" s="21" t="s">
        <v>1824</v>
      </c>
      <c r="B945" s="21" t="s">
        <v>45</v>
      </c>
      <c r="C945" s="21" t="s">
        <v>141</v>
      </c>
      <c r="D945" s="21" t="s">
        <v>142</v>
      </c>
      <c r="E945" s="21" t="s">
        <v>142</v>
      </c>
      <c r="F945" s="21" t="s">
        <v>143</v>
      </c>
      <c r="G945" s="21" t="s">
        <v>100</v>
      </c>
      <c r="H945" s="21" t="s">
        <v>117</v>
      </c>
      <c r="I945" s="26">
        <v>3</v>
      </c>
      <c r="J945" s="26">
        <v>45</v>
      </c>
      <c r="K945" s="21" t="s">
        <v>52</v>
      </c>
      <c r="L945" s="27">
        <v>1682.1</v>
      </c>
      <c r="M945" s="21"/>
      <c r="N945" s="21"/>
      <c r="O945" s="21" t="s">
        <v>1825</v>
      </c>
      <c r="P945" s="21" t="s">
        <v>54</v>
      </c>
      <c r="Q945" s="28">
        <v>46134</v>
      </c>
      <c r="R945" s="29">
        <v>46133.4697569444</v>
      </c>
      <c r="S945" s="21" t="s">
        <v>145</v>
      </c>
      <c r="T945" s="21"/>
      <c r="U945" s="21" t="s">
        <v>142</v>
      </c>
      <c r="V945" s="29">
        <v>46133.4697106481</v>
      </c>
      <c r="W945">
        <f>VLOOKUP(H945,物料編碼!A:B,2,0)</f>
        <v>1300607015</v>
      </c>
      <c r="X945">
        <v>1300607</v>
      </c>
      <c r="Y945" t="str">
        <f>VLOOKUP(X945,物料編碼!D:G,4,0)</f>
        <v>帶皮腿扒</v>
      </c>
      <c r="Z945" t="str">
        <f>VLOOKUP(C945,客戶屬性1!A:C,2,0)</f>
        <v>新昌冻肉</v>
      </c>
      <c r="AA945">
        <f>IF(COUNTIF($O$1:O945,O945)=1,L945,0)</f>
        <v>0</v>
      </c>
    </row>
    <row r="946" customHeight="1" spans="1:27">
      <c r="A946" s="21" t="s">
        <v>1826</v>
      </c>
      <c r="B946" s="21" t="s">
        <v>45</v>
      </c>
      <c r="C946" s="21" t="s">
        <v>235</v>
      </c>
      <c r="D946" s="21" t="s">
        <v>236</v>
      </c>
      <c r="E946" s="21" t="s">
        <v>237</v>
      </c>
      <c r="F946" s="21" t="s">
        <v>49</v>
      </c>
      <c r="G946" s="21" t="s">
        <v>238</v>
      </c>
      <c r="H946" s="21" t="s">
        <v>190</v>
      </c>
      <c r="I946" s="26">
        <v>5</v>
      </c>
      <c r="J946" s="26">
        <v>60</v>
      </c>
      <c r="K946" s="21" t="s">
        <v>52</v>
      </c>
      <c r="L946" s="27">
        <v>942</v>
      </c>
      <c r="M946" s="21"/>
      <c r="N946" s="21"/>
      <c r="O946" s="21" t="s">
        <v>1827</v>
      </c>
      <c r="P946" s="21" t="s">
        <v>54</v>
      </c>
      <c r="Q946" s="28">
        <v>46133</v>
      </c>
      <c r="R946" s="29">
        <v>46133.4391435185</v>
      </c>
      <c r="S946" s="21" t="s">
        <v>241</v>
      </c>
      <c r="T946" s="21"/>
      <c r="U946" s="21" t="s">
        <v>237</v>
      </c>
      <c r="V946" s="29">
        <v>46133.4390972222</v>
      </c>
      <c r="W946">
        <f>VLOOKUP(H946,物料編碼!A:B,2,0)</f>
        <v>1300609001</v>
      </c>
      <c r="X946">
        <v>1300609</v>
      </c>
      <c r="Y946" t="str">
        <f>VLOOKUP(X946,物料編碼!D:G,4,0)</f>
        <v>去皮上腿肉</v>
      </c>
      <c r="Z946" t="str">
        <f>VLOOKUP(C946,客戶屬性1!A:C,2,0)</f>
        <v>联合林记食品有限公司</v>
      </c>
      <c r="AA946">
        <f>IF(COUNTIF($O$1:O946,O946)=1,L946,0)</f>
        <v>942</v>
      </c>
    </row>
    <row r="947" customHeight="1" spans="1:27">
      <c r="A947" s="21" t="s">
        <v>1828</v>
      </c>
      <c r="B947" s="21" t="s">
        <v>45</v>
      </c>
      <c r="C947" s="21" t="s">
        <v>72</v>
      </c>
      <c r="D947" s="21" t="s">
        <v>73</v>
      </c>
      <c r="E947" s="21" t="s">
        <v>74</v>
      </c>
      <c r="F947" s="21" t="s">
        <v>49</v>
      </c>
      <c r="G947" s="21" t="s">
        <v>50</v>
      </c>
      <c r="H947" s="21" t="s">
        <v>78</v>
      </c>
      <c r="I947" s="26">
        <v>1</v>
      </c>
      <c r="J947" s="26">
        <v>15</v>
      </c>
      <c r="K947" s="21" t="s">
        <v>52</v>
      </c>
      <c r="L947" s="27">
        <v>220.2</v>
      </c>
      <c r="M947" s="21"/>
      <c r="N947" s="21"/>
      <c r="O947" s="21" t="s">
        <v>1829</v>
      </c>
      <c r="P947" s="21" t="s">
        <v>54</v>
      </c>
      <c r="Q947" s="28">
        <v>46133</v>
      </c>
      <c r="R947" s="29">
        <v>46133.4137268519</v>
      </c>
      <c r="S947" s="21" t="s">
        <v>377</v>
      </c>
      <c r="T947" s="21"/>
      <c r="U947" s="21" t="s">
        <v>82</v>
      </c>
      <c r="V947" s="29">
        <v>46133.4136574074</v>
      </c>
      <c r="W947">
        <f>VLOOKUP(H947,物料編碼!A:B,2,0)</f>
        <v>1300607014</v>
      </c>
      <c r="X947">
        <v>1300607</v>
      </c>
      <c r="Y947" t="str">
        <f>VLOOKUP(X947,物料編碼!D:G,4,0)</f>
        <v>帶皮腿扒</v>
      </c>
      <c r="Z947" t="str">
        <f>VLOOKUP(C947,客戶屬性1!A:C,2,0)</f>
        <v>恒辉贸易公司</v>
      </c>
      <c r="AA947">
        <f>IF(COUNTIF($O$1:O947,O947)=1,L947,0)</f>
        <v>220.2</v>
      </c>
    </row>
    <row r="948" customHeight="1" spans="1:27">
      <c r="A948" s="21" t="s">
        <v>1830</v>
      </c>
      <c r="B948" s="21" t="s">
        <v>45</v>
      </c>
      <c r="C948" s="21" t="s">
        <v>1072</v>
      </c>
      <c r="D948" s="21" t="s">
        <v>1073</v>
      </c>
      <c r="E948" s="21" t="s">
        <v>1074</v>
      </c>
      <c r="F948" s="21" t="s">
        <v>49</v>
      </c>
      <c r="G948" s="21" t="s">
        <v>238</v>
      </c>
      <c r="H948" s="21" t="s">
        <v>190</v>
      </c>
      <c r="I948" s="26">
        <v>20</v>
      </c>
      <c r="J948" s="26">
        <v>240</v>
      </c>
      <c r="K948" s="21" t="s">
        <v>52</v>
      </c>
      <c r="L948" s="27">
        <v>3768</v>
      </c>
      <c r="M948" s="21"/>
      <c r="N948" s="21"/>
      <c r="O948" s="21" t="s">
        <v>1831</v>
      </c>
      <c r="P948" s="21" t="s">
        <v>54</v>
      </c>
      <c r="Q948" s="28">
        <v>46133</v>
      </c>
      <c r="R948" s="29">
        <v>46132.6509837963</v>
      </c>
      <c r="S948" s="21" t="s">
        <v>1076</v>
      </c>
      <c r="T948" s="21"/>
      <c r="U948" s="21" t="s">
        <v>1077</v>
      </c>
      <c r="V948" s="29">
        <v>46132.6509375</v>
      </c>
      <c r="W948">
        <f>VLOOKUP(H948,物料編碼!A:B,2,0)</f>
        <v>1300609001</v>
      </c>
      <c r="X948">
        <v>1300609</v>
      </c>
      <c r="Y948" t="str">
        <f>VLOOKUP(X948,物料編碼!D:G,4,0)</f>
        <v>去皮上腿肉</v>
      </c>
      <c r="Z948" t="str">
        <f>VLOOKUP(C948,客戶屬性1!A:C,2,0)</f>
        <v>昭楠贸易有限公司</v>
      </c>
      <c r="AA948">
        <f>IF(COUNTIF($O$1:O948,O948)=1,L948,0)</f>
        <v>3768</v>
      </c>
    </row>
    <row r="949" customHeight="1" spans="1:27">
      <c r="A949" s="21" t="s">
        <v>1832</v>
      </c>
      <c r="B949" s="21" t="s">
        <v>45</v>
      </c>
      <c r="C949" s="21" t="s">
        <v>72</v>
      </c>
      <c r="D949" s="21" t="s">
        <v>73</v>
      </c>
      <c r="E949" s="21" t="s">
        <v>74</v>
      </c>
      <c r="F949" s="21" t="s">
        <v>49</v>
      </c>
      <c r="G949" s="21" t="s">
        <v>50</v>
      </c>
      <c r="H949" s="21" t="s">
        <v>1541</v>
      </c>
      <c r="I949" s="26">
        <v>1</v>
      </c>
      <c r="J949" s="26">
        <v>14.4</v>
      </c>
      <c r="K949" s="21" t="s">
        <v>52</v>
      </c>
      <c r="L949" s="27">
        <v>155.52</v>
      </c>
      <c r="M949" s="21"/>
      <c r="N949" s="21"/>
      <c r="O949" s="21" t="s">
        <v>1833</v>
      </c>
      <c r="P949" s="21" t="s">
        <v>54</v>
      </c>
      <c r="Q949" s="28">
        <v>46133</v>
      </c>
      <c r="R949" s="29">
        <v>46132.5011342593</v>
      </c>
      <c r="S949" s="21" t="s">
        <v>77</v>
      </c>
      <c r="T949" s="21"/>
      <c r="U949" s="21" t="s">
        <v>74</v>
      </c>
      <c r="V949" s="29">
        <v>46132.501087963</v>
      </c>
      <c r="W949">
        <f>VLOOKUP(H949,物料編碼!A:B,2,0)</f>
        <v>1300901006</v>
      </c>
      <c r="X949">
        <v>1300901</v>
      </c>
      <c r="Y949" t="str">
        <f>VLOOKUP(X949,物料編碼!D:G,4,0)</f>
        <v>整鴨</v>
      </c>
      <c r="Z949" t="str">
        <f>VLOOKUP(C949,客戶屬性1!A:C,2,0)</f>
        <v>恒辉贸易公司</v>
      </c>
      <c r="AA949">
        <f>IF(COUNTIF($O$1:O949,O949)=1,L949,0)</f>
        <v>155.52</v>
      </c>
    </row>
    <row r="950" customHeight="1" spans="1:27">
      <c r="A950" s="21" t="s">
        <v>1834</v>
      </c>
      <c r="B950" s="21" t="s">
        <v>45</v>
      </c>
      <c r="C950" s="21" t="s">
        <v>141</v>
      </c>
      <c r="D950" s="21" t="s">
        <v>142</v>
      </c>
      <c r="E950" s="21" t="s">
        <v>142</v>
      </c>
      <c r="F950" s="21" t="s">
        <v>143</v>
      </c>
      <c r="G950" s="21" t="s">
        <v>100</v>
      </c>
      <c r="H950" s="21" t="s">
        <v>117</v>
      </c>
      <c r="I950" s="26">
        <v>3</v>
      </c>
      <c r="J950" s="26">
        <v>45</v>
      </c>
      <c r="K950" s="21" t="s">
        <v>52</v>
      </c>
      <c r="L950" s="27">
        <v>762.1</v>
      </c>
      <c r="M950" s="21"/>
      <c r="N950" s="21"/>
      <c r="O950" s="21" t="s">
        <v>1835</v>
      </c>
      <c r="P950" s="21" t="s">
        <v>54</v>
      </c>
      <c r="Q950" s="28">
        <v>46133</v>
      </c>
      <c r="R950" s="29">
        <v>46132.488900463</v>
      </c>
      <c r="S950" s="21" t="s">
        <v>145</v>
      </c>
      <c r="T950" s="21"/>
      <c r="U950" s="21" t="s">
        <v>142</v>
      </c>
      <c r="V950" s="29">
        <v>46132.4888541667</v>
      </c>
      <c r="W950">
        <f>VLOOKUP(H950,物料編碼!A:B,2,0)</f>
        <v>1300607015</v>
      </c>
      <c r="X950">
        <v>1300607</v>
      </c>
      <c r="Y950" t="str">
        <f>VLOOKUP(X950,物料編碼!D:G,4,0)</f>
        <v>帶皮腿扒</v>
      </c>
      <c r="Z950" t="str">
        <f>VLOOKUP(C950,客戶屬性1!A:C,2,0)</f>
        <v>新昌冻肉</v>
      </c>
      <c r="AA950">
        <f>IF(COUNTIF($O$1:O950,O950)=1,L950,0)</f>
        <v>762.1</v>
      </c>
    </row>
    <row r="951" customHeight="1" spans="1:27">
      <c r="A951" s="21" t="s">
        <v>1834</v>
      </c>
      <c r="B951" s="21" t="s">
        <v>45</v>
      </c>
      <c r="C951" s="21" t="s">
        <v>141</v>
      </c>
      <c r="D951" s="21" t="s">
        <v>142</v>
      </c>
      <c r="E951" s="21" t="s">
        <v>142</v>
      </c>
      <c r="F951" s="21" t="s">
        <v>143</v>
      </c>
      <c r="G951" s="21" t="s">
        <v>100</v>
      </c>
      <c r="H951" s="21" t="s">
        <v>168</v>
      </c>
      <c r="I951" s="26">
        <v>1</v>
      </c>
      <c r="J951" s="26">
        <v>10</v>
      </c>
      <c r="K951" s="21" t="s">
        <v>52</v>
      </c>
      <c r="L951" s="27">
        <v>762.1</v>
      </c>
      <c r="M951" s="21"/>
      <c r="N951" s="21"/>
      <c r="O951" s="21" t="s">
        <v>1835</v>
      </c>
      <c r="P951" s="21" t="s">
        <v>54</v>
      </c>
      <c r="Q951" s="28">
        <v>46133</v>
      </c>
      <c r="R951" s="29">
        <v>46132.488900463</v>
      </c>
      <c r="S951" s="21" t="s">
        <v>145</v>
      </c>
      <c r="T951" s="21"/>
      <c r="U951" s="21" t="s">
        <v>142</v>
      </c>
      <c r="V951" s="29">
        <v>46132.4888541667</v>
      </c>
      <c r="W951">
        <f>VLOOKUP(H951,物料編碼!A:B,2,0)</f>
        <v>1300627002</v>
      </c>
      <c r="X951">
        <v>1300627</v>
      </c>
      <c r="Y951" t="str">
        <f>VLOOKUP(X951,物料編碼!D:G,4,0)</f>
        <v>翅尖</v>
      </c>
      <c r="Z951" t="str">
        <f>VLOOKUP(C951,客戶屬性1!A:C,2,0)</f>
        <v>新昌冻肉</v>
      </c>
      <c r="AA951">
        <f>IF(COUNTIF($O$1:O951,O951)=1,L951,0)</f>
        <v>0</v>
      </c>
    </row>
    <row r="952" customHeight="1" spans="1:27">
      <c r="A952" s="21" t="s">
        <v>1836</v>
      </c>
      <c r="B952" s="21" t="s">
        <v>45</v>
      </c>
      <c r="C952" s="21" t="s">
        <v>72</v>
      </c>
      <c r="D952" s="21" t="s">
        <v>73</v>
      </c>
      <c r="E952" s="21" t="s">
        <v>74</v>
      </c>
      <c r="F952" s="21" t="s">
        <v>49</v>
      </c>
      <c r="G952" s="21" t="s">
        <v>50</v>
      </c>
      <c r="H952" s="21" t="s">
        <v>75</v>
      </c>
      <c r="I952" s="26">
        <v>1</v>
      </c>
      <c r="J952" s="26">
        <v>15</v>
      </c>
      <c r="K952" s="21" t="s">
        <v>52</v>
      </c>
      <c r="L952" s="27">
        <v>191.85</v>
      </c>
      <c r="M952" s="21"/>
      <c r="N952" s="21"/>
      <c r="O952" s="21" t="s">
        <v>1837</v>
      </c>
      <c r="P952" s="21" t="s">
        <v>54</v>
      </c>
      <c r="Q952" s="28">
        <v>46133</v>
      </c>
      <c r="R952" s="29">
        <v>46132.4689699074</v>
      </c>
      <c r="S952" s="21" t="s">
        <v>77</v>
      </c>
      <c r="T952" s="21"/>
      <c r="U952" s="21" t="s">
        <v>74</v>
      </c>
      <c r="V952" s="29">
        <v>46132.468912037</v>
      </c>
      <c r="W952">
        <f>VLOOKUP(H952,物料編碼!A:B,2,0)</f>
        <v>1300603040</v>
      </c>
      <c r="X952">
        <v>1300603</v>
      </c>
      <c r="Y952" t="str">
        <f>VLOOKUP(X952,物料編碼!D:G,4,0)</f>
        <v>帶骨全腿</v>
      </c>
      <c r="Z952" t="str">
        <f>VLOOKUP(C952,客戶屬性1!A:C,2,0)</f>
        <v>恒辉贸易公司</v>
      </c>
      <c r="AA952">
        <f>IF(COUNTIF($O$1:O952,O952)=1,L952,0)</f>
        <v>191.85</v>
      </c>
    </row>
    <row r="953" customHeight="1" spans="1:27">
      <c r="A953" s="21" t="s">
        <v>1838</v>
      </c>
      <c r="B953" s="21" t="s">
        <v>45</v>
      </c>
      <c r="C953" s="21" t="s">
        <v>86</v>
      </c>
      <c r="D953" s="21" t="s">
        <v>87</v>
      </c>
      <c r="E953" s="21" t="s">
        <v>88</v>
      </c>
      <c r="F953" s="21" t="s">
        <v>49</v>
      </c>
      <c r="G953" s="21" t="s">
        <v>89</v>
      </c>
      <c r="H953" s="21" t="s">
        <v>63</v>
      </c>
      <c r="I953" s="26">
        <v>4</v>
      </c>
      <c r="J953" s="26">
        <v>100</v>
      </c>
      <c r="K953" s="21" t="s">
        <v>52</v>
      </c>
      <c r="L953" s="27">
        <v>3260</v>
      </c>
      <c r="M953" s="21"/>
      <c r="N953" s="21"/>
      <c r="O953" s="21" t="s">
        <v>1839</v>
      </c>
      <c r="P953" s="21" t="s">
        <v>54</v>
      </c>
      <c r="Q953" s="28">
        <v>46133</v>
      </c>
      <c r="R953" s="29">
        <v>46132.4442939815</v>
      </c>
      <c r="S953" s="21" t="s">
        <v>91</v>
      </c>
      <c r="T953" s="21"/>
      <c r="U953" s="21" t="s">
        <v>88</v>
      </c>
      <c r="V953" s="29">
        <v>46132.4442476852</v>
      </c>
      <c r="W953">
        <f>VLOOKUP(H953,物料編碼!A:B,2,0)</f>
        <v>1300109002</v>
      </c>
      <c r="X953">
        <v>1300109</v>
      </c>
      <c r="Y953" t="str">
        <f>VLOOKUP(X953,物料編碼!D:G,4,0)</f>
        <v>面精肉</v>
      </c>
      <c r="Z953" t="str">
        <f>VLOOKUP(C953,客戶屬性1!A:C,2,0)</f>
        <v>新城发食品有限公司</v>
      </c>
      <c r="AA953">
        <f>IF(COUNTIF($O$1:O953,O953)=1,L953,0)</f>
        <v>3260</v>
      </c>
    </row>
    <row r="954" customHeight="1" spans="1:27">
      <c r="A954" s="21" t="s">
        <v>1840</v>
      </c>
      <c r="B954" s="21" t="s">
        <v>45</v>
      </c>
      <c r="C954" s="21" t="s">
        <v>235</v>
      </c>
      <c r="D954" s="21" t="s">
        <v>236</v>
      </c>
      <c r="E954" s="21" t="s">
        <v>237</v>
      </c>
      <c r="F954" s="21" t="s">
        <v>49</v>
      </c>
      <c r="G954" s="21" t="s">
        <v>238</v>
      </c>
      <c r="H954" s="21" t="s">
        <v>190</v>
      </c>
      <c r="I954" s="26">
        <v>15</v>
      </c>
      <c r="J954" s="26">
        <v>180</v>
      </c>
      <c r="K954" s="21" t="s">
        <v>52</v>
      </c>
      <c r="L954" s="27">
        <v>2826</v>
      </c>
      <c r="M954" s="21"/>
      <c r="N954" s="21"/>
      <c r="O954" s="21" t="s">
        <v>1841</v>
      </c>
      <c r="P954" s="21" t="s">
        <v>54</v>
      </c>
      <c r="Q954" s="28">
        <v>46132</v>
      </c>
      <c r="R954" s="29">
        <v>46132.4370833333</v>
      </c>
      <c r="S954" s="21" t="s">
        <v>241</v>
      </c>
      <c r="T954" s="21"/>
      <c r="U954" s="21" t="s">
        <v>237</v>
      </c>
      <c r="V954" s="29">
        <v>46132.437037037</v>
      </c>
      <c r="W954">
        <f>VLOOKUP(H954,物料編碼!A:B,2,0)</f>
        <v>1300609001</v>
      </c>
      <c r="X954">
        <v>1300609</v>
      </c>
      <c r="Y954" t="str">
        <f>VLOOKUP(X954,物料編碼!D:G,4,0)</f>
        <v>去皮上腿肉</v>
      </c>
      <c r="Z954" t="str">
        <f>VLOOKUP(C954,客戶屬性1!A:C,2,0)</f>
        <v>联合林记食品有限公司</v>
      </c>
      <c r="AA954">
        <f>IF(COUNTIF($O$1:O954,O954)=1,L954,0)</f>
        <v>2826</v>
      </c>
    </row>
    <row r="955" customHeight="1" spans="1:27">
      <c r="A955" s="21" t="s">
        <v>1842</v>
      </c>
      <c r="B955" s="21" t="s">
        <v>45</v>
      </c>
      <c r="C955" s="21" t="s">
        <v>114</v>
      </c>
      <c r="D955" s="21" t="s">
        <v>115</v>
      </c>
      <c r="E955" s="21" t="s">
        <v>116</v>
      </c>
      <c r="F955" s="21" t="s">
        <v>49</v>
      </c>
      <c r="G955" s="21" t="s">
        <v>100</v>
      </c>
      <c r="H955" s="21" t="s">
        <v>298</v>
      </c>
      <c r="I955" s="26">
        <v>1</v>
      </c>
      <c r="J955" s="26">
        <v>10</v>
      </c>
      <c r="K955" s="21" t="s">
        <v>52</v>
      </c>
      <c r="L955" s="27">
        <v>520</v>
      </c>
      <c r="M955" s="21"/>
      <c r="N955" s="21"/>
      <c r="O955" s="21" t="s">
        <v>1843</v>
      </c>
      <c r="P955" s="21" t="s">
        <v>54</v>
      </c>
      <c r="Q955" s="28">
        <v>46132</v>
      </c>
      <c r="R955" s="29">
        <v>46132.4366550926</v>
      </c>
      <c r="S955" s="21" t="s">
        <v>119</v>
      </c>
      <c r="T955" s="21"/>
      <c r="U955" s="21" t="s">
        <v>115</v>
      </c>
      <c r="V955" s="29">
        <v>46132.4366203704</v>
      </c>
      <c r="W955">
        <f>VLOOKUP(H955,物料編碼!A:B,2,0)</f>
        <v>1300111003</v>
      </c>
      <c r="X955">
        <v>1300111</v>
      </c>
      <c r="Y955" t="str">
        <f>VLOOKUP(X955,物料編碼!D:G,4,0)</f>
        <v>寸骨</v>
      </c>
      <c r="Z955" t="str">
        <f>VLOOKUP(C955,客戶屬性1!A:C,2,0)</f>
        <v>骏利贸易公司</v>
      </c>
      <c r="AA955">
        <f>IF(COUNTIF($O$1:O955,O955)=1,L955,0)</f>
        <v>520</v>
      </c>
    </row>
    <row r="956" customHeight="1" spans="1:27">
      <c r="A956" s="21" t="s">
        <v>1844</v>
      </c>
      <c r="B956" s="21" t="s">
        <v>45</v>
      </c>
      <c r="C956" s="21" t="s">
        <v>538</v>
      </c>
      <c r="D956" s="21" t="s">
        <v>539</v>
      </c>
      <c r="E956" s="21" t="s">
        <v>540</v>
      </c>
      <c r="F956" s="21" t="s">
        <v>49</v>
      </c>
      <c r="G956" s="21" t="s">
        <v>541</v>
      </c>
      <c r="H956" s="21" t="s">
        <v>63</v>
      </c>
      <c r="I956" s="26">
        <v>2</v>
      </c>
      <c r="J956" s="26">
        <v>50</v>
      </c>
      <c r="K956" s="21" t="s">
        <v>52</v>
      </c>
      <c r="L956" s="27">
        <v>1630</v>
      </c>
      <c r="M956" s="21"/>
      <c r="N956" s="21"/>
      <c r="O956" s="21" t="s">
        <v>1845</v>
      </c>
      <c r="P956" s="21" t="s">
        <v>54</v>
      </c>
      <c r="Q956" s="28">
        <v>46132</v>
      </c>
      <c r="R956" s="29">
        <v>46132.4346412037</v>
      </c>
      <c r="S956" s="21" t="s">
        <v>543</v>
      </c>
      <c r="T956" s="21"/>
      <c r="U956" s="21" t="s">
        <v>539</v>
      </c>
      <c r="V956" s="29">
        <v>46132.4345833333</v>
      </c>
      <c r="W956">
        <f>VLOOKUP(H956,物料編碼!A:B,2,0)</f>
        <v>1300109002</v>
      </c>
      <c r="X956">
        <v>1300109</v>
      </c>
      <c r="Y956" t="str">
        <f>VLOOKUP(X956,物料編碼!D:G,4,0)</f>
        <v>面精肉</v>
      </c>
      <c r="Z956" t="str">
        <f>VLOOKUP(C956,客戶屬性1!A:C,2,0)</f>
        <v>诚信冻肉有限公司</v>
      </c>
      <c r="AA956">
        <f>IF(COUNTIF($O$1:O956,O956)=1,L956,0)</f>
        <v>1630</v>
      </c>
    </row>
    <row r="957" customHeight="1" spans="1:27">
      <c r="A957" s="21" t="s">
        <v>1846</v>
      </c>
      <c r="B957" s="21" t="s">
        <v>45</v>
      </c>
      <c r="C957" s="21" t="s">
        <v>46</v>
      </c>
      <c r="D957" s="21" t="s">
        <v>47</v>
      </c>
      <c r="E957" s="21" t="s">
        <v>48</v>
      </c>
      <c r="F957" s="21" t="s">
        <v>49</v>
      </c>
      <c r="G957" s="21" t="s">
        <v>50</v>
      </c>
      <c r="H957" s="21" t="s">
        <v>63</v>
      </c>
      <c r="I957" s="26">
        <v>1</v>
      </c>
      <c r="J957" s="26">
        <v>25</v>
      </c>
      <c r="K957" s="21" t="s">
        <v>52</v>
      </c>
      <c r="L957" s="27">
        <v>815</v>
      </c>
      <c r="M957" s="21"/>
      <c r="N957" s="21"/>
      <c r="O957" s="21" t="s">
        <v>1847</v>
      </c>
      <c r="P957" s="21" t="s">
        <v>54</v>
      </c>
      <c r="Q957" s="28">
        <v>46132</v>
      </c>
      <c r="R957" s="29">
        <v>46132.4326851852</v>
      </c>
      <c r="S957" s="21" t="s">
        <v>55</v>
      </c>
      <c r="T957" s="21"/>
      <c r="U957" s="21" t="s">
        <v>47</v>
      </c>
      <c r="V957" s="29">
        <v>46132.4326388889</v>
      </c>
      <c r="W957">
        <f>VLOOKUP(H957,物料編碼!A:B,2,0)</f>
        <v>1300109002</v>
      </c>
      <c r="X957">
        <v>1300109</v>
      </c>
      <c r="Y957" t="str">
        <f>VLOOKUP(X957,物料編碼!D:G,4,0)</f>
        <v>面精肉</v>
      </c>
      <c r="Z957" t="str">
        <f>VLOOKUP(C957,客戶屬性1!A:C,2,0)</f>
        <v>明记冻肉</v>
      </c>
      <c r="AA957">
        <f>IF(COUNTIF($O$1:O957,O957)=1,L957,0)</f>
        <v>815</v>
      </c>
    </row>
    <row r="958" customHeight="1" spans="1:27">
      <c r="A958" s="21" t="s">
        <v>1848</v>
      </c>
      <c r="B958" s="21" t="s">
        <v>45</v>
      </c>
      <c r="C958" s="21" t="s">
        <v>72</v>
      </c>
      <c r="D958" s="21" t="s">
        <v>73</v>
      </c>
      <c r="E958" s="21" t="s">
        <v>74</v>
      </c>
      <c r="F958" s="21" t="s">
        <v>49</v>
      </c>
      <c r="G958" s="21" t="s">
        <v>50</v>
      </c>
      <c r="H958" s="21" t="s">
        <v>78</v>
      </c>
      <c r="I958" s="26">
        <v>10</v>
      </c>
      <c r="J958" s="26">
        <v>150</v>
      </c>
      <c r="K958" s="21" t="s">
        <v>52</v>
      </c>
      <c r="L958" s="27">
        <v>2217</v>
      </c>
      <c r="M958" s="21"/>
      <c r="N958" s="21"/>
      <c r="O958" s="21" t="s">
        <v>1849</v>
      </c>
      <c r="P958" s="21" t="s">
        <v>54</v>
      </c>
      <c r="Q958" s="28">
        <v>46132</v>
      </c>
      <c r="R958" s="29">
        <v>46132.4086689815</v>
      </c>
      <c r="S958" s="21" t="s">
        <v>77</v>
      </c>
      <c r="T958" s="21"/>
      <c r="U958" s="21" t="s">
        <v>74</v>
      </c>
      <c r="V958" s="29">
        <v>46132.4086226852</v>
      </c>
      <c r="W958">
        <f>VLOOKUP(H958,物料編碼!A:B,2,0)</f>
        <v>1300607014</v>
      </c>
      <c r="X958">
        <v>1300607</v>
      </c>
      <c r="Y958" t="str">
        <f>VLOOKUP(X958,物料編碼!D:G,4,0)</f>
        <v>帶皮腿扒</v>
      </c>
      <c r="Z958" t="str">
        <f>VLOOKUP(C958,客戶屬性1!A:C,2,0)</f>
        <v>恒辉贸易公司</v>
      </c>
      <c r="AA958">
        <f>IF(COUNTIF($O$1:O958,O958)=1,L958,0)</f>
        <v>2217</v>
      </c>
    </row>
    <row r="959" customHeight="1" spans="1:27">
      <c r="A959" s="21" t="s">
        <v>1850</v>
      </c>
      <c r="B959" s="21" t="s">
        <v>45</v>
      </c>
      <c r="C959" s="21" t="s">
        <v>538</v>
      </c>
      <c r="D959" s="21" t="s">
        <v>539</v>
      </c>
      <c r="E959" s="21" t="s">
        <v>540</v>
      </c>
      <c r="F959" s="21" t="s">
        <v>49</v>
      </c>
      <c r="G959" s="21" t="s">
        <v>541</v>
      </c>
      <c r="H959" s="21" t="s">
        <v>402</v>
      </c>
      <c r="I959" s="26">
        <v>1</v>
      </c>
      <c r="J959" s="26">
        <v>10</v>
      </c>
      <c r="K959" s="21" t="s">
        <v>52</v>
      </c>
      <c r="L959" s="27">
        <v>140</v>
      </c>
      <c r="M959" s="21"/>
      <c r="N959" s="21"/>
      <c r="O959" s="21" t="s">
        <v>1851</v>
      </c>
      <c r="P959" s="21" t="s">
        <v>54</v>
      </c>
      <c r="Q959" s="28">
        <v>46130</v>
      </c>
      <c r="R959" s="29">
        <v>46130.493287037</v>
      </c>
      <c r="S959" s="21" t="s">
        <v>543</v>
      </c>
      <c r="T959" s="21"/>
      <c r="U959" s="21" t="s">
        <v>539</v>
      </c>
      <c r="V959" s="29">
        <v>46130.4932407407</v>
      </c>
      <c r="W959">
        <f>VLOOKUP(H959,物料編碼!A:B,2,0)</f>
        <v>1300903002</v>
      </c>
      <c r="X959">
        <v>1300903</v>
      </c>
      <c r="Y959" t="str">
        <f>VLOOKUP(X959,物料編碼!D:G,4,0)</f>
        <v>生鴨胸</v>
      </c>
      <c r="Z959" t="str">
        <f>VLOOKUP(C959,客戶屬性1!A:C,2,0)</f>
        <v>诚信冻肉有限公司</v>
      </c>
      <c r="AA959">
        <f>IF(COUNTIF($O$1:O959,O959)=1,L959,0)</f>
        <v>140</v>
      </c>
    </row>
    <row r="960" customHeight="1" spans="1:27">
      <c r="A960" s="21" t="s">
        <v>1852</v>
      </c>
      <c r="B960" s="21" t="s">
        <v>45</v>
      </c>
      <c r="C960" s="21" t="s">
        <v>72</v>
      </c>
      <c r="D960" s="21" t="s">
        <v>73</v>
      </c>
      <c r="E960" s="21" t="s">
        <v>74</v>
      </c>
      <c r="F960" s="21" t="s">
        <v>49</v>
      </c>
      <c r="G960" s="21" t="s">
        <v>50</v>
      </c>
      <c r="H960" s="21" t="s">
        <v>63</v>
      </c>
      <c r="I960" s="26">
        <v>5</v>
      </c>
      <c r="J960" s="26">
        <v>125</v>
      </c>
      <c r="K960" s="21" t="s">
        <v>52</v>
      </c>
      <c r="L960" s="27">
        <v>4175</v>
      </c>
      <c r="M960" s="21"/>
      <c r="N960" s="21"/>
      <c r="O960" s="21" t="s">
        <v>1853</v>
      </c>
      <c r="P960" s="21" t="s">
        <v>54</v>
      </c>
      <c r="Q960" s="28">
        <v>46130</v>
      </c>
      <c r="R960" s="29">
        <v>46130.4239467593</v>
      </c>
      <c r="S960" s="21" t="s">
        <v>77</v>
      </c>
      <c r="T960" s="21"/>
      <c r="U960" s="21" t="s">
        <v>74</v>
      </c>
      <c r="V960" s="29">
        <v>46130.423900463</v>
      </c>
      <c r="W960">
        <f>VLOOKUP(H960,物料編碼!A:B,2,0)</f>
        <v>1300109002</v>
      </c>
      <c r="X960">
        <v>1300109</v>
      </c>
      <c r="Y960" t="str">
        <f>VLOOKUP(X960,物料編碼!D:G,4,0)</f>
        <v>面精肉</v>
      </c>
      <c r="Z960" t="str">
        <f>VLOOKUP(C960,客戶屬性1!A:C,2,0)</f>
        <v>恒辉贸易公司</v>
      </c>
      <c r="AA960">
        <f>IF(COUNTIF($O$1:O960,O960)=1,L960,0)</f>
        <v>4175</v>
      </c>
    </row>
    <row r="961" customHeight="1" spans="1:27">
      <c r="A961" s="21" t="s">
        <v>1854</v>
      </c>
      <c r="B961" s="21" t="s">
        <v>45</v>
      </c>
      <c r="C961" s="21" t="s">
        <v>858</v>
      </c>
      <c r="D961" s="21" t="s">
        <v>859</v>
      </c>
      <c r="E961" s="21" t="s">
        <v>860</v>
      </c>
      <c r="F961" s="21" t="s">
        <v>49</v>
      </c>
      <c r="G961" s="21" t="s">
        <v>136</v>
      </c>
      <c r="H961" s="21" t="s">
        <v>1019</v>
      </c>
      <c r="I961" s="26">
        <v>3</v>
      </c>
      <c r="J961" s="26">
        <v>30</v>
      </c>
      <c r="K961" s="21" t="s">
        <v>52</v>
      </c>
      <c r="L961" s="27">
        <v>990</v>
      </c>
      <c r="M961" s="21"/>
      <c r="N961" s="21"/>
      <c r="O961" s="21" t="s">
        <v>1855</v>
      </c>
      <c r="P961" s="21" t="s">
        <v>54</v>
      </c>
      <c r="Q961" s="28">
        <v>46130</v>
      </c>
      <c r="R961" s="29">
        <v>46130.4221180556</v>
      </c>
      <c r="S961" s="21" t="s">
        <v>863</v>
      </c>
      <c r="T961" s="21"/>
      <c r="U961" s="21" t="s">
        <v>859</v>
      </c>
      <c r="V961" s="29">
        <v>46130.4220601852</v>
      </c>
      <c r="W961">
        <f>VLOOKUP(H961,物料編碼!A:B,2,0)</f>
        <v>1800108095</v>
      </c>
      <c r="X961">
        <v>1800108</v>
      </c>
      <c r="Y961" t="str">
        <f>VLOOKUP(X961,物料編碼!D:G,4,0)</f>
        <v>魚.其他</v>
      </c>
      <c r="Z961" t="str">
        <f>VLOOKUP(C961,客戶屬性1!A:C,2,0)</f>
        <v>福伟集团有限公司</v>
      </c>
      <c r="AA961">
        <f>IF(COUNTIF($O$1:O961,O961)=1,L961,0)</f>
        <v>990</v>
      </c>
    </row>
    <row r="962" customHeight="1" spans="1:27">
      <c r="A962" s="21" t="s">
        <v>1856</v>
      </c>
      <c r="B962" s="21" t="s">
        <v>45</v>
      </c>
      <c r="C962" s="21" t="s">
        <v>72</v>
      </c>
      <c r="D962" s="21" t="s">
        <v>73</v>
      </c>
      <c r="E962" s="21" t="s">
        <v>74</v>
      </c>
      <c r="F962" s="21" t="s">
        <v>49</v>
      </c>
      <c r="G962" s="21" t="s">
        <v>50</v>
      </c>
      <c r="H962" s="21" t="s">
        <v>838</v>
      </c>
      <c r="I962" s="26">
        <v>1</v>
      </c>
      <c r="J962" s="26">
        <v>10</v>
      </c>
      <c r="K962" s="21" t="s">
        <v>52</v>
      </c>
      <c r="L962" s="27">
        <v>138</v>
      </c>
      <c r="M962" s="21"/>
      <c r="N962" s="21"/>
      <c r="O962" s="21" t="s">
        <v>1857</v>
      </c>
      <c r="P962" s="21" t="s">
        <v>54</v>
      </c>
      <c r="Q962" s="28">
        <v>46130</v>
      </c>
      <c r="R962" s="29">
        <v>46129.7144791667</v>
      </c>
      <c r="S962" s="21" t="s">
        <v>77</v>
      </c>
      <c r="T962" s="21"/>
      <c r="U962" s="21" t="s">
        <v>74</v>
      </c>
      <c r="V962" s="29">
        <v>46129.7144328704</v>
      </c>
      <c r="W962">
        <f>VLOOKUP(H962,物料編碼!A:B,2,0)</f>
        <v>1300902002</v>
      </c>
      <c r="X962">
        <v>1300902</v>
      </c>
      <c r="Y962" t="str">
        <f>VLOOKUP(X962,物料編碼!D:G,4,0)</f>
        <v>帶骨整腿</v>
      </c>
      <c r="Z962" t="str">
        <f>VLOOKUP(C962,客戶屬性1!A:C,2,0)</f>
        <v>恒辉贸易公司</v>
      </c>
      <c r="AA962">
        <f>IF(COUNTIF($O$1:O962,O962)=1,L962,0)</f>
        <v>138</v>
      </c>
    </row>
    <row r="963" customHeight="1" spans="1:27">
      <c r="A963" s="21" t="s">
        <v>1858</v>
      </c>
      <c r="B963" s="21" t="s">
        <v>45</v>
      </c>
      <c r="C963" s="21" t="s">
        <v>235</v>
      </c>
      <c r="D963" s="21" t="s">
        <v>236</v>
      </c>
      <c r="E963" s="21" t="s">
        <v>237</v>
      </c>
      <c r="F963" s="21" t="s">
        <v>49</v>
      </c>
      <c r="G963" s="21" t="s">
        <v>238</v>
      </c>
      <c r="H963" s="21" t="s">
        <v>781</v>
      </c>
      <c r="I963" s="26">
        <v>1</v>
      </c>
      <c r="J963" s="26">
        <v>10</v>
      </c>
      <c r="K963" s="21" t="s">
        <v>52</v>
      </c>
      <c r="L963" s="27">
        <v>220</v>
      </c>
      <c r="M963" s="21"/>
      <c r="N963" s="21"/>
      <c r="O963" s="21" t="s">
        <v>1859</v>
      </c>
      <c r="P963" s="21" t="s">
        <v>54</v>
      </c>
      <c r="Q963" s="28">
        <v>46130</v>
      </c>
      <c r="R963" s="29">
        <v>46129.6096296296</v>
      </c>
      <c r="S963" s="21" t="s">
        <v>241</v>
      </c>
      <c r="T963" s="21"/>
      <c r="U963" s="21" t="s">
        <v>237</v>
      </c>
      <c r="V963" s="29">
        <v>46129.6095833333</v>
      </c>
      <c r="W963">
        <f>VLOOKUP(H963,物料編碼!A:B,2,0)</f>
        <v>1300904022</v>
      </c>
      <c r="X963">
        <v>1300904</v>
      </c>
      <c r="Y963" t="str">
        <f>VLOOKUP(X963,物料編碼!D:G,4,0)</f>
        <v>煙熏鴨胸</v>
      </c>
      <c r="Z963" t="str">
        <f>VLOOKUP(C963,客戶屬性1!A:C,2,0)</f>
        <v>联合林记食品有限公司</v>
      </c>
      <c r="AA963">
        <f>IF(COUNTIF($O$1:O963,O963)=1,L963,0)</f>
        <v>220</v>
      </c>
    </row>
    <row r="964" customHeight="1" spans="1:27">
      <c r="A964" s="21" t="s">
        <v>1860</v>
      </c>
      <c r="B964" s="21" t="s">
        <v>45</v>
      </c>
      <c r="C964" s="21" t="s">
        <v>141</v>
      </c>
      <c r="D964" s="21" t="s">
        <v>142</v>
      </c>
      <c r="E964" s="21" t="s">
        <v>142</v>
      </c>
      <c r="F964" s="21" t="s">
        <v>143</v>
      </c>
      <c r="G964" s="21" t="s">
        <v>100</v>
      </c>
      <c r="H964" s="21" t="s">
        <v>168</v>
      </c>
      <c r="I964" s="26">
        <v>1</v>
      </c>
      <c r="J964" s="26">
        <v>10</v>
      </c>
      <c r="K964" s="21" t="s">
        <v>52</v>
      </c>
      <c r="L964" s="27">
        <v>97</v>
      </c>
      <c r="M964" s="21"/>
      <c r="N964" s="21"/>
      <c r="O964" s="21" t="s">
        <v>1861</v>
      </c>
      <c r="P964" s="21" t="s">
        <v>54</v>
      </c>
      <c r="Q964" s="28">
        <v>46130</v>
      </c>
      <c r="R964" s="29">
        <v>46129.5210300926</v>
      </c>
      <c r="S964" s="21" t="s">
        <v>145</v>
      </c>
      <c r="T964" s="21"/>
      <c r="U964" s="21" t="s">
        <v>142</v>
      </c>
      <c r="V964" s="29">
        <v>46129.5209837963</v>
      </c>
      <c r="W964">
        <f>VLOOKUP(H964,物料編碼!A:B,2,0)</f>
        <v>1300627002</v>
      </c>
      <c r="X964">
        <v>1300627</v>
      </c>
      <c r="Y964" t="str">
        <f>VLOOKUP(X964,物料編碼!D:G,4,0)</f>
        <v>翅尖</v>
      </c>
      <c r="Z964" t="str">
        <f>VLOOKUP(C964,客戶屬性1!A:C,2,0)</f>
        <v>新昌冻肉</v>
      </c>
      <c r="AA964">
        <f>IF(COUNTIF($O$1:O964,O964)=1,L964,0)</f>
        <v>97</v>
      </c>
    </row>
    <row r="965" customHeight="1" spans="1:27">
      <c r="A965" s="21" t="s">
        <v>1862</v>
      </c>
      <c r="B965" s="21" t="s">
        <v>45</v>
      </c>
      <c r="C965" s="21" t="s">
        <v>141</v>
      </c>
      <c r="D965" s="21" t="s">
        <v>142</v>
      </c>
      <c r="E965" s="21" t="s">
        <v>142</v>
      </c>
      <c r="F965" s="21" t="s">
        <v>143</v>
      </c>
      <c r="G965" s="21" t="s">
        <v>100</v>
      </c>
      <c r="H965" s="21" t="s">
        <v>60</v>
      </c>
      <c r="I965" s="26">
        <v>1</v>
      </c>
      <c r="J965" s="26">
        <v>25</v>
      </c>
      <c r="K965" s="21" t="s">
        <v>52</v>
      </c>
      <c r="L965" s="27">
        <v>1620</v>
      </c>
      <c r="M965" s="21"/>
      <c r="N965" s="21"/>
      <c r="O965" s="21" t="s">
        <v>1863</v>
      </c>
      <c r="P965" s="21" t="s">
        <v>54</v>
      </c>
      <c r="Q965" s="28">
        <v>46132</v>
      </c>
      <c r="R965" s="29">
        <v>46129.5197453704</v>
      </c>
      <c r="S965" s="21" t="s">
        <v>145</v>
      </c>
      <c r="T965" s="21"/>
      <c r="U965" s="21" t="s">
        <v>142</v>
      </c>
      <c r="V965" s="29">
        <v>46129.5196990741</v>
      </c>
      <c r="W965">
        <f>VLOOKUP(H965,物料編碼!A:B,2,0)</f>
        <v>1300101043</v>
      </c>
      <c r="X965">
        <v>1300101</v>
      </c>
      <c r="Y965" t="str">
        <f>VLOOKUP(X965,物料編碼!D:G,4,0)</f>
        <v>一號肉</v>
      </c>
      <c r="Z965" t="str">
        <f>VLOOKUP(C965,客戶屬性1!A:C,2,0)</f>
        <v>新昌冻肉</v>
      </c>
      <c r="AA965">
        <f>IF(COUNTIF($O$1:O965,O965)=1,L965,0)</f>
        <v>1620</v>
      </c>
    </row>
    <row r="966" customHeight="1" spans="1:27">
      <c r="A966" s="21" t="s">
        <v>1862</v>
      </c>
      <c r="B966" s="21" t="s">
        <v>45</v>
      </c>
      <c r="C966" s="21" t="s">
        <v>141</v>
      </c>
      <c r="D966" s="21" t="s">
        <v>142</v>
      </c>
      <c r="E966" s="21" t="s">
        <v>142</v>
      </c>
      <c r="F966" s="21" t="s">
        <v>143</v>
      </c>
      <c r="G966" s="21" t="s">
        <v>100</v>
      </c>
      <c r="H966" s="21" t="s">
        <v>117</v>
      </c>
      <c r="I966" s="26">
        <v>3</v>
      </c>
      <c r="J966" s="26">
        <v>45</v>
      </c>
      <c r="K966" s="21" t="s">
        <v>52</v>
      </c>
      <c r="L966" s="27">
        <v>1620</v>
      </c>
      <c r="M966" s="21"/>
      <c r="N966" s="21"/>
      <c r="O966" s="21" t="s">
        <v>1863</v>
      </c>
      <c r="P966" s="21" t="s">
        <v>54</v>
      </c>
      <c r="Q966" s="28">
        <v>46132</v>
      </c>
      <c r="R966" s="29">
        <v>46129.5197453704</v>
      </c>
      <c r="S966" s="21" t="s">
        <v>145</v>
      </c>
      <c r="T966" s="21"/>
      <c r="U966" s="21" t="s">
        <v>142</v>
      </c>
      <c r="V966" s="29">
        <v>46129.5196990741</v>
      </c>
      <c r="W966">
        <f>VLOOKUP(H966,物料編碼!A:B,2,0)</f>
        <v>1300607015</v>
      </c>
      <c r="X966">
        <v>1300607</v>
      </c>
      <c r="Y966" t="str">
        <f>VLOOKUP(X966,物料編碼!D:G,4,0)</f>
        <v>帶皮腿扒</v>
      </c>
      <c r="Z966" t="str">
        <f>VLOOKUP(C966,客戶屬性1!A:C,2,0)</f>
        <v>新昌冻肉</v>
      </c>
      <c r="AA966">
        <f>IF(COUNTIF($O$1:O966,O966)=1,L966,0)</f>
        <v>0</v>
      </c>
    </row>
    <row r="967" customHeight="1" spans="1:27">
      <c r="A967" s="21" t="s">
        <v>1864</v>
      </c>
      <c r="B967" s="21" t="s">
        <v>45</v>
      </c>
      <c r="C967" s="21" t="s">
        <v>141</v>
      </c>
      <c r="D967" s="21" t="s">
        <v>142</v>
      </c>
      <c r="E967" s="21" t="s">
        <v>142</v>
      </c>
      <c r="F967" s="21" t="s">
        <v>143</v>
      </c>
      <c r="G967" s="21" t="s">
        <v>100</v>
      </c>
      <c r="H967" s="21" t="s">
        <v>362</v>
      </c>
      <c r="I967" s="26">
        <v>1</v>
      </c>
      <c r="J967" s="26">
        <v>13.6</v>
      </c>
      <c r="K967" s="21" t="s">
        <v>52</v>
      </c>
      <c r="L967" s="27">
        <v>981.88</v>
      </c>
      <c r="M967" s="21"/>
      <c r="N967" s="21"/>
      <c r="O967" s="21" t="s">
        <v>1865</v>
      </c>
      <c r="P967" s="21" t="s">
        <v>54</v>
      </c>
      <c r="Q967" s="28">
        <v>46130</v>
      </c>
      <c r="R967" s="29">
        <v>46129.5183333333</v>
      </c>
      <c r="S967" s="21" t="s">
        <v>145</v>
      </c>
      <c r="T967" s="21"/>
      <c r="U967" s="21" t="s">
        <v>142</v>
      </c>
      <c r="V967" s="29">
        <v>46129.518275463</v>
      </c>
      <c r="W967">
        <f>VLOOKUP(H967,物料編碼!A:B,2,0)</f>
        <v>1300901005</v>
      </c>
      <c r="X967">
        <v>1300901</v>
      </c>
      <c r="Y967" t="str">
        <f>VLOOKUP(X967,物料編碼!D:G,4,0)</f>
        <v>整鴨</v>
      </c>
      <c r="Z967" t="str">
        <f>VLOOKUP(C967,客戶屬性1!A:C,2,0)</f>
        <v>新昌冻肉</v>
      </c>
      <c r="AA967">
        <f>IF(COUNTIF($O$1:O967,O967)=1,L967,0)</f>
        <v>981.88</v>
      </c>
    </row>
    <row r="968" customHeight="1" spans="1:27">
      <c r="A968" s="21" t="s">
        <v>1864</v>
      </c>
      <c r="B968" s="21" t="s">
        <v>45</v>
      </c>
      <c r="C968" s="21" t="s">
        <v>141</v>
      </c>
      <c r="D968" s="21" t="s">
        <v>142</v>
      </c>
      <c r="E968" s="21" t="s">
        <v>142</v>
      </c>
      <c r="F968" s="21" t="s">
        <v>143</v>
      </c>
      <c r="G968" s="21" t="s">
        <v>100</v>
      </c>
      <c r="H968" s="21" t="s">
        <v>63</v>
      </c>
      <c r="I968" s="26">
        <v>1</v>
      </c>
      <c r="J968" s="26">
        <v>25</v>
      </c>
      <c r="K968" s="21" t="s">
        <v>52</v>
      </c>
      <c r="L968" s="27">
        <v>981.88</v>
      </c>
      <c r="M968" s="21"/>
      <c r="N968" s="21"/>
      <c r="O968" s="21" t="s">
        <v>1865</v>
      </c>
      <c r="P968" s="21" t="s">
        <v>54</v>
      </c>
      <c r="Q968" s="28">
        <v>46130</v>
      </c>
      <c r="R968" s="29">
        <v>46129.5183333333</v>
      </c>
      <c r="S968" s="21" t="s">
        <v>145</v>
      </c>
      <c r="T968" s="21"/>
      <c r="U968" s="21" t="s">
        <v>142</v>
      </c>
      <c r="V968" s="29">
        <v>46129.518275463</v>
      </c>
      <c r="W968">
        <f>VLOOKUP(H968,物料編碼!A:B,2,0)</f>
        <v>1300109002</v>
      </c>
      <c r="X968">
        <v>1300109</v>
      </c>
      <c r="Y968" t="str">
        <f>VLOOKUP(X968,物料編碼!D:G,4,0)</f>
        <v>面精肉</v>
      </c>
      <c r="Z968" t="str">
        <f>VLOOKUP(C968,客戶屬性1!A:C,2,0)</f>
        <v>新昌冻肉</v>
      </c>
      <c r="AA968">
        <f>IF(COUNTIF($O$1:O968,O968)=1,L968,0)</f>
        <v>0</v>
      </c>
    </row>
    <row r="969" customHeight="1" spans="1:27">
      <c r="A969" s="21" t="s">
        <v>1866</v>
      </c>
      <c r="B969" s="21" t="s">
        <v>45</v>
      </c>
      <c r="C969" s="21" t="s">
        <v>141</v>
      </c>
      <c r="D969" s="21" t="s">
        <v>142</v>
      </c>
      <c r="E969" s="21" t="s">
        <v>142</v>
      </c>
      <c r="F969" s="21" t="s">
        <v>143</v>
      </c>
      <c r="G969" s="21" t="s">
        <v>100</v>
      </c>
      <c r="H969" s="21" t="s">
        <v>117</v>
      </c>
      <c r="I969" s="26">
        <v>3</v>
      </c>
      <c r="J969" s="26">
        <v>45</v>
      </c>
      <c r="K969" s="21" t="s">
        <v>52</v>
      </c>
      <c r="L969" s="27">
        <v>675</v>
      </c>
      <c r="M969" s="21"/>
      <c r="N969" s="21"/>
      <c r="O969" s="21" t="s">
        <v>1867</v>
      </c>
      <c r="P969" s="21" t="s">
        <v>54</v>
      </c>
      <c r="Q969" s="28">
        <v>46130</v>
      </c>
      <c r="R969" s="29">
        <v>46129.5161458333</v>
      </c>
      <c r="S969" s="21" t="s">
        <v>145</v>
      </c>
      <c r="T969" s="21"/>
      <c r="U969" s="21" t="s">
        <v>142</v>
      </c>
      <c r="V969" s="29">
        <v>46129.5161111111</v>
      </c>
      <c r="W969">
        <f>VLOOKUP(H969,物料編碼!A:B,2,0)</f>
        <v>1300607015</v>
      </c>
      <c r="X969">
        <v>1300607</v>
      </c>
      <c r="Y969" t="str">
        <f>VLOOKUP(X969,物料編碼!D:G,4,0)</f>
        <v>帶皮腿扒</v>
      </c>
      <c r="Z969" t="str">
        <f>VLOOKUP(C969,客戶屬性1!A:C,2,0)</f>
        <v>新昌冻肉</v>
      </c>
      <c r="AA969">
        <f>IF(COUNTIF($O$1:O969,O969)=1,L969,0)</f>
        <v>675</v>
      </c>
    </row>
    <row r="970" customHeight="1" spans="1:27">
      <c r="A970" s="21" t="s">
        <v>1868</v>
      </c>
      <c r="B970" s="21" t="s">
        <v>45</v>
      </c>
      <c r="C970" s="21" t="s">
        <v>72</v>
      </c>
      <c r="D970" s="21" t="s">
        <v>73</v>
      </c>
      <c r="E970" s="21" t="s">
        <v>74</v>
      </c>
      <c r="F970" s="21" t="s">
        <v>49</v>
      </c>
      <c r="G970" s="21" t="s">
        <v>50</v>
      </c>
      <c r="H970" s="21" t="s">
        <v>190</v>
      </c>
      <c r="I970" s="26">
        <v>12</v>
      </c>
      <c r="J970" s="26">
        <v>144</v>
      </c>
      <c r="K970" s="21" t="s">
        <v>52</v>
      </c>
      <c r="L970" s="27">
        <v>2275.2</v>
      </c>
      <c r="M970" s="21"/>
      <c r="N970" s="21"/>
      <c r="O970" s="21" t="s">
        <v>1869</v>
      </c>
      <c r="P970" s="21" t="s">
        <v>54</v>
      </c>
      <c r="Q970" s="28">
        <v>46130</v>
      </c>
      <c r="R970" s="29">
        <v>46129.4907638889</v>
      </c>
      <c r="S970" s="21" t="s">
        <v>77</v>
      </c>
      <c r="T970" s="21"/>
      <c r="U970" s="21" t="s">
        <v>74</v>
      </c>
      <c r="V970" s="29">
        <v>46129.4907175926</v>
      </c>
      <c r="W970">
        <f>VLOOKUP(H970,物料編碼!A:B,2,0)</f>
        <v>1300609001</v>
      </c>
      <c r="X970">
        <v>1300609</v>
      </c>
      <c r="Y970" t="str">
        <f>VLOOKUP(X970,物料編碼!D:G,4,0)</f>
        <v>去皮上腿肉</v>
      </c>
      <c r="Z970" t="str">
        <f>VLOOKUP(C970,客戶屬性1!A:C,2,0)</f>
        <v>恒辉贸易公司</v>
      </c>
      <c r="AA970">
        <f>IF(COUNTIF($O$1:O970,O970)=1,L970,0)</f>
        <v>2275.2</v>
      </c>
    </row>
    <row r="971" customHeight="1" spans="1:27">
      <c r="A971" s="21" t="s">
        <v>1870</v>
      </c>
      <c r="B971" s="21" t="s">
        <v>45</v>
      </c>
      <c r="C971" s="21" t="s">
        <v>235</v>
      </c>
      <c r="D971" s="21" t="s">
        <v>236</v>
      </c>
      <c r="E971" s="21" t="s">
        <v>237</v>
      </c>
      <c r="F971" s="21" t="s">
        <v>49</v>
      </c>
      <c r="G971" s="21" t="s">
        <v>238</v>
      </c>
      <c r="H971" s="21" t="s">
        <v>239</v>
      </c>
      <c r="I971" s="26">
        <v>1</v>
      </c>
      <c r="J971" s="26">
        <v>10</v>
      </c>
      <c r="K971" s="21" t="s">
        <v>52</v>
      </c>
      <c r="L971" s="27">
        <v>220</v>
      </c>
      <c r="M971" s="21"/>
      <c r="N971" s="21"/>
      <c r="O971" s="21" t="s">
        <v>1871</v>
      </c>
      <c r="P971" s="21" t="s">
        <v>183</v>
      </c>
      <c r="Q971" s="28">
        <v>46129</v>
      </c>
      <c r="R971" s="29">
        <v>46129.4533217593</v>
      </c>
      <c r="S971" s="21" t="s">
        <v>241</v>
      </c>
      <c r="T971" s="21"/>
      <c r="U971" s="21" t="s">
        <v>237</v>
      </c>
      <c r="V971" s="29">
        <v>46129.4532638889</v>
      </c>
      <c r="W971">
        <f>VLOOKUP(H971,物料編碼!A:B,2,0)</f>
        <v>1300904023</v>
      </c>
      <c r="X971">
        <v>1300904</v>
      </c>
      <c r="Y971" t="str">
        <f>VLOOKUP(X971,物料編碼!D:G,4,0)</f>
        <v>煙熏鴨胸</v>
      </c>
      <c r="Z971" t="str">
        <f>VLOOKUP(C971,客戶屬性1!A:C,2,0)</f>
        <v>联合林记食品有限公司</v>
      </c>
      <c r="AA971">
        <f>IF(COUNTIF($O$1:O971,O971)=1,L971,0)</f>
        <v>220</v>
      </c>
    </row>
    <row r="972" customHeight="1" spans="1:27">
      <c r="A972" s="21" t="s">
        <v>1872</v>
      </c>
      <c r="B972" s="21" t="s">
        <v>45</v>
      </c>
      <c r="C972" s="21" t="s">
        <v>72</v>
      </c>
      <c r="D972" s="21" t="s">
        <v>73</v>
      </c>
      <c r="E972" s="21" t="s">
        <v>74</v>
      </c>
      <c r="F972" s="21" t="s">
        <v>49</v>
      </c>
      <c r="G972" s="21" t="s">
        <v>50</v>
      </c>
      <c r="H972" s="21" t="s">
        <v>190</v>
      </c>
      <c r="I972" s="26">
        <v>2</v>
      </c>
      <c r="J972" s="26">
        <v>24</v>
      </c>
      <c r="K972" s="21" t="s">
        <v>52</v>
      </c>
      <c r="L972" s="27">
        <v>379.2</v>
      </c>
      <c r="M972" s="21"/>
      <c r="N972" s="21"/>
      <c r="O972" s="21" t="s">
        <v>1873</v>
      </c>
      <c r="P972" s="21" t="s">
        <v>54</v>
      </c>
      <c r="Q972" s="28">
        <v>46129</v>
      </c>
      <c r="R972" s="29">
        <v>46129.4008101852</v>
      </c>
      <c r="S972" s="21" t="s">
        <v>77</v>
      </c>
      <c r="T972" s="21"/>
      <c r="U972" s="21" t="s">
        <v>74</v>
      </c>
      <c r="V972" s="29">
        <v>46129.4007638889</v>
      </c>
      <c r="W972">
        <f>VLOOKUP(H972,物料編碼!A:B,2,0)</f>
        <v>1300609001</v>
      </c>
      <c r="X972">
        <v>1300609</v>
      </c>
      <c r="Y972" t="str">
        <f>VLOOKUP(X972,物料編碼!D:G,4,0)</f>
        <v>去皮上腿肉</v>
      </c>
      <c r="Z972" t="str">
        <f>VLOOKUP(C972,客戶屬性1!A:C,2,0)</f>
        <v>恒辉贸易公司</v>
      </c>
      <c r="AA972">
        <f>IF(COUNTIF($O$1:O972,O972)=1,L972,0)</f>
        <v>379.2</v>
      </c>
    </row>
    <row r="973" customHeight="1" spans="1:27">
      <c r="A973" s="21" t="s">
        <v>1874</v>
      </c>
      <c r="B973" s="21" t="s">
        <v>45</v>
      </c>
      <c r="C973" s="21" t="s">
        <v>72</v>
      </c>
      <c r="D973" s="21" t="s">
        <v>73</v>
      </c>
      <c r="E973" s="21" t="s">
        <v>74</v>
      </c>
      <c r="F973" s="21" t="s">
        <v>49</v>
      </c>
      <c r="G973" s="21" t="s">
        <v>50</v>
      </c>
      <c r="H973" s="21" t="s">
        <v>63</v>
      </c>
      <c r="I973" s="26">
        <v>1</v>
      </c>
      <c r="J973" s="26">
        <v>25</v>
      </c>
      <c r="K973" s="21" t="s">
        <v>52</v>
      </c>
      <c r="L973" s="27">
        <v>835</v>
      </c>
      <c r="M973" s="21"/>
      <c r="N973" s="21"/>
      <c r="O973" s="21" t="s">
        <v>1875</v>
      </c>
      <c r="P973" s="21" t="s">
        <v>54</v>
      </c>
      <c r="Q973" s="28">
        <v>46129</v>
      </c>
      <c r="R973" s="29">
        <v>46129.3829282407</v>
      </c>
      <c r="S973" s="21" t="s">
        <v>377</v>
      </c>
      <c r="T973" s="21"/>
      <c r="U973" s="21" t="s">
        <v>82</v>
      </c>
      <c r="V973" s="29">
        <v>46129.3828819444</v>
      </c>
      <c r="W973">
        <f>VLOOKUP(H973,物料編碼!A:B,2,0)</f>
        <v>1300109002</v>
      </c>
      <c r="X973">
        <v>1300109</v>
      </c>
      <c r="Y973" t="str">
        <f>VLOOKUP(X973,物料編碼!D:G,4,0)</f>
        <v>面精肉</v>
      </c>
      <c r="Z973" t="str">
        <f>VLOOKUP(C973,客戶屬性1!A:C,2,0)</f>
        <v>恒辉贸易公司</v>
      </c>
      <c r="AA973">
        <f>IF(COUNTIF($O$1:O973,O973)=1,L973,0)</f>
        <v>835</v>
      </c>
    </row>
    <row r="974" customHeight="1" spans="1:27">
      <c r="A974" s="21" t="s">
        <v>1876</v>
      </c>
      <c r="B974" s="21" t="s">
        <v>45</v>
      </c>
      <c r="C974" s="21" t="s">
        <v>1064</v>
      </c>
      <c r="D974" s="21" t="s">
        <v>1065</v>
      </c>
      <c r="E974" s="21" t="s">
        <v>1066</v>
      </c>
      <c r="F974" s="21" t="s">
        <v>49</v>
      </c>
      <c r="G974" s="21" t="s">
        <v>89</v>
      </c>
      <c r="H974" s="21" t="s">
        <v>63</v>
      </c>
      <c r="I974" s="26">
        <v>5</v>
      </c>
      <c r="J974" s="26">
        <v>125</v>
      </c>
      <c r="K974" s="21" t="s">
        <v>52</v>
      </c>
      <c r="L974" s="27">
        <v>4175</v>
      </c>
      <c r="M974" s="21"/>
      <c r="N974" s="21"/>
      <c r="O974" s="21" t="s">
        <v>1877</v>
      </c>
      <c r="P974" s="21" t="s">
        <v>54</v>
      </c>
      <c r="Q974" s="28">
        <v>46130</v>
      </c>
      <c r="R974" s="29">
        <v>46128.6207291667</v>
      </c>
      <c r="S974" s="21" t="s">
        <v>1068</v>
      </c>
      <c r="T974" s="21"/>
      <c r="U974" s="21" t="s">
        <v>1065</v>
      </c>
      <c r="V974" s="29">
        <v>46128.6206944444</v>
      </c>
      <c r="W974">
        <f>VLOOKUP(H974,物料編碼!A:B,2,0)</f>
        <v>1300109002</v>
      </c>
      <c r="X974">
        <v>1300109</v>
      </c>
      <c r="Y974" t="str">
        <f>VLOOKUP(X974,物料編碼!D:G,4,0)</f>
        <v>面精肉</v>
      </c>
      <c r="Z974" t="str">
        <f>VLOOKUP(C974,客戶屬性1!A:C,2,0)</f>
        <v>明兴食品有限公司(元朗)</v>
      </c>
      <c r="AA974">
        <f>IF(COUNTIF($O$1:O974,O974)=1,L974,0)</f>
        <v>4175</v>
      </c>
    </row>
    <row r="975" customHeight="1" spans="1:27">
      <c r="A975" s="21" t="s">
        <v>1878</v>
      </c>
      <c r="B975" s="21" t="s">
        <v>45</v>
      </c>
      <c r="C975" s="21" t="s">
        <v>141</v>
      </c>
      <c r="D975" s="21" t="s">
        <v>142</v>
      </c>
      <c r="E975" s="21" t="s">
        <v>142</v>
      </c>
      <c r="F975" s="21" t="s">
        <v>143</v>
      </c>
      <c r="G975" s="21" t="s">
        <v>100</v>
      </c>
      <c r="H975" s="21" t="s">
        <v>60</v>
      </c>
      <c r="I975" s="26">
        <v>1</v>
      </c>
      <c r="J975" s="26">
        <v>25</v>
      </c>
      <c r="K975" s="21" t="s">
        <v>52</v>
      </c>
      <c r="L975" s="27">
        <v>2140</v>
      </c>
      <c r="M975" s="21"/>
      <c r="N975" s="21"/>
      <c r="O975" s="21" t="s">
        <v>1879</v>
      </c>
      <c r="P975" s="21" t="s">
        <v>54</v>
      </c>
      <c r="Q975" s="28">
        <v>46129</v>
      </c>
      <c r="R975" s="29">
        <v>46128.4641898148</v>
      </c>
      <c r="S975" s="21" t="s">
        <v>145</v>
      </c>
      <c r="T975" s="21"/>
      <c r="U975" s="21" t="s">
        <v>142</v>
      </c>
      <c r="V975" s="29">
        <v>46128.4641435185</v>
      </c>
      <c r="W975">
        <f>VLOOKUP(H975,物料編碼!A:B,2,0)</f>
        <v>1300101043</v>
      </c>
      <c r="X975">
        <v>1300101</v>
      </c>
      <c r="Y975" t="str">
        <f>VLOOKUP(X975,物料編碼!D:G,4,0)</f>
        <v>一號肉</v>
      </c>
      <c r="Z975" t="str">
        <f>VLOOKUP(C975,客戶屬性1!A:C,2,0)</f>
        <v>新昌冻肉</v>
      </c>
      <c r="AA975">
        <f>IF(COUNTIF($O$1:O975,O975)=1,L975,0)</f>
        <v>2140</v>
      </c>
    </row>
    <row r="976" customHeight="1" spans="1:27">
      <c r="A976" s="21" t="s">
        <v>1878</v>
      </c>
      <c r="B976" s="21" t="s">
        <v>45</v>
      </c>
      <c r="C976" s="21" t="s">
        <v>141</v>
      </c>
      <c r="D976" s="21" t="s">
        <v>142</v>
      </c>
      <c r="E976" s="21" t="s">
        <v>142</v>
      </c>
      <c r="F976" s="21" t="s">
        <v>143</v>
      </c>
      <c r="G976" s="21" t="s">
        <v>100</v>
      </c>
      <c r="H976" s="21" t="s">
        <v>298</v>
      </c>
      <c r="I976" s="26">
        <v>1</v>
      </c>
      <c r="J976" s="26">
        <v>10</v>
      </c>
      <c r="K976" s="21" t="s">
        <v>52</v>
      </c>
      <c r="L976" s="27">
        <v>2140</v>
      </c>
      <c r="M976" s="21"/>
      <c r="N976" s="21"/>
      <c r="O976" s="21" t="s">
        <v>1879</v>
      </c>
      <c r="P976" s="21" t="s">
        <v>54</v>
      </c>
      <c r="Q976" s="28">
        <v>46129</v>
      </c>
      <c r="R976" s="29">
        <v>46128.4641898148</v>
      </c>
      <c r="S976" s="21" t="s">
        <v>145</v>
      </c>
      <c r="T976" s="21"/>
      <c r="U976" s="21" t="s">
        <v>142</v>
      </c>
      <c r="V976" s="29">
        <v>46128.4641435185</v>
      </c>
      <c r="W976">
        <f>VLOOKUP(H976,物料編碼!A:B,2,0)</f>
        <v>1300111003</v>
      </c>
      <c r="X976">
        <v>1300111</v>
      </c>
      <c r="Y976" t="str">
        <f>VLOOKUP(X976,物料編碼!D:G,4,0)</f>
        <v>寸骨</v>
      </c>
      <c r="Z976" t="str">
        <f>VLOOKUP(C976,客戶屬性1!A:C,2,0)</f>
        <v>新昌冻肉</v>
      </c>
      <c r="AA976">
        <f>IF(COUNTIF($O$1:O976,O976)=1,L976,0)</f>
        <v>0</v>
      </c>
    </row>
    <row r="977" customHeight="1" spans="1:27">
      <c r="A977" s="21" t="s">
        <v>1878</v>
      </c>
      <c r="B977" s="21" t="s">
        <v>45</v>
      </c>
      <c r="C977" s="21" t="s">
        <v>141</v>
      </c>
      <c r="D977" s="21" t="s">
        <v>142</v>
      </c>
      <c r="E977" s="21" t="s">
        <v>142</v>
      </c>
      <c r="F977" s="21" t="s">
        <v>143</v>
      </c>
      <c r="G977" s="21" t="s">
        <v>100</v>
      </c>
      <c r="H977" s="21" t="s">
        <v>117</v>
      </c>
      <c r="I977" s="26">
        <v>3</v>
      </c>
      <c r="J977" s="26">
        <v>45</v>
      </c>
      <c r="K977" s="21" t="s">
        <v>52</v>
      </c>
      <c r="L977" s="27">
        <v>2140</v>
      </c>
      <c r="M977" s="21"/>
      <c r="N977" s="21"/>
      <c r="O977" s="21" t="s">
        <v>1879</v>
      </c>
      <c r="P977" s="21" t="s">
        <v>54</v>
      </c>
      <c r="Q977" s="28">
        <v>46129</v>
      </c>
      <c r="R977" s="29">
        <v>46128.4641898148</v>
      </c>
      <c r="S977" s="21" t="s">
        <v>145</v>
      </c>
      <c r="T977" s="21"/>
      <c r="U977" s="21" t="s">
        <v>142</v>
      </c>
      <c r="V977" s="29">
        <v>46128.4641435185</v>
      </c>
      <c r="W977">
        <f>VLOOKUP(H977,物料編碼!A:B,2,0)</f>
        <v>1300607015</v>
      </c>
      <c r="X977">
        <v>1300607</v>
      </c>
      <c r="Y977" t="str">
        <f>VLOOKUP(X977,物料編碼!D:G,4,0)</f>
        <v>帶皮腿扒</v>
      </c>
      <c r="Z977" t="str">
        <f>VLOOKUP(C977,客戶屬性1!A:C,2,0)</f>
        <v>新昌冻肉</v>
      </c>
      <c r="AA977">
        <f>IF(COUNTIF($O$1:O977,O977)=1,L977,0)</f>
        <v>0</v>
      </c>
    </row>
    <row r="978" customHeight="1" spans="1:27">
      <c r="A978" s="21" t="s">
        <v>1880</v>
      </c>
      <c r="B978" s="21" t="s">
        <v>45</v>
      </c>
      <c r="C978" s="21" t="s">
        <v>457</v>
      </c>
      <c r="D978" s="21" t="s">
        <v>458</v>
      </c>
      <c r="E978" s="21" t="s">
        <v>459</v>
      </c>
      <c r="F978" s="21" t="s">
        <v>49</v>
      </c>
      <c r="G978" s="21" t="s">
        <v>68</v>
      </c>
      <c r="H978" s="21" t="s">
        <v>63</v>
      </c>
      <c r="I978" s="26">
        <v>5</v>
      </c>
      <c r="J978" s="26">
        <v>125</v>
      </c>
      <c r="K978" s="21" t="s">
        <v>52</v>
      </c>
      <c r="L978" s="27">
        <v>4075</v>
      </c>
      <c r="M978" s="21"/>
      <c r="N978" s="21"/>
      <c r="O978" s="21" t="s">
        <v>1881</v>
      </c>
      <c r="P978" s="21" t="s">
        <v>54</v>
      </c>
      <c r="Q978" s="28">
        <v>46128</v>
      </c>
      <c r="R978" s="29">
        <v>46127.6198842593</v>
      </c>
      <c r="S978" s="21" t="s">
        <v>461</v>
      </c>
      <c r="T978" s="21"/>
      <c r="U978" s="21" t="s">
        <v>458</v>
      </c>
      <c r="V978" s="29">
        <v>46127.619837963</v>
      </c>
      <c r="W978">
        <f>VLOOKUP(H978,物料編碼!A:B,2,0)</f>
        <v>1300109002</v>
      </c>
      <c r="X978">
        <v>1300109</v>
      </c>
      <c r="Y978" t="str">
        <f>VLOOKUP(X978,物料編碼!D:G,4,0)</f>
        <v>面精肉</v>
      </c>
      <c r="Z978" t="str">
        <f>VLOOKUP(C978,客戶屬性1!A:C,2,0)</f>
        <v>福永行贸易有限公司</v>
      </c>
      <c r="AA978">
        <f>IF(COUNTIF($O$1:O978,O978)=1,L978,0)</f>
        <v>4075</v>
      </c>
    </row>
    <row r="979" customHeight="1" spans="1:27">
      <c r="A979" s="21" t="s">
        <v>1882</v>
      </c>
      <c r="B979" s="21" t="s">
        <v>45</v>
      </c>
      <c r="C979" s="21" t="s">
        <v>235</v>
      </c>
      <c r="D979" s="21" t="s">
        <v>236</v>
      </c>
      <c r="E979" s="21" t="s">
        <v>237</v>
      </c>
      <c r="F979" s="21" t="s">
        <v>49</v>
      </c>
      <c r="G979" s="21" t="s">
        <v>238</v>
      </c>
      <c r="H979" s="21" t="s">
        <v>190</v>
      </c>
      <c r="I979" s="26">
        <v>5</v>
      </c>
      <c r="J979" s="26">
        <v>60</v>
      </c>
      <c r="K979" s="21" t="s">
        <v>52</v>
      </c>
      <c r="L979" s="27">
        <v>942</v>
      </c>
      <c r="M979" s="21"/>
      <c r="N979" s="21"/>
      <c r="O979" s="21" t="s">
        <v>1883</v>
      </c>
      <c r="P979" s="21" t="s">
        <v>54</v>
      </c>
      <c r="Q979" s="28">
        <v>46128</v>
      </c>
      <c r="R979" s="29">
        <v>46127.5350578704</v>
      </c>
      <c r="S979" s="21" t="s">
        <v>241</v>
      </c>
      <c r="T979" s="21"/>
      <c r="U979" s="21" t="s">
        <v>237</v>
      </c>
      <c r="V979" s="29">
        <v>46127.5350115741</v>
      </c>
      <c r="W979">
        <f>VLOOKUP(H979,物料編碼!A:B,2,0)</f>
        <v>1300609001</v>
      </c>
      <c r="X979">
        <v>1300609</v>
      </c>
      <c r="Y979" t="str">
        <f>VLOOKUP(X979,物料編碼!D:G,4,0)</f>
        <v>去皮上腿肉</v>
      </c>
      <c r="Z979" t="str">
        <f>VLOOKUP(C979,客戶屬性1!A:C,2,0)</f>
        <v>联合林记食品有限公司</v>
      </c>
      <c r="AA979">
        <f>IF(COUNTIF($O$1:O979,O979)=1,L979,0)</f>
        <v>942</v>
      </c>
    </row>
    <row r="980" customHeight="1" spans="1:27">
      <c r="A980" s="21" t="s">
        <v>1884</v>
      </c>
      <c r="B980" s="21" t="s">
        <v>45</v>
      </c>
      <c r="C980" s="21" t="s">
        <v>1064</v>
      </c>
      <c r="D980" s="21" t="s">
        <v>1065</v>
      </c>
      <c r="E980" s="21" t="s">
        <v>1066</v>
      </c>
      <c r="F980" s="21" t="s">
        <v>49</v>
      </c>
      <c r="G980" s="21" t="s">
        <v>89</v>
      </c>
      <c r="H980" s="21" t="s">
        <v>63</v>
      </c>
      <c r="I980" s="26">
        <v>5</v>
      </c>
      <c r="J980" s="26">
        <v>125</v>
      </c>
      <c r="K980" s="21" t="s">
        <v>52</v>
      </c>
      <c r="L980" s="27">
        <v>4075</v>
      </c>
      <c r="M980" s="21"/>
      <c r="N980" s="21"/>
      <c r="O980" s="21" t="s">
        <v>1885</v>
      </c>
      <c r="P980" s="21" t="s">
        <v>54</v>
      </c>
      <c r="Q980" s="28">
        <v>46128</v>
      </c>
      <c r="R980" s="29">
        <v>46127.5165625</v>
      </c>
      <c r="S980" s="21" t="s">
        <v>1068</v>
      </c>
      <c r="T980" s="21"/>
      <c r="U980" s="21" t="s">
        <v>1065</v>
      </c>
      <c r="V980" s="29">
        <v>46127.5165046296</v>
      </c>
      <c r="W980">
        <f>VLOOKUP(H980,物料編碼!A:B,2,0)</f>
        <v>1300109002</v>
      </c>
      <c r="X980">
        <v>1300109</v>
      </c>
      <c r="Y980" t="str">
        <f>VLOOKUP(X980,物料編碼!D:G,4,0)</f>
        <v>面精肉</v>
      </c>
      <c r="Z980" t="str">
        <f>VLOOKUP(C980,客戶屬性1!A:C,2,0)</f>
        <v>明兴食品有限公司(元朗)</v>
      </c>
      <c r="AA980">
        <f>IF(COUNTIF($O$1:O980,O980)=1,L980,0)</f>
        <v>4075</v>
      </c>
    </row>
    <row r="981" customHeight="1" spans="1:27">
      <c r="A981" s="21" t="s">
        <v>1886</v>
      </c>
      <c r="B981" s="21" t="s">
        <v>45</v>
      </c>
      <c r="C981" s="21" t="s">
        <v>141</v>
      </c>
      <c r="D981" s="21" t="s">
        <v>142</v>
      </c>
      <c r="E981" s="21" t="s">
        <v>142</v>
      </c>
      <c r="F981" s="21" t="s">
        <v>143</v>
      </c>
      <c r="G981" s="21" t="s">
        <v>100</v>
      </c>
      <c r="H981" s="21" t="s">
        <v>63</v>
      </c>
      <c r="I981" s="26">
        <v>1</v>
      </c>
      <c r="J981" s="26">
        <v>25</v>
      </c>
      <c r="K981" s="21" t="s">
        <v>52</v>
      </c>
      <c r="L981" s="27">
        <v>2000.1</v>
      </c>
      <c r="M981" s="21"/>
      <c r="N981" s="21"/>
      <c r="O981" s="21" t="s">
        <v>1887</v>
      </c>
      <c r="P981" s="21" t="s">
        <v>54</v>
      </c>
      <c r="Q981" s="28">
        <v>46128</v>
      </c>
      <c r="R981" s="29">
        <v>46127.4907523148</v>
      </c>
      <c r="S981" s="21" t="s">
        <v>145</v>
      </c>
      <c r="T981" s="21"/>
      <c r="U981" s="21" t="s">
        <v>142</v>
      </c>
      <c r="V981" s="29">
        <v>46127.4906944444</v>
      </c>
      <c r="W981">
        <f>VLOOKUP(H981,物料編碼!A:B,2,0)</f>
        <v>1300109002</v>
      </c>
      <c r="X981">
        <v>1300109</v>
      </c>
      <c r="Y981" t="str">
        <f>VLOOKUP(X981,物料編碼!D:G,4,0)</f>
        <v>面精肉</v>
      </c>
      <c r="Z981" t="str">
        <f>VLOOKUP(C981,客戶屬性1!A:C,2,0)</f>
        <v>新昌冻肉</v>
      </c>
      <c r="AA981">
        <f>IF(COUNTIF($O$1:O981,O981)=1,L981,0)</f>
        <v>2000.1</v>
      </c>
    </row>
    <row r="982" customHeight="1" spans="1:27">
      <c r="A982" s="21" t="s">
        <v>1886</v>
      </c>
      <c r="B982" s="21" t="s">
        <v>45</v>
      </c>
      <c r="C982" s="21" t="s">
        <v>141</v>
      </c>
      <c r="D982" s="21" t="s">
        <v>142</v>
      </c>
      <c r="E982" s="21" t="s">
        <v>142</v>
      </c>
      <c r="F982" s="21" t="s">
        <v>143</v>
      </c>
      <c r="G982" s="21" t="s">
        <v>100</v>
      </c>
      <c r="H982" s="21" t="s">
        <v>117</v>
      </c>
      <c r="I982" s="26">
        <v>3</v>
      </c>
      <c r="J982" s="26">
        <v>45</v>
      </c>
      <c r="K982" s="21" t="s">
        <v>52</v>
      </c>
      <c r="L982" s="27">
        <v>2000.1</v>
      </c>
      <c r="M982" s="21"/>
      <c r="N982" s="21"/>
      <c r="O982" s="21" t="s">
        <v>1887</v>
      </c>
      <c r="P982" s="21" t="s">
        <v>54</v>
      </c>
      <c r="Q982" s="28">
        <v>46128</v>
      </c>
      <c r="R982" s="29">
        <v>46127.4907523148</v>
      </c>
      <c r="S982" s="21" t="s">
        <v>145</v>
      </c>
      <c r="T982" s="21"/>
      <c r="U982" s="21" t="s">
        <v>142</v>
      </c>
      <c r="V982" s="29">
        <v>46127.4906944444</v>
      </c>
      <c r="W982">
        <f>VLOOKUP(H982,物料編碼!A:B,2,0)</f>
        <v>1300607015</v>
      </c>
      <c r="X982">
        <v>1300607</v>
      </c>
      <c r="Y982" t="str">
        <f>VLOOKUP(X982,物料編碼!D:G,4,0)</f>
        <v>帶皮腿扒</v>
      </c>
      <c r="Z982" t="str">
        <f>VLOOKUP(C982,客戶屬性1!A:C,2,0)</f>
        <v>新昌冻肉</v>
      </c>
      <c r="AA982">
        <f>IF(COUNTIF($O$1:O982,O982)=1,L982,0)</f>
        <v>0</v>
      </c>
    </row>
    <row r="983" customHeight="1" spans="1:27">
      <c r="A983" s="21" t="s">
        <v>1886</v>
      </c>
      <c r="B983" s="21" t="s">
        <v>45</v>
      </c>
      <c r="C983" s="21" t="s">
        <v>141</v>
      </c>
      <c r="D983" s="21" t="s">
        <v>142</v>
      </c>
      <c r="E983" s="21" t="s">
        <v>142</v>
      </c>
      <c r="F983" s="21" t="s">
        <v>143</v>
      </c>
      <c r="G983" s="21" t="s">
        <v>100</v>
      </c>
      <c r="H983" s="21" t="s">
        <v>298</v>
      </c>
      <c r="I983" s="26">
        <v>1</v>
      </c>
      <c r="J983" s="26">
        <v>10</v>
      </c>
      <c r="K983" s="21" t="s">
        <v>52</v>
      </c>
      <c r="L983" s="27">
        <v>2000.1</v>
      </c>
      <c r="M983" s="21"/>
      <c r="N983" s="21"/>
      <c r="O983" s="21" t="s">
        <v>1887</v>
      </c>
      <c r="P983" s="21" t="s">
        <v>54</v>
      </c>
      <c r="Q983" s="28">
        <v>46128</v>
      </c>
      <c r="R983" s="29">
        <v>46127.4907523148</v>
      </c>
      <c r="S983" s="21" t="s">
        <v>145</v>
      </c>
      <c r="T983" s="21"/>
      <c r="U983" s="21" t="s">
        <v>142</v>
      </c>
      <c r="V983" s="29">
        <v>46127.4906944444</v>
      </c>
      <c r="W983">
        <f>VLOOKUP(H983,物料編碼!A:B,2,0)</f>
        <v>1300111003</v>
      </c>
      <c r="X983">
        <v>1300111</v>
      </c>
      <c r="Y983" t="str">
        <f>VLOOKUP(X983,物料編碼!D:G,4,0)</f>
        <v>寸骨</v>
      </c>
      <c r="Z983" t="str">
        <f>VLOOKUP(C983,客戶屬性1!A:C,2,0)</f>
        <v>新昌冻肉</v>
      </c>
      <c r="AA983">
        <f>IF(COUNTIF($O$1:O983,O983)=1,L983,0)</f>
        <v>0</v>
      </c>
    </row>
    <row r="984" customHeight="1" spans="1:27">
      <c r="A984" s="21" t="s">
        <v>1888</v>
      </c>
      <c r="B984" s="21" t="s">
        <v>45</v>
      </c>
      <c r="C984" s="21" t="s">
        <v>538</v>
      </c>
      <c r="D984" s="21" t="s">
        <v>539</v>
      </c>
      <c r="E984" s="21" t="s">
        <v>540</v>
      </c>
      <c r="F984" s="21" t="s">
        <v>49</v>
      </c>
      <c r="G984" s="21" t="s">
        <v>541</v>
      </c>
      <c r="H984" s="21" t="s">
        <v>63</v>
      </c>
      <c r="I984" s="26">
        <v>1</v>
      </c>
      <c r="J984" s="26">
        <v>25</v>
      </c>
      <c r="K984" s="21" t="s">
        <v>52</v>
      </c>
      <c r="L984" s="27">
        <v>815</v>
      </c>
      <c r="M984" s="21"/>
      <c r="N984" s="21"/>
      <c r="O984" s="21" t="s">
        <v>1889</v>
      </c>
      <c r="P984" s="21" t="s">
        <v>54</v>
      </c>
      <c r="Q984" s="28">
        <v>46127</v>
      </c>
      <c r="R984" s="29">
        <v>46127.4556712963</v>
      </c>
      <c r="S984" s="21" t="s">
        <v>543</v>
      </c>
      <c r="T984" s="21"/>
      <c r="U984" s="21" t="s">
        <v>539</v>
      </c>
      <c r="V984" s="29">
        <v>46127.4556134259</v>
      </c>
      <c r="W984">
        <f>VLOOKUP(H984,物料編碼!A:B,2,0)</f>
        <v>1300109002</v>
      </c>
      <c r="X984">
        <v>1300109</v>
      </c>
      <c r="Y984" t="str">
        <f>VLOOKUP(X984,物料編碼!D:G,4,0)</f>
        <v>面精肉</v>
      </c>
      <c r="Z984" t="str">
        <f>VLOOKUP(C984,客戶屬性1!A:C,2,0)</f>
        <v>诚信冻肉有限公司</v>
      </c>
      <c r="AA984">
        <f>IF(COUNTIF($O$1:O984,O984)=1,L984,0)</f>
        <v>815</v>
      </c>
    </row>
    <row r="985" customHeight="1" spans="1:27">
      <c r="A985" s="21" t="s">
        <v>1890</v>
      </c>
      <c r="B985" s="21" t="s">
        <v>45</v>
      </c>
      <c r="C985" s="21" t="s">
        <v>858</v>
      </c>
      <c r="D985" s="21" t="s">
        <v>859</v>
      </c>
      <c r="E985" s="21" t="s">
        <v>860</v>
      </c>
      <c r="F985" s="21" t="s">
        <v>49</v>
      </c>
      <c r="G985" s="21" t="s">
        <v>136</v>
      </c>
      <c r="H985" s="21" t="s">
        <v>75</v>
      </c>
      <c r="I985" s="26">
        <v>6</v>
      </c>
      <c r="J985" s="26">
        <v>90</v>
      </c>
      <c r="K985" s="21" t="s">
        <v>52</v>
      </c>
      <c r="L985" s="27">
        <v>1479.1</v>
      </c>
      <c r="M985" s="21"/>
      <c r="N985" s="21"/>
      <c r="O985" s="21" t="s">
        <v>1891</v>
      </c>
      <c r="P985" s="21" t="s">
        <v>54</v>
      </c>
      <c r="Q985" s="28">
        <v>46127</v>
      </c>
      <c r="R985" s="29">
        <v>46127.4049305556</v>
      </c>
      <c r="S985" s="21" t="s">
        <v>863</v>
      </c>
      <c r="T985" s="21"/>
      <c r="U985" s="21" t="s">
        <v>859</v>
      </c>
      <c r="V985" s="29">
        <v>46127.404849537</v>
      </c>
      <c r="W985">
        <f>VLOOKUP(H985,物料編碼!A:B,2,0)</f>
        <v>1300603040</v>
      </c>
      <c r="X985">
        <v>1300603</v>
      </c>
      <c r="Y985" t="str">
        <f>VLOOKUP(X985,物料編碼!D:G,4,0)</f>
        <v>帶骨全腿</v>
      </c>
      <c r="Z985" t="str">
        <f>VLOOKUP(C985,客戶屬性1!A:C,2,0)</f>
        <v>福伟集团有限公司</v>
      </c>
      <c r="AA985">
        <f>IF(COUNTIF($O$1:O985,O985)=1,L985,0)</f>
        <v>1479.1</v>
      </c>
    </row>
    <row r="986" customHeight="1" spans="1:27">
      <c r="A986" s="21" t="s">
        <v>1890</v>
      </c>
      <c r="B986" s="21" t="s">
        <v>45</v>
      </c>
      <c r="C986" s="21" t="s">
        <v>858</v>
      </c>
      <c r="D986" s="21" t="s">
        <v>859</v>
      </c>
      <c r="E986" s="21" t="s">
        <v>860</v>
      </c>
      <c r="F986" s="21" t="s">
        <v>49</v>
      </c>
      <c r="G986" s="21" t="s">
        <v>136</v>
      </c>
      <c r="H986" s="21" t="s">
        <v>1019</v>
      </c>
      <c r="I986" s="26">
        <v>1</v>
      </c>
      <c r="J986" s="26">
        <v>10</v>
      </c>
      <c r="K986" s="21" t="s">
        <v>52</v>
      </c>
      <c r="L986" s="27">
        <v>1479.1</v>
      </c>
      <c r="M986" s="21"/>
      <c r="N986" s="21"/>
      <c r="O986" s="21" t="s">
        <v>1891</v>
      </c>
      <c r="P986" s="21" t="s">
        <v>54</v>
      </c>
      <c r="Q986" s="28">
        <v>46127</v>
      </c>
      <c r="R986" s="29">
        <v>46127.4049305556</v>
      </c>
      <c r="S986" s="21" t="s">
        <v>863</v>
      </c>
      <c r="T986" s="21"/>
      <c r="U986" s="21" t="s">
        <v>859</v>
      </c>
      <c r="V986" s="29">
        <v>46127.404849537</v>
      </c>
      <c r="W986">
        <f>VLOOKUP(H986,物料編碼!A:B,2,0)</f>
        <v>1800108095</v>
      </c>
      <c r="X986">
        <v>1800108</v>
      </c>
      <c r="Y986" t="str">
        <f>VLOOKUP(X986,物料編碼!D:G,4,0)</f>
        <v>魚.其他</v>
      </c>
      <c r="Z986" t="str">
        <f>VLOOKUP(C986,客戶屬性1!A:C,2,0)</f>
        <v>福伟集团有限公司</v>
      </c>
      <c r="AA986">
        <f>IF(COUNTIF($O$1:O986,O986)=1,L986,0)</f>
        <v>0</v>
      </c>
    </row>
    <row r="987" customHeight="1" spans="1:27">
      <c r="A987" s="21" t="s">
        <v>1892</v>
      </c>
      <c r="B987" s="21" t="s">
        <v>45</v>
      </c>
      <c r="C987" s="21" t="s">
        <v>1072</v>
      </c>
      <c r="D987" s="21" t="s">
        <v>1073</v>
      </c>
      <c r="E987" s="21" t="s">
        <v>1074</v>
      </c>
      <c r="F987" s="21" t="s">
        <v>49</v>
      </c>
      <c r="G987" s="21" t="s">
        <v>238</v>
      </c>
      <c r="H987" s="21" t="s">
        <v>190</v>
      </c>
      <c r="I987" s="26">
        <v>20</v>
      </c>
      <c r="J987" s="26">
        <v>240</v>
      </c>
      <c r="K987" s="21" t="s">
        <v>52</v>
      </c>
      <c r="L987" s="27">
        <v>3768</v>
      </c>
      <c r="M987" s="21"/>
      <c r="N987" s="21"/>
      <c r="O987" s="21" t="s">
        <v>1893</v>
      </c>
      <c r="P987" s="21" t="s">
        <v>54</v>
      </c>
      <c r="Q987" s="28">
        <v>46127</v>
      </c>
      <c r="R987" s="29">
        <v>46126.5663310185</v>
      </c>
      <c r="S987" s="21" t="s">
        <v>1076</v>
      </c>
      <c r="T987" s="21"/>
      <c r="U987" s="21" t="s">
        <v>1077</v>
      </c>
      <c r="V987" s="29">
        <v>46126.5662731481</v>
      </c>
      <c r="W987">
        <f>VLOOKUP(H987,物料編碼!A:B,2,0)</f>
        <v>1300609001</v>
      </c>
      <c r="X987">
        <v>1300609</v>
      </c>
      <c r="Y987" t="str">
        <f>VLOOKUP(X987,物料編碼!D:G,4,0)</f>
        <v>去皮上腿肉</v>
      </c>
      <c r="Z987" t="str">
        <f>VLOOKUP(C987,客戶屬性1!A:C,2,0)</f>
        <v>昭楠贸易有限公司</v>
      </c>
      <c r="AA987">
        <f>IF(COUNTIF($O$1:O987,O987)=1,L987,0)</f>
        <v>3768</v>
      </c>
    </row>
    <row r="988" customHeight="1" spans="1:27">
      <c r="A988" s="21" t="s">
        <v>1894</v>
      </c>
      <c r="B988" s="21" t="s">
        <v>45</v>
      </c>
      <c r="C988" s="21" t="s">
        <v>141</v>
      </c>
      <c r="D988" s="21" t="s">
        <v>142</v>
      </c>
      <c r="E988" s="21" t="s">
        <v>142</v>
      </c>
      <c r="F988" s="21" t="s">
        <v>143</v>
      </c>
      <c r="G988" s="21" t="s">
        <v>100</v>
      </c>
      <c r="H988" s="21" t="s">
        <v>117</v>
      </c>
      <c r="I988" s="26">
        <v>3</v>
      </c>
      <c r="J988" s="26">
        <v>45</v>
      </c>
      <c r="K988" s="21" t="s">
        <v>52</v>
      </c>
      <c r="L988" s="27">
        <v>2140</v>
      </c>
      <c r="M988" s="21"/>
      <c r="N988" s="21"/>
      <c r="O988" s="21" t="s">
        <v>1895</v>
      </c>
      <c r="P988" s="21" t="s">
        <v>54</v>
      </c>
      <c r="Q988" s="28">
        <v>46127</v>
      </c>
      <c r="R988" s="29">
        <v>46126.4835532407</v>
      </c>
      <c r="S988" s="21" t="s">
        <v>145</v>
      </c>
      <c r="T988" s="21"/>
      <c r="U988" s="21" t="s">
        <v>142</v>
      </c>
      <c r="V988" s="29">
        <v>46126.4835069444</v>
      </c>
      <c r="W988">
        <f>VLOOKUP(H988,物料編碼!A:B,2,0)</f>
        <v>1300607015</v>
      </c>
      <c r="X988">
        <v>1300607</v>
      </c>
      <c r="Y988" t="str">
        <f>VLOOKUP(X988,物料編碼!D:G,4,0)</f>
        <v>帶皮腿扒</v>
      </c>
      <c r="Z988" t="str">
        <f>VLOOKUP(C988,客戶屬性1!A:C,2,0)</f>
        <v>新昌冻肉</v>
      </c>
      <c r="AA988">
        <f>IF(COUNTIF($O$1:O988,O988)=1,L988,0)</f>
        <v>2140</v>
      </c>
    </row>
    <row r="989" customHeight="1" spans="1:27">
      <c r="A989" s="21" t="s">
        <v>1894</v>
      </c>
      <c r="B989" s="21" t="s">
        <v>45</v>
      </c>
      <c r="C989" s="21" t="s">
        <v>141</v>
      </c>
      <c r="D989" s="21" t="s">
        <v>142</v>
      </c>
      <c r="E989" s="21" t="s">
        <v>142</v>
      </c>
      <c r="F989" s="21" t="s">
        <v>143</v>
      </c>
      <c r="G989" s="21" t="s">
        <v>100</v>
      </c>
      <c r="H989" s="21" t="s">
        <v>60</v>
      </c>
      <c r="I989" s="26">
        <v>1</v>
      </c>
      <c r="J989" s="26">
        <v>25</v>
      </c>
      <c r="K989" s="21" t="s">
        <v>52</v>
      </c>
      <c r="L989" s="27">
        <v>2140</v>
      </c>
      <c r="M989" s="21"/>
      <c r="N989" s="21"/>
      <c r="O989" s="21" t="s">
        <v>1895</v>
      </c>
      <c r="P989" s="21" t="s">
        <v>54</v>
      </c>
      <c r="Q989" s="28">
        <v>46127</v>
      </c>
      <c r="R989" s="29">
        <v>46126.4835532407</v>
      </c>
      <c r="S989" s="21" t="s">
        <v>145</v>
      </c>
      <c r="T989" s="21"/>
      <c r="U989" s="21" t="s">
        <v>142</v>
      </c>
      <c r="V989" s="29">
        <v>46126.4835069444</v>
      </c>
      <c r="W989">
        <f>VLOOKUP(H989,物料編碼!A:B,2,0)</f>
        <v>1300101043</v>
      </c>
      <c r="X989">
        <v>1300101</v>
      </c>
      <c r="Y989" t="str">
        <f>VLOOKUP(X989,物料編碼!D:G,4,0)</f>
        <v>一號肉</v>
      </c>
      <c r="Z989" t="str">
        <f>VLOOKUP(C989,客戶屬性1!A:C,2,0)</f>
        <v>新昌冻肉</v>
      </c>
      <c r="AA989">
        <f>IF(COUNTIF($O$1:O989,O989)=1,L989,0)</f>
        <v>0</v>
      </c>
    </row>
    <row r="990" customHeight="1" spans="1:27">
      <c r="A990" s="21" t="s">
        <v>1894</v>
      </c>
      <c r="B990" s="21" t="s">
        <v>45</v>
      </c>
      <c r="C990" s="21" t="s">
        <v>141</v>
      </c>
      <c r="D990" s="21" t="s">
        <v>142</v>
      </c>
      <c r="E990" s="21" t="s">
        <v>142</v>
      </c>
      <c r="F990" s="21" t="s">
        <v>143</v>
      </c>
      <c r="G990" s="21" t="s">
        <v>100</v>
      </c>
      <c r="H990" s="21" t="s">
        <v>298</v>
      </c>
      <c r="I990" s="26">
        <v>1</v>
      </c>
      <c r="J990" s="26">
        <v>10</v>
      </c>
      <c r="K990" s="21" t="s">
        <v>52</v>
      </c>
      <c r="L990" s="27">
        <v>2140</v>
      </c>
      <c r="M990" s="21"/>
      <c r="N990" s="21"/>
      <c r="O990" s="21" t="s">
        <v>1895</v>
      </c>
      <c r="P990" s="21" t="s">
        <v>54</v>
      </c>
      <c r="Q990" s="28">
        <v>46127</v>
      </c>
      <c r="R990" s="29">
        <v>46126.4835532407</v>
      </c>
      <c r="S990" s="21" t="s">
        <v>145</v>
      </c>
      <c r="T990" s="21"/>
      <c r="U990" s="21" t="s">
        <v>142</v>
      </c>
      <c r="V990" s="29">
        <v>46126.4835069444</v>
      </c>
      <c r="W990">
        <f>VLOOKUP(H990,物料編碼!A:B,2,0)</f>
        <v>1300111003</v>
      </c>
      <c r="X990">
        <v>1300111</v>
      </c>
      <c r="Y990" t="str">
        <f>VLOOKUP(X990,物料編碼!D:G,4,0)</f>
        <v>寸骨</v>
      </c>
      <c r="Z990" t="str">
        <f>VLOOKUP(C990,客戶屬性1!A:C,2,0)</f>
        <v>新昌冻肉</v>
      </c>
      <c r="AA990">
        <f>IF(COUNTIF($O$1:O990,O990)=1,L990,0)</f>
        <v>0</v>
      </c>
    </row>
    <row r="991" customHeight="1" spans="1:27">
      <c r="A991" s="21" t="s">
        <v>1896</v>
      </c>
      <c r="B991" s="21" t="s">
        <v>45</v>
      </c>
      <c r="C991" s="21" t="s">
        <v>235</v>
      </c>
      <c r="D991" s="21" t="s">
        <v>236</v>
      </c>
      <c r="E991" s="21" t="s">
        <v>237</v>
      </c>
      <c r="F991" s="21" t="s">
        <v>49</v>
      </c>
      <c r="G991" s="21" t="s">
        <v>238</v>
      </c>
      <c r="H991" s="21" t="s">
        <v>190</v>
      </c>
      <c r="I991" s="26">
        <v>15</v>
      </c>
      <c r="J991" s="26">
        <v>180</v>
      </c>
      <c r="K991" s="21" t="s">
        <v>52</v>
      </c>
      <c r="L991" s="27">
        <v>2826</v>
      </c>
      <c r="M991" s="21"/>
      <c r="N991" s="21"/>
      <c r="O991" s="21" t="s">
        <v>1897</v>
      </c>
      <c r="P991" s="21" t="s">
        <v>54</v>
      </c>
      <c r="Q991" s="28">
        <v>46127</v>
      </c>
      <c r="R991" s="29">
        <v>46126.4743981482</v>
      </c>
      <c r="S991" s="21" t="s">
        <v>241</v>
      </c>
      <c r="T991" s="21"/>
      <c r="U991" s="21" t="s">
        <v>237</v>
      </c>
      <c r="V991" s="29">
        <v>46126.4743518519</v>
      </c>
      <c r="W991">
        <f>VLOOKUP(H991,物料編碼!A:B,2,0)</f>
        <v>1300609001</v>
      </c>
      <c r="X991">
        <v>1300609</v>
      </c>
      <c r="Y991" t="str">
        <f>VLOOKUP(X991,物料編碼!D:G,4,0)</f>
        <v>去皮上腿肉</v>
      </c>
      <c r="Z991" t="str">
        <f>VLOOKUP(C991,客戶屬性1!A:C,2,0)</f>
        <v>联合林记食品有限公司</v>
      </c>
      <c r="AA991">
        <f>IF(COUNTIF($O$1:O991,O991)=1,L991,0)</f>
        <v>2826</v>
      </c>
    </row>
    <row r="992" customHeight="1" spans="1:27">
      <c r="A992" s="21" t="s">
        <v>1898</v>
      </c>
      <c r="B992" s="21" t="s">
        <v>45</v>
      </c>
      <c r="C992" s="21" t="s">
        <v>538</v>
      </c>
      <c r="D992" s="21" t="s">
        <v>539</v>
      </c>
      <c r="E992" s="21" t="s">
        <v>540</v>
      </c>
      <c r="F992" s="21" t="s">
        <v>49</v>
      </c>
      <c r="G992" s="21" t="s">
        <v>541</v>
      </c>
      <c r="H992" s="21" t="s">
        <v>63</v>
      </c>
      <c r="I992" s="26">
        <v>1</v>
      </c>
      <c r="J992" s="26">
        <v>25</v>
      </c>
      <c r="K992" s="21" t="s">
        <v>52</v>
      </c>
      <c r="L992" s="27">
        <v>815</v>
      </c>
      <c r="M992" s="21"/>
      <c r="N992" s="21"/>
      <c r="O992" s="21" t="s">
        <v>1899</v>
      </c>
      <c r="P992" s="21" t="s">
        <v>54</v>
      </c>
      <c r="Q992" s="28">
        <v>46126</v>
      </c>
      <c r="R992" s="29">
        <v>46126.472962963</v>
      </c>
      <c r="S992" s="21" t="s">
        <v>543</v>
      </c>
      <c r="T992" s="21"/>
      <c r="U992" s="21" t="s">
        <v>539</v>
      </c>
      <c r="V992" s="29">
        <v>46126.4729050926</v>
      </c>
      <c r="W992">
        <f>VLOOKUP(H992,物料編碼!A:B,2,0)</f>
        <v>1300109002</v>
      </c>
      <c r="X992">
        <v>1300109</v>
      </c>
      <c r="Y992" t="str">
        <f>VLOOKUP(X992,物料編碼!D:G,4,0)</f>
        <v>面精肉</v>
      </c>
      <c r="Z992" t="str">
        <f>VLOOKUP(C992,客戶屬性1!A:C,2,0)</f>
        <v>诚信冻肉有限公司</v>
      </c>
      <c r="AA992">
        <f>IF(COUNTIF($O$1:O992,O992)=1,L992,0)</f>
        <v>815</v>
      </c>
    </row>
    <row r="993" customHeight="1" spans="1:27">
      <c r="A993" s="21" t="s">
        <v>1900</v>
      </c>
      <c r="B993" s="21" t="s">
        <v>45</v>
      </c>
      <c r="C993" s="21" t="s">
        <v>72</v>
      </c>
      <c r="D993" s="21" t="s">
        <v>73</v>
      </c>
      <c r="E993" s="21" t="s">
        <v>74</v>
      </c>
      <c r="F993" s="21" t="s">
        <v>49</v>
      </c>
      <c r="G993" s="21" t="s">
        <v>50</v>
      </c>
      <c r="H993" s="21" t="s">
        <v>298</v>
      </c>
      <c r="I993" s="26">
        <v>1</v>
      </c>
      <c r="J993" s="26">
        <v>10</v>
      </c>
      <c r="K993" s="21" t="s">
        <v>52</v>
      </c>
      <c r="L993" s="27">
        <v>520</v>
      </c>
      <c r="M993" s="21"/>
      <c r="N993" s="21"/>
      <c r="O993" s="21" t="s">
        <v>1901</v>
      </c>
      <c r="P993" s="21" t="s">
        <v>54</v>
      </c>
      <c r="Q993" s="28">
        <v>46126</v>
      </c>
      <c r="R993" s="29">
        <v>46125.6600694444</v>
      </c>
      <c r="S993" s="21" t="s">
        <v>288</v>
      </c>
      <c r="T993" s="21"/>
      <c r="U993" s="21" t="s">
        <v>82</v>
      </c>
      <c r="V993" s="29">
        <v>46125.6600115741</v>
      </c>
      <c r="W993">
        <f>VLOOKUP(H993,物料編碼!A:B,2,0)</f>
        <v>1300111003</v>
      </c>
      <c r="X993">
        <v>1300111</v>
      </c>
      <c r="Y993" t="str">
        <f>VLOOKUP(X993,物料編碼!D:G,4,0)</f>
        <v>寸骨</v>
      </c>
      <c r="Z993" t="str">
        <f>VLOOKUP(C993,客戶屬性1!A:C,2,0)</f>
        <v>恒辉贸易公司</v>
      </c>
      <c r="AA993">
        <f>IF(COUNTIF($O$1:O993,O993)=1,L993,0)</f>
        <v>520</v>
      </c>
    </row>
    <row r="994" customHeight="1" spans="1:27">
      <c r="A994" s="21" t="s">
        <v>1902</v>
      </c>
      <c r="B994" s="21" t="s">
        <v>45</v>
      </c>
      <c r="C994" s="21" t="s">
        <v>141</v>
      </c>
      <c r="D994" s="21" t="s">
        <v>142</v>
      </c>
      <c r="E994" s="21" t="s">
        <v>142</v>
      </c>
      <c r="F994" s="21" t="s">
        <v>143</v>
      </c>
      <c r="G994" s="21" t="s">
        <v>100</v>
      </c>
      <c r="H994" s="21" t="s">
        <v>117</v>
      </c>
      <c r="I994" s="26">
        <v>3</v>
      </c>
      <c r="J994" s="26">
        <v>45</v>
      </c>
      <c r="K994" s="21" t="s">
        <v>52</v>
      </c>
      <c r="L994" s="27">
        <v>1510</v>
      </c>
      <c r="M994" s="21"/>
      <c r="N994" s="21"/>
      <c r="O994" s="21" t="s">
        <v>1903</v>
      </c>
      <c r="P994" s="21" t="s">
        <v>54</v>
      </c>
      <c r="Q994" s="28">
        <v>46126</v>
      </c>
      <c r="R994" s="29">
        <v>46125.48</v>
      </c>
      <c r="S994" s="21" t="s">
        <v>145</v>
      </c>
      <c r="T994" s="21"/>
      <c r="U994" s="21" t="s">
        <v>142</v>
      </c>
      <c r="V994" s="29">
        <v>46125.4799305556</v>
      </c>
      <c r="W994">
        <f>VLOOKUP(H994,物料編碼!A:B,2,0)</f>
        <v>1300607015</v>
      </c>
      <c r="X994">
        <v>1300607</v>
      </c>
      <c r="Y994" t="str">
        <f>VLOOKUP(X994,物料編碼!D:G,4,0)</f>
        <v>帶皮腿扒</v>
      </c>
      <c r="Z994" t="str">
        <f>VLOOKUP(C994,客戶屬性1!A:C,2,0)</f>
        <v>新昌冻肉</v>
      </c>
      <c r="AA994">
        <f>IF(COUNTIF($O$1:O994,O994)=1,L994,0)</f>
        <v>1510</v>
      </c>
    </row>
    <row r="995" customHeight="1" spans="1:27">
      <c r="A995" s="21" t="s">
        <v>1902</v>
      </c>
      <c r="B995" s="21" t="s">
        <v>45</v>
      </c>
      <c r="C995" s="21" t="s">
        <v>141</v>
      </c>
      <c r="D995" s="21" t="s">
        <v>142</v>
      </c>
      <c r="E995" s="21" t="s">
        <v>142</v>
      </c>
      <c r="F995" s="21" t="s">
        <v>143</v>
      </c>
      <c r="G995" s="21" t="s">
        <v>100</v>
      </c>
      <c r="H995" s="21" t="s">
        <v>63</v>
      </c>
      <c r="I995" s="26">
        <v>1</v>
      </c>
      <c r="J995" s="26">
        <v>25</v>
      </c>
      <c r="K995" s="21" t="s">
        <v>52</v>
      </c>
      <c r="L995" s="27">
        <v>1510</v>
      </c>
      <c r="M995" s="21"/>
      <c r="N995" s="21"/>
      <c r="O995" s="21" t="s">
        <v>1903</v>
      </c>
      <c r="P995" s="21" t="s">
        <v>54</v>
      </c>
      <c r="Q995" s="28">
        <v>46126</v>
      </c>
      <c r="R995" s="29">
        <v>46125.48</v>
      </c>
      <c r="S995" s="21" t="s">
        <v>145</v>
      </c>
      <c r="T995" s="21"/>
      <c r="U995" s="21" t="s">
        <v>142</v>
      </c>
      <c r="V995" s="29">
        <v>46125.4799305556</v>
      </c>
      <c r="W995">
        <f>VLOOKUP(H995,物料編碼!A:B,2,0)</f>
        <v>1300109002</v>
      </c>
      <c r="X995">
        <v>1300109</v>
      </c>
      <c r="Y995" t="str">
        <f>VLOOKUP(X995,物料編碼!D:G,4,0)</f>
        <v>面精肉</v>
      </c>
      <c r="Z995" t="str">
        <f>VLOOKUP(C995,客戶屬性1!A:C,2,0)</f>
        <v>新昌冻肉</v>
      </c>
      <c r="AA995">
        <f>IF(COUNTIF($O$1:O995,O995)=1,L995,0)</f>
        <v>0</v>
      </c>
    </row>
    <row r="996" customHeight="1" spans="1:27">
      <c r="A996" s="21" t="s">
        <v>1904</v>
      </c>
      <c r="B996" s="21" t="s">
        <v>45</v>
      </c>
      <c r="C996" s="21" t="s">
        <v>858</v>
      </c>
      <c r="D996" s="21" t="s">
        <v>859</v>
      </c>
      <c r="E996" s="21" t="s">
        <v>860</v>
      </c>
      <c r="F996" s="21" t="s">
        <v>49</v>
      </c>
      <c r="G996" s="21" t="s">
        <v>136</v>
      </c>
      <c r="H996" s="21" t="s">
        <v>1019</v>
      </c>
      <c r="I996" s="26">
        <v>1</v>
      </c>
      <c r="J996" s="26">
        <v>10</v>
      </c>
      <c r="K996" s="21" t="s">
        <v>52</v>
      </c>
      <c r="L996" s="27">
        <v>330</v>
      </c>
      <c r="M996" s="21"/>
      <c r="N996" s="21"/>
      <c r="O996" s="21" t="s">
        <v>1905</v>
      </c>
      <c r="P996" s="21" t="s">
        <v>54</v>
      </c>
      <c r="Q996" s="28">
        <v>46125</v>
      </c>
      <c r="R996" s="29">
        <v>46125.4177314815</v>
      </c>
      <c r="S996" s="21" t="s">
        <v>863</v>
      </c>
      <c r="T996" s="21"/>
      <c r="U996" s="21" t="s">
        <v>859</v>
      </c>
      <c r="V996" s="29">
        <v>46125.4176851852</v>
      </c>
      <c r="W996">
        <f>VLOOKUP(H996,物料編碼!A:B,2,0)</f>
        <v>1800108095</v>
      </c>
      <c r="X996">
        <v>1800108</v>
      </c>
      <c r="Y996" t="str">
        <f>VLOOKUP(X996,物料編碼!D:G,4,0)</f>
        <v>魚.其他</v>
      </c>
      <c r="Z996" t="str">
        <f>VLOOKUP(C996,客戶屬性1!A:C,2,0)</f>
        <v>福伟集团有限公司</v>
      </c>
      <c r="AA996">
        <f>IF(COUNTIF($O$1:O996,O996)=1,L996,0)</f>
        <v>330</v>
      </c>
    </row>
    <row r="997" customHeight="1" spans="1:27">
      <c r="A997" s="21" t="s">
        <v>1906</v>
      </c>
      <c r="B997" s="21" t="s">
        <v>45</v>
      </c>
      <c r="C997" s="21" t="s">
        <v>72</v>
      </c>
      <c r="D997" s="21" t="s">
        <v>73</v>
      </c>
      <c r="E997" s="21" t="s">
        <v>74</v>
      </c>
      <c r="F997" s="21" t="s">
        <v>49</v>
      </c>
      <c r="G997" s="21" t="s">
        <v>50</v>
      </c>
      <c r="H997" s="21" t="s">
        <v>190</v>
      </c>
      <c r="I997" s="26">
        <v>8</v>
      </c>
      <c r="J997" s="26">
        <v>96</v>
      </c>
      <c r="K997" s="21" t="s">
        <v>52</v>
      </c>
      <c r="L997" s="27">
        <v>1516.8</v>
      </c>
      <c r="M997" s="21"/>
      <c r="N997" s="21"/>
      <c r="O997" s="21" t="s">
        <v>1907</v>
      </c>
      <c r="P997" s="21" t="s">
        <v>54</v>
      </c>
      <c r="Q997" s="28">
        <v>46125</v>
      </c>
      <c r="R997" s="29">
        <v>46125.3959722222</v>
      </c>
      <c r="S997" s="21" t="s">
        <v>77</v>
      </c>
      <c r="T997" s="21"/>
      <c r="U997" s="21" t="s">
        <v>74</v>
      </c>
      <c r="V997" s="29">
        <v>46125.3959143519</v>
      </c>
      <c r="W997">
        <f>VLOOKUP(H997,物料編碼!A:B,2,0)</f>
        <v>1300609001</v>
      </c>
      <c r="X997">
        <v>1300609</v>
      </c>
      <c r="Y997" t="str">
        <f>VLOOKUP(X997,物料編碼!D:G,4,0)</f>
        <v>去皮上腿肉</v>
      </c>
      <c r="Z997" t="str">
        <f>VLOOKUP(C997,客戶屬性1!A:C,2,0)</f>
        <v>恒辉贸易公司</v>
      </c>
      <c r="AA997">
        <f>IF(COUNTIF($O$1:O997,O997)=1,L997,0)</f>
        <v>1516.8</v>
      </c>
    </row>
    <row r="998" customHeight="1" spans="1:27">
      <c r="A998" s="21" t="s">
        <v>1908</v>
      </c>
      <c r="B998" s="21" t="s">
        <v>45</v>
      </c>
      <c r="C998" s="21" t="s">
        <v>72</v>
      </c>
      <c r="D998" s="21" t="s">
        <v>73</v>
      </c>
      <c r="E998" s="21" t="s">
        <v>74</v>
      </c>
      <c r="F998" s="21" t="s">
        <v>49</v>
      </c>
      <c r="G998" s="21" t="s">
        <v>50</v>
      </c>
      <c r="H998" s="21" t="s">
        <v>1541</v>
      </c>
      <c r="I998" s="26">
        <v>1</v>
      </c>
      <c r="J998" s="26">
        <v>14.4</v>
      </c>
      <c r="K998" s="21" t="s">
        <v>52</v>
      </c>
      <c r="L998" s="27">
        <v>155.52</v>
      </c>
      <c r="M998" s="21"/>
      <c r="N998" s="21"/>
      <c r="O998" s="21" t="s">
        <v>1909</v>
      </c>
      <c r="P998" s="21" t="s">
        <v>54</v>
      </c>
      <c r="Q998" s="28">
        <v>46125</v>
      </c>
      <c r="R998" s="29">
        <v>46125.3749537037</v>
      </c>
      <c r="S998" s="21" t="s">
        <v>1910</v>
      </c>
      <c r="T998" s="21"/>
      <c r="U998" s="21" t="s">
        <v>1911</v>
      </c>
      <c r="V998" s="29">
        <v>46125.3748958333</v>
      </c>
      <c r="W998">
        <f>VLOOKUP(H998,物料編碼!A:B,2,0)</f>
        <v>1300901006</v>
      </c>
      <c r="X998">
        <v>1300901</v>
      </c>
      <c r="Y998" t="str">
        <f>VLOOKUP(X998,物料編碼!D:G,4,0)</f>
        <v>整鴨</v>
      </c>
      <c r="Z998" t="str">
        <f>VLOOKUP(C998,客戶屬性1!A:C,2,0)</f>
        <v>恒辉贸易公司</v>
      </c>
      <c r="AA998">
        <f>IF(COUNTIF($O$1:O998,O998)=1,L998,0)</f>
        <v>155.52</v>
      </c>
    </row>
    <row r="999" customHeight="1" spans="1:27">
      <c r="A999" s="21" t="s">
        <v>1912</v>
      </c>
      <c r="B999" s="21" t="s">
        <v>45</v>
      </c>
      <c r="C999" s="21" t="s">
        <v>1072</v>
      </c>
      <c r="D999" s="21" t="s">
        <v>1073</v>
      </c>
      <c r="E999" s="21" t="s">
        <v>1074</v>
      </c>
      <c r="F999" s="21" t="s">
        <v>49</v>
      </c>
      <c r="G999" s="21" t="s">
        <v>238</v>
      </c>
      <c r="H999" s="21" t="s">
        <v>190</v>
      </c>
      <c r="I999" s="26">
        <v>1</v>
      </c>
      <c r="J999" s="26">
        <v>12</v>
      </c>
      <c r="K999" s="21" t="s">
        <v>52</v>
      </c>
      <c r="L999" s="27">
        <v>189.6</v>
      </c>
      <c r="M999" s="21"/>
      <c r="N999" s="21"/>
      <c r="O999" s="21" t="s">
        <v>1913</v>
      </c>
      <c r="P999" s="21" t="s">
        <v>54</v>
      </c>
      <c r="Q999" s="28">
        <v>46125</v>
      </c>
      <c r="R999" s="29">
        <v>46123.4985069444</v>
      </c>
      <c r="S999" s="21" t="s">
        <v>1076</v>
      </c>
      <c r="T999" s="21"/>
      <c r="U999" s="21" t="s">
        <v>1077</v>
      </c>
      <c r="V999" s="29">
        <v>46123.4984606481</v>
      </c>
      <c r="W999">
        <f>VLOOKUP(H999,物料編碼!A:B,2,0)</f>
        <v>1300609001</v>
      </c>
      <c r="X999">
        <v>1300609</v>
      </c>
      <c r="Y999" t="str">
        <f>VLOOKUP(X999,物料編碼!D:G,4,0)</f>
        <v>去皮上腿肉</v>
      </c>
      <c r="Z999" t="str">
        <f>VLOOKUP(C999,客戶屬性1!A:C,2,0)</f>
        <v>昭楠贸易有限公司</v>
      </c>
      <c r="AA999">
        <f>IF(COUNTIF($O$1:O999,O999)=1,L999,0)</f>
        <v>189.6</v>
      </c>
    </row>
    <row r="1000" customHeight="1" spans="1:27">
      <c r="A1000" s="21" t="s">
        <v>1914</v>
      </c>
      <c r="B1000" s="21" t="s">
        <v>45</v>
      </c>
      <c r="C1000" s="21" t="s">
        <v>72</v>
      </c>
      <c r="D1000" s="21" t="s">
        <v>73</v>
      </c>
      <c r="E1000" s="21" t="s">
        <v>74</v>
      </c>
      <c r="F1000" s="21" t="s">
        <v>49</v>
      </c>
      <c r="G1000" s="21" t="s">
        <v>50</v>
      </c>
      <c r="H1000" s="21" t="s">
        <v>190</v>
      </c>
      <c r="I1000" s="26">
        <v>8</v>
      </c>
      <c r="J1000" s="26">
        <v>96</v>
      </c>
      <c r="K1000" s="21" t="s">
        <v>52</v>
      </c>
      <c r="L1000" s="27">
        <v>1516.8</v>
      </c>
      <c r="M1000" s="21"/>
      <c r="N1000" s="21"/>
      <c r="O1000" s="21" t="s">
        <v>1915</v>
      </c>
      <c r="P1000" s="21" t="s">
        <v>54</v>
      </c>
      <c r="Q1000" s="28">
        <v>46125</v>
      </c>
      <c r="R1000" s="29">
        <v>46123.4762037037</v>
      </c>
      <c r="S1000" s="21" t="s">
        <v>77</v>
      </c>
      <c r="T1000" s="21"/>
      <c r="U1000" s="21" t="s">
        <v>74</v>
      </c>
      <c r="V1000" s="29">
        <v>46123.4761342593</v>
      </c>
      <c r="W1000">
        <f>VLOOKUP(H1000,物料編碼!A:B,2,0)</f>
        <v>1300609001</v>
      </c>
      <c r="X1000">
        <v>1300609</v>
      </c>
      <c r="Y1000" t="str">
        <f>VLOOKUP(X1000,物料編碼!D:G,4,0)</f>
        <v>去皮上腿肉</v>
      </c>
      <c r="Z1000" t="str">
        <f>VLOOKUP(C1000,客戶屬性1!A:C,2,0)</f>
        <v>恒辉贸易公司</v>
      </c>
      <c r="AA1000">
        <f>IF(COUNTIF($O$1:O1000,O1000)=1,L1000,0)</f>
        <v>1516.8</v>
      </c>
    </row>
    <row r="1001" customHeight="1" spans="1:27">
      <c r="A1001" s="21" t="s">
        <v>1916</v>
      </c>
      <c r="B1001" s="21" t="s">
        <v>45</v>
      </c>
      <c r="C1001" s="21" t="s">
        <v>72</v>
      </c>
      <c r="D1001" s="21" t="s">
        <v>73</v>
      </c>
      <c r="E1001" s="21" t="s">
        <v>74</v>
      </c>
      <c r="F1001" s="21" t="s">
        <v>49</v>
      </c>
      <c r="G1001" s="21" t="s">
        <v>50</v>
      </c>
      <c r="H1001" s="21" t="s">
        <v>63</v>
      </c>
      <c r="I1001" s="26">
        <v>3</v>
      </c>
      <c r="J1001" s="26">
        <v>75</v>
      </c>
      <c r="K1001" s="21" t="s">
        <v>52</v>
      </c>
      <c r="L1001" s="27">
        <v>2445</v>
      </c>
      <c r="M1001" s="21"/>
      <c r="N1001" s="21"/>
      <c r="O1001" s="21" t="s">
        <v>1917</v>
      </c>
      <c r="P1001" s="21" t="s">
        <v>54</v>
      </c>
      <c r="Q1001" s="28">
        <v>46125</v>
      </c>
      <c r="R1001" s="29">
        <v>46123.4597222222</v>
      </c>
      <c r="S1001" s="21" t="s">
        <v>288</v>
      </c>
      <c r="T1001" s="21"/>
      <c r="U1001" s="21" t="s">
        <v>82</v>
      </c>
      <c r="V1001" s="29">
        <v>46123.4596527778</v>
      </c>
      <c r="W1001">
        <f>VLOOKUP(H1001,物料編碼!A:B,2,0)</f>
        <v>1300109002</v>
      </c>
      <c r="X1001">
        <v>1300109</v>
      </c>
      <c r="Y1001" t="str">
        <f>VLOOKUP(X1001,物料編碼!D:G,4,0)</f>
        <v>面精肉</v>
      </c>
      <c r="Z1001" t="str">
        <f>VLOOKUP(C1001,客戶屬性1!A:C,2,0)</f>
        <v>恒辉贸易公司</v>
      </c>
      <c r="AA1001">
        <f>IF(COUNTIF($O$1:O1001,O1001)=1,L1001,0)</f>
        <v>2445</v>
      </c>
    </row>
    <row r="1002" customHeight="1" spans="1:27">
      <c r="A1002" s="21" t="s">
        <v>1918</v>
      </c>
      <c r="B1002" s="21" t="s">
        <v>45</v>
      </c>
      <c r="C1002" s="21" t="s">
        <v>1919</v>
      </c>
      <c r="D1002" s="21" t="s">
        <v>1920</v>
      </c>
      <c r="E1002" s="21" t="s">
        <v>1921</v>
      </c>
      <c r="F1002" s="21" t="s">
        <v>49</v>
      </c>
      <c r="G1002" s="21" t="s">
        <v>238</v>
      </c>
      <c r="H1002" s="21" t="s">
        <v>63</v>
      </c>
      <c r="I1002" s="26">
        <v>2</v>
      </c>
      <c r="J1002" s="26">
        <v>50</v>
      </c>
      <c r="K1002" s="21" t="s">
        <v>52</v>
      </c>
      <c r="L1002" s="27">
        <v>1630</v>
      </c>
      <c r="M1002" s="21"/>
      <c r="N1002" s="21"/>
      <c r="O1002" s="21" t="s">
        <v>1922</v>
      </c>
      <c r="P1002" s="21" t="s">
        <v>54</v>
      </c>
      <c r="Q1002" s="28">
        <v>46125</v>
      </c>
      <c r="R1002" s="29">
        <v>46122.7873842593</v>
      </c>
      <c r="S1002" s="21" t="s">
        <v>1923</v>
      </c>
      <c r="T1002" s="21"/>
      <c r="U1002" s="21" t="s">
        <v>1920</v>
      </c>
      <c r="V1002" s="29">
        <v>46122.787337963</v>
      </c>
      <c r="W1002">
        <f>VLOOKUP(H1002,物料編碼!A:B,2,0)</f>
        <v>1300109002</v>
      </c>
      <c r="X1002">
        <v>1300109</v>
      </c>
      <c r="Y1002" t="str">
        <f>VLOOKUP(X1002,物料編碼!D:G,4,0)</f>
        <v>面精肉</v>
      </c>
      <c r="Z1002" t="str">
        <f>VLOOKUP(C1002,客戶屬性1!A:C,2,0)</f>
        <v>龙华食品有限公司</v>
      </c>
      <c r="AA1002">
        <f>IF(COUNTIF($O$1:O1002,O1002)=1,L1002,0)</f>
        <v>1630</v>
      </c>
    </row>
    <row r="1003" customHeight="1" spans="1:27">
      <c r="A1003" s="21" t="s">
        <v>1924</v>
      </c>
      <c r="B1003" s="21" t="s">
        <v>45</v>
      </c>
      <c r="C1003" s="21" t="s">
        <v>72</v>
      </c>
      <c r="D1003" s="21" t="s">
        <v>73</v>
      </c>
      <c r="E1003" s="21" t="s">
        <v>74</v>
      </c>
      <c r="F1003" s="21" t="s">
        <v>49</v>
      </c>
      <c r="G1003" s="21" t="s">
        <v>50</v>
      </c>
      <c r="H1003" s="21" t="s">
        <v>248</v>
      </c>
      <c r="I1003" s="26">
        <v>1</v>
      </c>
      <c r="J1003" s="26">
        <v>25</v>
      </c>
      <c r="K1003" s="21" t="s">
        <v>52</v>
      </c>
      <c r="L1003" s="27">
        <v>670</v>
      </c>
      <c r="M1003" s="21"/>
      <c r="N1003" s="21"/>
      <c r="O1003" s="21" t="s">
        <v>1925</v>
      </c>
      <c r="P1003" s="21" t="s">
        <v>54</v>
      </c>
      <c r="Q1003" s="28">
        <v>46123</v>
      </c>
      <c r="R1003" s="29">
        <v>46122.7068865741</v>
      </c>
      <c r="S1003" s="21" t="s">
        <v>77</v>
      </c>
      <c r="T1003" s="21"/>
      <c r="U1003" s="21" t="s">
        <v>74</v>
      </c>
      <c r="V1003" s="29">
        <v>46122.7068518518</v>
      </c>
      <c r="W1003">
        <f>VLOOKUP(H1003,物料編碼!A:B,2,0)</f>
        <v>1300101007</v>
      </c>
      <c r="X1003">
        <v>1300101</v>
      </c>
      <c r="Y1003" t="str">
        <f>VLOOKUP(X1003,物料編碼!D:G,4,0)</f>
        <v>一號肉</v>
      </c>
      <c r="Z1003" t="str">
        <f>VLOOKUP(C1003,客戶屬性1!A:C,2,0)</f>
        <v>恒辉贸易公司</v>
      </c>
      <c r="AA1003">
        <f>IF(COUNTIF($O$1:O1003,O1003)=1,L1003,0)</f>
        <v>670</v>
      </c>
    </row>
    <row r="1004" customHeight="1" spans="1:27">
      <c r="A1004" s="21" t="s">
        <v>1926</v>
      </c>
      <c r="B1004" s="21" t="s">
        <v>45</v>
      </c>
      <c r="C1004" s="21" t="s">
        <v>1064</v>
      </c>
      <c r="D1004" s="21" t="s">
        <v>1065</v>
      </c>
      <c r="E1004" s="21" t="s">
        <v>1066</v>
      </c>
      <c r="F1004" s="21" t="s">
        <v>49</v>
      </c>
      <c r="G1004" s="21" t="s">
        <v>89</v>
      </c>
      <c r="H1004" s="21" t="s">
        <v>63</v>
      </c>
      <c r="I1004" s="26">
        <v>5</v>
      </c>
      <c r="J1004" s="26">
        <v>125</v>
      </c>
      <c r="K1004" s="21" t="s">
        <v>52</v>
      </c>
      <c r="L1004" s="27">
        <v>4075</v>
      </c>
      <c r="M1004" s="21"/>
      <c r="N1004" s="21"/>
      <c r="O1004" s="21" t="s">
        <v>1927</v>
      </c>
      <c r="P1004" s="21" t="s">
        <v>54</v>
      </c>
      <c r="Q1004" s="28">
        <v>46125</v>
      </c>
      <c r="R1004" s="29">
        <v>46122.6537615741</v>
      </c>
      <c r="S1004" s="21" t="s">
        <v>1068</v>
      </c>
      <c r="T1004" s="21"/>
      <c r="U1004" s="21" t="s">
        <v>1065</v>
      </c>
      <c r="V1004" s="29">
        <v>46122.6537268519</v>
      </c>
      <c r="W1004">
        <f>VLOOKUP(H1004,物料編碼!A:B,2,0)</f>
        <v>1300109002</v>
      </c>
      <c r="X1004">
        <v>1300109</v>
      </c>
      <c r="Y1004" t="str">
        <f>VLOOKUP(X1004,物料編碼!D:G,4,0)</f>
        <v>面精肉</v>
      </c>
      <c r="Z1004" t="str">
        <f>VLOOKUP(C1004,客戶屬性1!A:C,2,0)</f>
        <v>明兴食品有限公司(元朗)</v>
      </c>
      <c r="AA1004">
        <f>IF(COUNTIF($O$1:O1004,O1004)=1,L1004,0)</f>
        <v>4075</v>
      </c>
    </row>
    <row r="1005" customHeight="1" spans="1:27">
      <c r="A1005" s="21" t="s">
        <v>1928</v>
      </c>
      <c r="B1005" s="21" t="s">
        <v>45</v>
      </c>
      <c r="C1005" s="21" t="s">
        <v>1064</v>
      </c>
      <c r="D1005" s="21" t="s">
        <v>1065</v>
      </c>
      <c r="E1005" s="21" t="s">
        <v>1066</v>
      </c>
      <c r="F1005" s="21" t="s">
        <v>49</v>
      </c>
      <c r="G1005" s="21" t="s">
        <v>89</v>
      </c>
      <c r="H1005" s="21" t="s">
        <v>63</v>
      </c>
      <c r="I1005" s="26">
        <v>5</v>
      </c>
      <c r="J1005" s="26">
        <v>125</v>
      </c>
      <c r="K1005" s="21" t="s">
        <v>52</v>
      </c>
      <c r="L1005" s="27">
        <v>4075</v>
      </c>
      <c r="M1005" s="21"/>
      <c r="N1005" s="21"/>
      <c r="O1005" s="21" t="s">
        <v>1929</v>
      </c>
      <c r="P1005" s="21" t="s">
        <v>54</v>
      </c>
      <c r="Q1005" s="28">
        <v>46125</v>
      </c>
      <c r="R1005" s="29">
        <v>46122.5288194444</v>
      </c>
      <c r="S1005" s="21" t="s">
        <v>1068</v>
      </c>
      <c r="T1005" s="21"/>
      <c r="U1005" s="21" t="s">
        <v>1065</v>
      </c>
      <c r="V1005" s="29">
        <v>46122.5287731482</v>
      </c>
      <c r="W1005">
        <f>VLOOKUP(H1005,物料編碼!A:B,2,0)</f>
        <v>1300109002</v>
      </c>
      <c r="X1005">
        <v>1300109</v>
      </c>
      <c r="Y1005" t="str">
        <f>VLOOKUP(X1005,物料編碼!D:G,4,0)</f>
        <v>面精肉</v>
      </c>
      <c r="Z1005" t="str">
        <f>VLOOKUP(C1005,客戶屬性1!A:C,2,0)</f>
        <v>明兴食品有限公司(元朗)</v>
      </c>
      <c r="AA1005">
        <f>IF(COUNTIF($O$1:O1005,O1005)=1,L1005,0)</f>
        <v>4075</v>
      </c>
    </row>
    <row r="1006" customHeight="1" spans="1:27">
      <c r="A1006" s="21" t="s">
        <v>1930</v>
      </c>
      <c r="B1006" s="21" t="s">
        <v>45</v>
      </c>
      <c r="C1006" s="21" t="s">
        <v>216</v>
      </c>
      <c r="D1006" s="21" t="s">
        <v>217</v>
      </c>
      <c r="E1006" s="21" t="s">
        <v>218</v>
      </c>
      <c r="F1006" s="21" t="s">
        <v>49</v>
      </c>
      <c r="G1006" s="21" t="s">
        <v>68</v>
      </c>
      <c r="H1006" s="21" t="s">
        <v>161</v>
      </c>
      <c r="I1006" s="26">
        <v>1</v>
      </c>
      <c r="J1006" s="26">
        <v>20</v>
      </c>
      <c r="K1006" s="21" t="s">
        <v>52</v>
      </c>
      <c r="L1006" s="27">
        <v>1860</v>
      </c>
      <c r="M1006" s="21"/>
      <c r="N1006" s="21"/>
      <c r="O1006" s="21" t="s">
        <v>1931</v>
      </c>
      <c r="P1006" s="21" t="s">
        <v>54</v>
      </c>
      <c r="Q1006" s="28">
        <v>46123</v>
      </c>
      <c r="R1006" s="29">
        <v>46122.5202893519</v>
      </c>
      <c r="S1006" s="21" t="s">
        <v>221</v>
      </c>
      <c r="T1006" s="21"/>
      <c r="U1006" s="21" t="s">
        <v>222</v>
      </c>
      <c r="V1006" s="29">
        <v>46122.5202430556</v>
      </c>
      <c r="W1006">
        <f>VLOOKUP(H1006,物料編碼!A:B,2,0)</f>
        <v>1300501020</v>
      </c>
      <c r="X1006">
        <v>1300501</v>
      </c>
      <c r="Y1006" t="str">
        <f>VLOOKUP(X1006,物料編碼!D:G,4,0)</f>
        <v>羊排</v>
      </c>
      <c r="Z1006" t="str">
        <f>VLOOKUP(C1006,客戶屬性1!A:C,2,0)</f>
        <v>天恒食品有限公司</v>
      </c>
      <c r="AA1006">
        <f>IF(COUNTIF($O$1:O1006,O1006)=1,L1006,0)</f>
        <v>1860</v>
      </c>
    </row>
    <row r="1007" customHeight="1" spans="1:27">
      <c r="A1007" s="21" t="s">
        <v>1932</v>
      </c>
      <c r="B1007" s="21" t="s">
        <v>45</v>
      </c>
      <c r="C1007" s="21" t="s">
        <v>141</v>
      </c>
      <c r="D1007" s="21" t="s">
        <v>142</v>
      </c>
      <c r="E1007" s="21" t="s">
        <v>142</v>
      </c>
      <c r="F1007" s="21" t="s">
        <v>143</v>
      </c>
      <c r="G1007" s="21" t="s">
        <v>100</v>
      </c>
      <c r="H1007" s="21" t="s">
        <v>117</v>
      </c>
      <c r="I1007" s="26">
        <v>5</v>
      </c>
      <c r="J1007" s="26">
        <v>75</v>
      </c>
      <c r="K1007" s="21" t="s">
        <v>52</v>
      </c>
      <c r="L1007" s="27">
        <v>2053.5</v>
      </c>
      <c r="M1007" s="21"/>
      <c r="N1007" s="21"/>
      <c r="O1007" s="21" t="s">
        <v>1933</v>
      </c>
      <c r="P1007" s="21" t="s">
        <v>54</v>
      </c>
      <c r="Q1007" s="28">
        <v>46125</v>
      </c>
      <c r="R1007" s="29">
        <v>46122.4837384259</v>
      </c>
      <c r="S1007" s="21" t="s">
        <v>145</v>
      </c>
      <c r="T1007" s="21"/>
      <c r="U1007" s="21" t="s">
        <v>142</v>
      </c>
      <c r="V1007" s="29">
        <v>46122.4836805556</v>
      </c>
      <c r="W1007">
        <f>VLOOKUP(H1007,物料編碼!A:B,2,0)</f>
        <v>1300607015</v>
      </c>
      <c r="X1007">
        <v>1300607</v>
      </c>
      <c r="Y1007" t="str">
        <f>VLOOKUP(X1007,物料編碼!D:G,4,0)</f>
        <v>帶皮腿扒</v>
      </c>
      <c r="Z1007" t="str">
        <f>VLOOKUP(C1007,客戶屬性1!A:C,2,0)</f>
        <v>新昌冻肉</v>
      </c>
      <c r="AA1007">
        <f>IF(COUNTIF($O$1:O1007,O1007)=1,L1007,0)</f>
        <v>2053.5</v>
      </c>
    </row>
    <row r="1008" customHeight="1" spans="1:27">
      <c r="A1008" s="21" t="s">
        <v>1932</v>
      </c>
      <c r="B1008" s="21" t="s">
        <v>45</v>
      </c>
      <c r="C1008" s="21" t="s">
        <v>141</v>
      </c>
      <c r="D1008" s="21" t="s">
        <v>142</v>
      </c>
      <c r="E1008" s="21" t="s">
        <v>142</v>
      </c>
      <c r="F1008" s="21" t="s">
        <v>143</v>
      </c>
      <c r="G1008" s="21" t="s">
        <v>100</v>
      </c>
      <c r="H1008" s="21" t="s">
        <v>60</v>
      </c>
      <c r="I1008" s="26">
        <v>1</v>
      </c>
      <c r="J1008" s="26">
        <v>25</v>
      </c>
      <c r="K1008" s="21" t="s">
        <v>52</v>
      </c>
      <c r="L1008" s="27">
        <v>2053.5</v>
      </c>
      <c r="M1008" s="21"/>
      <c r="N1008" s="21"/>
      <c r="O1008" s="21" t="s">
        <v>1933</v>
      </c>
      <c r="P1008" s="21" t="s">
        <v>54</v>
      </c>
      <c r="Q1008" s="28">
        <v>46125</v>
      </c>
      <c r="R1008" s="29">
        <v>46122.4837384259</v>
      </c>
      <c r="S1008" s="21" t="s">
        <v>145</v>
      </c>
      <c r="T1008" s="21"/>
      <c r="U1008" s="21" t="s">
        <v>142</v>
      </c>
      <c r="V1008" s="29">
        <v>46122.4836805556</v>
      </c>
      <c r="W1008">
        <f>VLOOKUP(H1008,物料編碼!A:B,2,0)</f>
        <v>1300101043</v>
      </c>
      <c r="X1008">
        <v>1300101</v>
      </c>
      <c r="Y1008" t="str">
        <f>VLOOKUP(X1008,物料編碼!D:G,4,0)</f>
        <v>一號肉</v>
      </c>
      <c r="Z1008" t="str">
        <f>VLOOKUP(C1008,客戶屬性1!A:C,2,0)</f>
        <v>新昌冻肉</v>
      </c>
      <c r="AA1008">
        <f>IF(COUNTIF($O$1:O1008,O1008)=1,L1008,0)</f>
        <v>0</v>
      </c>
    </row>
    <row r="1009" customHeight="1" spans="1:27">
      <c r="A1009" s="21" t="s">
        <v>1934</v>
      </c>
      <c r="B1009" s="21" t="s">
        <v>45</v>
      </c>
      <c r="C1009" s="21" t="s">
        <v>141</v>
      </c>
      <c r="D1009" s="21" t="s">
        <v>142</v>
      </c>
      <c r="E1009" s="21" t="s">
        <v>142</v>
      </c>
      <c r="F1009" s="21" t="s">
        <v>143</v>
      </c>
      <c r="G1009" s="21" t="s">
        <v>100</v>
      </c>
      <c r="H1009" s="21" t="s">
        <v>117</v>
      </c>
      <c r="I1009" s="26">
        <v>5</v>
      </c>
      <c r="J1009" s="26">
        <v>75</v>
      </c>
      <c r="K1009" s="21" t="s">
        <v>52</v>
      </c>
      <c r="L1009" s="27">
        <v>1923.5</v>
      </c>
      <c r="M1009" s="21"/>
      <c r="N1009" s="21"/>
      <c r="O1009" s="21" t="s">
        <v>1935</v>
      </c>
      <c r="P1009" s="21" t="s">
        <v>54</v>
      </c>
      <c r="Q1009" s="28">
        <v>46123</v>
      </c>
      <c r="R1009" s="29">
        <v>46122.4823726852</v>
      </c>
      <c r="S1009" s="21" t="s">
        <v>145</v>
      </c>
      <c r="T1009" s="21"/>
      <c r="U1009" s="21" t="s">
        <v>142</v>
      </c>
      <c r="V1009" s="29">
        <v>46122.4823148148</v>
      </c>
      <c r="W1009">
        <f>VLOOKUP(H1009,物料編碼!A:B,2,0)</f>
        <v>1300607015</v>
      </c>
      <c r="X1009">
        <v>1300607</v>
      </c>
      <c r="Y1009" t="str">
        <f>VLOOKUP(X1009,物料編碼!D:G,4,0)</f>
        <v>帶皮腿扒</v>
      </c>
      <c r="Z1009" t="str">
        <f>VLOOKUP(C1009,客戶屬性1!A:C,2,0)</f>
        <v>新昌冻肉</v>
      </c>
      <c r="AA1009">
        <f>IF(COUNTIF($O$1:O1009,O1009)=1,L1009,0)</f>
        <v>1923.5</v>
      </c>
    </row>
    <row r="1010" customHeight="1" spans="1:27">
      <c r="A1010" s="21" t="s">
        <v>1934</v>
      </c>
      <c r="B1010" s="21" t="s">
        <v>45</v>
      </c>
      <c r="C1010" s="21" t="s">
        <v>141</v>
      </c>
      <c r="D1010" s="21" t="s">
        <v>142</v>
      </c>
      <c r="E1010" s="21" t="s">
        <v>142</v>
      </c>
      <c r="F1010" s="21" t="s">
        <v>143</v>
      </c>
      <c r="G1010" s="21" t="s">
        <v>100</v>
      </c>
      <c r="H1010" s="21" t="s">
        <v>63</v>
      </c>
      <c r="I1010" s="26">
        <v>1</v>
      </c>
      <c r="J1010" s="26">
        <v>25</v>
      </c>
      <c r="K1010" s="21" t="s">
        <v>52</v>
      </c>
      <c r="L1010" s="27">
        <v>1923.5</v>
      </c>
      <c r="M1010" s="21"/>
      <c r="N1010" s="21"/>
      <c r="O1010" s="21" t="s">
        <v>1935</v>
      </c>
      <c r="P1010" s="21" t="s">
        <v>54</v>
      </c>
      <c r="Q1010" s="28">
        <v>46123</v>
      </c>
      <c r="R1010" s="29">
        <v>46122.4823726852</v>
      </c>
      <c r="S1010" s="21" t="s">
        <v>145</v>
      </c>
      <c r="T1010" s="21"/>
      <c r="U1010" s="21" t="s">
        <v>142</v>
      </c>
      <c r="V1010" s="29">
        <v>46122.4823148148</v>
      </c>
      <c r="W1010">
        <f>VLOOKUP(H1010,物料編碼!A:B,2,0)</f>
        <v>1300109002</v>
      </c>
      <c r="X1010">
        <v>1300109</v>
      </c>
      <c r="Y1010" t="str">
        <f>VLOOKUP(X1010,物料編碼!D:G,4,0)</f>
        <v>面精肉</v>
      </c>
      <c r="Z1010" t="str">
        <f>VLOOKUP(C1010,客戶屬性1!A:C,2,0)</f>
        <v>新昌冻肉</v>
      </c>
      <c r="AA1010">
        <f>IF(COUNTIF($O$1:O1010,O1010)=1,L1010,0)</f>
        <v>0</v>
      </c>
    </row>
    <row r="1011" customHeight="1" spans="1:27">
      <c r="A1011" s="21" t="s">
        <v>1936</v>
      </c>
      <c r="B1011" s="21" t="s">
        <v>45</v>
      </c>
      <c r="C1011" s="21" t="s">
        <v>158</v>
      </c>
      <c r="D1011" s="21" t="s">
        <v>159</v>
      </c>
      <c r="E1011" s="21" t="s">
        <v>160</v>
      </c>
      <c r="F1011" s="21" t="s">
        <v>49</v>
      </c>
      <c r="G1011" s="21" t="s">
        <v>68</v>
      </c>
      <c r="H1011" s="21" t="s">
        <v>161</v>
      </c>
      <c r="I1011" s="26">
        <v>10</v>
      </c>
      <c r="J1011" s="26">
        <v>200</v>
      </c>
      <c r="K1011" s="21" t="s">
        <v>52</v>
      </c>
      <c r="L1011" s="27">
        <v>18600</v>
      </c>
      <c r="M1011" s="21"/>
      <c r="N1011" s="21"/>
      <c r="O1011" s="21" t="s">
        <v>1937</v>
      </c>
      <c r="P1011" s="21" t="s">
        <v>54</v>
      </c>
      <c r="Q1011" s="28">
        <v>46123</v>
      </c>
      <c r="R1011" s="29">
        <v>46122.4506597222</v>
      </c>
      <c r="S1011" s="21" t="s">
        <v>163</v>
      </c>
      <c r="T1011" s="21"/>
      <c r="U1011" s="21" t="s">
        <v>164</v>
      </c>
      <c r="V1011" s="29">
        <v>46122.4506134259</v>
      </c>
      <c r="W1011">
        <f>VLOOKUP(H1011,物料編碼!A:B,2,0)</f>
        <v>1300501020</v>
      </c>
      <c r="X1011">
        <v>1300501</v>
      </c>
      <c r="Y1011" t="str">
        <f>VLOOKUP(X1011,物料編碼!D:G,4,0)</f>
        <v>羊排</v>
      </c>
      <c r="Z1011" t="str">
        <f>VLOOKUP(C1011,客戶屬性1!A:C,2,0)</f>
        <v>先进食品国际有限公司</v>
      </c>
      <c r="AA1011">
        <f>IF(COUNTIF($O$1:O1011,O1011)=1,L1011,0)</f>
        <v>18600</v>
      </c>
    </row>
    <row r="1012" customHeight="1" spans="1:27">
      <c r="A1012" s="21" t="s">
        <v>1938</v>
      </c>
      <c r="B1012" s="21" t="s">
        <v>45</v>
      </c>
      <c r="C1012" s="21" t="s">
        <v>158</v>
      </c>
      <c r="D1012" s="21" t="s">
        <v>159</v>
      </c>
      <c r="E1012" s="21" t="s">
        <v>160</v>
      </c>
      <c r="F1012" s="21" t="s">
        <v>49</v>
      </c>
      <c r="G1012" s="21" t="s">
        <v>68</v>
      </c>
      <c r="H1012" s="21" t="s">
        <v>161</v>
      </c>
      <c r="I1012" s="26">
        <v>10</v>
      </c>
      <c r="J1012" s="26">
        <v>200</v>
      </c>
      <c r="K1012" s="21" t="s">
        <v>52</v>
      </c>
      <c r="L1012" s="27">
        <v>18600</v>
      </c>
      <c r="M1012" s="21"/>
      <c r="N1012" s="21"/>
      <c r="O1012" s="21" t="s">
        <v>1939</v>
      </c>
      <c r="P1012" s="21" t="s">
        <v>183</v>
      </c>
      <c r="Q1012" s="28">
        <v>46123</v>
      </c>
      <c r="R1012" s="29">
        <v>46122.4435532407</v>
      </c>
      <c r="S1012" s="21" t="s">
        <v>163</v>
      </c>
      <c r="T1012" s="21"/>
      <c r="U1012" s="21" t="s">
        <v>164</v>
      </c>
      <c r="V1012" s="29">
        <v>46122.4434953704</v>
      </c>
      <c r="W1012">
        <f>VLOOKUP(H1012,物料編碼!A:B,2,0)</f>
        <v>1300501020</v>
      </c>
      <c r="X1012">
        <v>1300501</v>
      </c>
      <c r="Y1012" t="str">
        <f>VLOOKUP(X1012,物料編碼!D:G,4,0)</f>
        <v>羊排</v>
      </c>
      <c r="Z1012" t="str">
        <f>VLOOKUP(C1012,客戶屬性1!A:C,2,0)</f>
        <v>先进食品国际有限公司</v>
      </c>
      <c r="AA1012">
        <f>IF(COUNTIF($O$1:O1012,O1012)=1,L1012,0)</f>
        <v>18600</v>
      </c>
    </row>
    <row r="1013" customHeight="1" spans="1:27">
      <c r="A1013" s="21" t="s">
        <v>1940</v>
      </c>
      <c r="B1013" s="21" t="s">
        <v>45</v>
      </c>
      <c r="C1013" s="21" t="s">
        <v>235</v>
      </c>
      <c r="D1013" s="21" t="s">
        <v>236</v>
      </c>
      <c r="E1013" s="21" t="s">
        <v>237</v>
      </c>
      <c r="F1013" s="21" t="s">
        <v>49</v>
      </c>
      <c r="G1013" s="21" t="s">
        <v>238</v>
      </c>
      <c r="H1013" s="21" t="s">
        <v>200</v>
      </c>
      <c r="I1013" s="26">
        <v>2</v>
      </c>
      <c r="J1013" s="26">
        <v>20</v>
      </c>
      <c r="K1013" s="21" t="s">
        <v>52</v>
      </c>
      <c r="L1013" s="27">
        <v>430</v>
      </c>
      <c r="M1013" s="21"/>
      <c r="N1013" s="21"/>
      <c r="O1013" s="21" t="s">
        <v>1941</v>
      </c>
      <c r="P1013" s="21" t="s">
        <v>54</v>
      </c>
      <c r="Q1013" s="28">
        <v>46122</v>
      </c>
      <c r="R1013" s="29">
        <v>46122.4371412037</v>
      </c>
      <c r="S1013" s="21" t="s">
        <v>241</v>
      </c>
      <c r="T1013" s="21"/>
      <c r="U1013" s="21" t="s">
        <v>237</v>
      </c>
      <c r="V1013" s="29">
        <v>46122.4370717593</v>
      </c>
      <c r="W1013">
        <f>VLOOKUP(H1013,物料編碼!A:B,2,0)</f>
        <v>1300904024</v>
      </c>
      <c r="X1013">
        <v>1300904</v>
      </c>
      <c r="Y1013" t="str">
        <f>VLOOKUP(X1013,物料編碼!D:G,4,0)</f>
        <v>煙熏鴨胸</v>
      </c>
      <c r="Z1013" t="str">
        <f>VLOOKUP(C1013,客戶屬性1!A:C,2,0)</f>
        <v>联合林记食品有限公司</v>
      </c>
      <c r="AA1013">
        <f>IF(COUNTIF($O$1:O1013,O1013)=1,L1013,0)</f>
        <v>430</v>
      </c>
    </row>
    <row r="1014" customHeight="1" spans="1:27">
      <c r="A1014" s="21" t="s">
        <v>1942</v>
      </c>
      <c r="B1014" s="21" t="s">
        <v>45</v>
      </c>
      <c r="C1014" s="21" t="s">
        <v>235</v>
      </c>
      <c r="D1014" s="21" t="s">
        <v>236</v>
      </c>
      <c r="E1014" s="21" t="s">
        <v>237</v>
      </c>
      <c r="F1014" s="21" t="s">
        <v>49</v>
      </c>
      <c r="G1014" s="21" t="s">
        <v>238</v>
      </c>
      <c r="H1014" s="21" t="s">
        <v>117</v>
      </c>
      <c r="I1014" s="26">
        <v>5</v>
      </c>
      <c r="J1014" s="26">
        <v>75</v>
      </c>
      <c r="K1014" s="21" t="s">
        <v>52</v>
      </c>
      <c r="L1014" s="27">
        <v>1108.5</v>
      </c>
      <c r="M1014" s="21"/>
      <c r="N1014" s="21"/>
      <c r="O1014" s="21" t="s">
        <v>1943</v>
      </c>
      <c r="P1014" s="21" t="s">
        <v>54</v>
      </c>
      <c r="Q1014" s="28">
        <v>46122</v>
      </c>
      <c r="R1014" s="29">
        <v>46122.4356134259</v>
      </c>
      <c r="S1014" s="21" t="s">
        <v>241</v>
      </c>
      <c r="T1014" s="21"/>
      <c r="U1014" s="21" t="s">
        <v>237</v>
      </c>
      <c r="V1014" s="29">
        <v>46122.4355555556</v>
      </c>
      <c r="W1014">
        <f>VLOOKUP(H1014,物料編碼!A:B,2,0)</f>
        <v>1300607015</v>
      </c>
      <c r="X1014">
        <v>1300607</v>
      </c>
      <c r="Y1014" t="str">
        <f>VLOOKUP(X1014,物料編碼!D:G,4,0)</f>
        <v>帶皮腿扒</v>
      </c>
      <c r="Z1014" t="str">
        <f>VLOOKUP(C1014,客戶屬性1!A:C,2,0)</f>
        <v>联合林记食品有限公司</v>
      </c>
      <c r="AA1014">
        <f>IF(COUNTIF($O$1:O1014,O1014)=1,L1014,0)</f>
        <v>1108.5</v>
      </c>
    </row>
    <row r="1015" customHeight="1" spans="1:27">
      <c r="A1015" s="21" t="s">
        <v>1944</v>
      </c>
      <c r="B1015" s="21" t="s">
        <v>45</v>
      </c>
      <c r="C1015" s="21" t="s">
        <v>235</v>
      </c>
      <c r="D1015" s="21" t="s">
        <v>236</v>
      </c>
      <c r="E1015" s="21" t="s">
        <v>237</v>
      </c>
      <c r="F1015" s="21" t="s">
        <v>49</v>
      </c>
      <c r="G1015" s="21" t="s">
        <v>238</v>
      </c>
      <c r="H1015" s="21" t="s">
        <v>117</v>
      </c>
      <c r="I1015" s="26">
        <v>5</v>
      </c>
      <c r="J1015" s="26">
        <v>75</v>
      </c>
      <c r="K1015" s="21" t="s">
        <v>52</v>
      </c>
      <c r="L1015" s="27">
        <v>1538.5</v>
      </c>
      <c r="M1015" s="21"/>
      <c r="N1015" s="21"/>
      <c r="O1015" s="21" t="s">
        <v>1945</v>
      </c>
      <c r="P1015" s="21" t="s">
        <v>183</v>
      </c>
      <c r="Q1015" s="28">
        <v>46122</v>
      </c>
      <c r="R1015" s="29">
        <v>46122.4243981481</v>
      </c>
      <c r="S1015" s="21" t="s">
        <v>241</v>
      </c>
      <c r="T1015" s="21"/>
      <c r="U1015" s="21" t="s">
        <v>237</v>
      </c>
      <c r="V1015" s="29">
        <v>46122.4243518518</v>
      </c>
      <c r="W1015">
        <f>VLOOKUP(H1015,物料編碼!A:B,2,0)</f>
        <v>1300607015</v>
      </c>
      <c r="X1015">
        <v>1300607</v>
      </c>
      <c r="Y1015" t="str">
        <f>VLOOKUP(X1015,物料編碼!D:G,4,0)</f>
        <v>帶皮腿扒</v>
      </c>
      <c r="Z1015" t="str">
        <f>VLOOKUP(C1015,客戶屬性1!A:C,2,0)</f>
        <v>联合林记食品有限公司</v>
      </c>
      <c r="AA1015">
        <f>IF(COUNTIF($O$1:O1015,O1015)=1,L1015,0)</f>
        <v>1538.5</v>
      </c>
    </row>
    <row r="1016" customHeight="1" spans="1:27">
      <c r="A1016" s="21" t="s">
        <v>1944</v>
      </c>
      <c r="B1016" s="21" t="s">
        <v>45</v>
      </c>
      <c r="C1016" s="21" t="s">
        <v>235</v>
      </c>
      <c r="D1016" s="21" t="s">
        <v>236</v>
      </c>
      <c r="E1016" s="21" t="s">
        <v>237</v>
      </c>
      <c r="F1016" s="21" t="s">
        <v>49</v>
      </c>
      <c r="G1016" s="21" t="s">
        <v>238</v>
      </c>
      <c r="H1016" s="21" t="s">
        <v>200</v>
      </c>
      <c r="I1016" s="26">
        <v>2</v>
      </c>
      <c r="J1016" s="26">
        <v>20</v>
      </c>
      <c r="K1016" s="21" t="s">
        <v>52</v>
      </c>
      <c r="L1016" s="27">
        <v>1538.5</v>
      </c>
      <c r="M1016" s="21"/>
      <c r="N1016" s="21"/>
      <c r="O1016" s="21" t="s">
        <v>1945</v>
      </c>
      <c r="P1016" s="21" t="s">
        <v>183</v>
      </c>
      <c r="Q1016" s="28">
        <v>46122</v>
      </c>
      <c r="R1016" s="29">
        <v>46122.4243981481</v>
      </c>
      <c r="S1016" s="21" t="s">
        <v>241</v>
      </c>
      <c r="T1016" s="21"/>
      <c r="U1016" s="21" t="s">
        <v>237</v>
      </c>
      <c r="V1016" s="29">
        <v>46122.4243518518</v>
      </c>
      <c r="W1016">
        <f>VLOOKUP(H1016,物料編碼!A:B,2,0)</f>
        <v>1300904024</v>
      </c>
      <c r="X1016">
        <v>1300904</v>
      </c>
      <c r="Y1016" t="str">
        <f>VLOOKUP(X1016,物料編碼!D:G,4,0)</f>
        <v>煙熏鴨胸</v>
      </c>
      <c r="Z1016" t="str">
        <f>VLOOKUP(C1016,客戶屬性1!A:C,2,0)</f>
        <v>联合林记食品有限公司</v>
      </c>
      <c r="AA1016">
        <f>IF(COUNTIF($O$1:O1016,O1016)=1,L1016,0)</f>
        <v>0</v>
      </c>
    </row>
    <row r="1017" customHeight="1" spans="1:27">
      <c r="A1017" s="21" t="s">
        <v>1946</v>
      </c>
      <c r="B1017" s="21" t="s">
        <v>45</v>
      </c>
      <c r="C1017" s="21" t="s">
        <v>46</v>
      </c>
      <c r="D1017" s="21" t="s">
        <v>47</v>
      </c>
      <c r="E1017" s="21" t="s">
        <v>48</v>
      </c>
      <c r="F1017" s="21" t="s">
        <v>49</v>
      </c>
      <c r="G1017" s="21" t="s">
        <v>50</v>
      </c>
      <c r="H1017" s="21" t="s">
        <v>63</v>
      </c>
      <c r="I1017" s="26">
        <v>1</v>
      </c>
      <c r="J1017" s="26">
        <v>25</v>
      </c>
      <c r="K1017" s="21" t="s">
        <v>52</v>
      </c>
      <c r="L1017" s="27">
        <v>815</v>
      </c>
      <c r="M1017" s="21"/>
      <c r="N1017" s="21"/>
      <c r="O1017" s="21" t="s">
        <v>1947</v>
      </c>
      <c r="P1017" s="21" t="s">
        <v>54</v>
      </c>
      <c r="Q1017" s="28">
        <v>46122</v>
      </c>
      <c r="R1017" s="29">
        <v>46122.4196296296</v>
      </c>
      <c r="S1017" s="21" t="s">
        <v>55</v>
      </c>
      <c r="T1017" s="21"/>
      <c r="U1017" s="21" t="s">
        <v>47</v>
      </c>
      <c r="V1017" s="29">
        <v>46122.4195717593</v>
      </c>
      <c r="W1017">
        <f>VLOOKUP(H1017,物料編碼!A:B,2,0)</f>
        <v>1300109002</v>
      </c>
      <c r="X1017">
        <v>1300109</v>
      </c>
      <c r="Y1017" t="str">
        <f>VLOOKUP(X1017,物料編碼!D:G,4,0)</f>
        <v>面精肉</v>
      </c>
      <c r="Z1017" t="str">
        <f>VLOOKUP(C1017,客戶屬性1!A:C,2,0)</f>
        <v>明记冻肉</v>
      </c>
      <c r="AA1017">
        <f>IF(COUNTIF($O$1:O1017,O1017)=1,L1017,0)</f>
        <v>815</v>
      </c>
    </row>
    <row r="1018" customHeight="1" spans="1:27">
      <c r="A1018" s="21" t="s">
        <v>1948</v>
      </c>
      <c r="B1018" s="21" t="s">
        <v>45</v>
      </c>
      <c r="C1018" s="21" t="s">
        <v>538</v>
      </c>
      <c r="D1018" s="21" t="s">
        <v>539</v>
      </c>
      <c r="E1018" s="21" t="s">
        <v>540</v>
      </c>
      <c r="F1018" s="21" t="s">
        <v>49</v>
      </c>
      <c r="G1018" s="21" t="s">
        <v>541</v>
      </c>
      <c r="H1018" s="21" t="s">
        <v>63</v>
      </c>
      <c r="I1018" s="26">
        <v>4</v>
      </c>
      <c r="J1018" s="26">
        <v>100</v>
      </c>
      <c r="K1018" s="21" t="s">
        <v>52</v>
      </c>
      <c r="L1018" s="27">
        <v>3260</v>
      </c>
      <c r="M1018" s="21"/>
      <c r="N1018" s="21"/>
      <c r="O1018" s="21" t="s">
        <v>1949</v>
      </c>
      <c r="P1018" s="21" t="s">
        <v>54</v>
      </c>
      <c r="Q1018" s="28">
        <v>46123</v>
      </c>
      <c r="R1018" s="29">
        <v>46122.4006481481</v>
      </c>
      <c r="S1018" s="21" t="s">
        <v>543</v>
      </c>
      <c r="T1018" s="21"/>
      <c r="U1018" s="21" t="s">
        <v>539</v>
      </c>
      <c r="V1018" s="29">
        <v>46122.4006018518</v>
      </c>
      <c r="W1018">
        <f>VLOOKUP(H1018,物料編碼!A:B,2,0)</f>
        <v>1300109002</v>
      </c>
      <c r="X1018">
        <v>1300109</v>
      </c>
      <c r="Y1018" t="str">
        <f>VLOOKUP(X1018,物料編碼!D:G,4,0)</f>
        <v>面精肉</v>
      </c>
      <c r="Z1018" t="str">
        <f>VLOOKUP(C1018,客戶屬性1!A:C,2,0)</f>
        <v>诚信冻肉有限公司</v>
      </c>
      <c r="AA1018">
        <f>IF(COUNTIF($O$1:O1018,O1018)=1,L1018,0)</f>
        <v>3260</v>
      </c>
    </row>
    <row r="1019" customHeight="1" spans="1:27">
      <c r="A1019" s="21" t="s">
        <v>1950</v>
      </c>
      <c r="B1019" s="21" t="s">
        <v>45</v>
      </c>
      <c r="C1019" s="21" t="s">
        <v>72</v>
      </c>
      <c r="D1019" s="21" t="s">
        <v>73</v>
      </c>
      <c r="E1019" s="21" t="s">
        <v>74</v>
      </c>
      <c r="F1019" s="21" t="s">
        <v>49</v>
      </c>
      <c r="G1019" s="21" t="s">
        <v>50</v>
      </c>
      <c r="H1019" s="21" t="s">
        <v>248</v>
      </c>
      <c r="I1019" s="26">
        <v>1</v>
      </c>
      <c r="J1019" s="26">
        <v>25</v>
      </c>
      <c r="K1019" s="21" t="s">
        <v>52</v>
      </c>
      <c r="L1019" s="27">
        <v>670</v>
      </c>
      <c r="M1019" s="21"/>
      <c r="N1019" s="21"/>
      <c r="O1019" s="21" t="s">
        <v>1951</v>
      </c>
      <c r="P1019" s="21" t="s">
        <v>54</v>
      </c>
      <c r="Q1019" s="28">
        <v>46122</v>
      </c>
      <c r="R1019" s="29">
        <v>46122.3875115741</v>
      </c>
      <c r="S1019" s="21" t="s">
        <v>77</v>
      </c>
      <c r="T1019" s="21"/>
      <c r="U1019" s="21" t="s">
        <v>74</v>
      </c>
      <c r="V1019" s="29">
        <v>46122.3874652778</v>
      </c>
      <c r="W1019">
        <f>VLOOKUP(H1019,物料編碼!A:B,2,0)</f>
        <v>1300101007</v>
      </c>
      <c r="X1019">
        <v>1300101</v>
      </c>
      <c r="Y1019" t="str">
        <f>VLOOKUP(X1019,物料編碼!D:G,4,0)</f>
        <v>一號肉</v>
      </c>
      <c r="Z1019" t="str">
        <f>VLOOKUP(C1019,客戶屬性1!A:C,2,0)</f>
        <v>恒辉贸易公司</v>
      </c>
      <c r="AA1019">
        <f>IF(COUNTIF($O$1:O1019,O1019)=1,L1019,0)</f>
        <v>670</v>
      </c>
    </row>
    <row r="1020" customHeight="1" spans="1:27">
      <c r="A1020" s="21" t="s">
        <v>1952</v>
      </c>
      <c r="B1020" s="21" t="s">
        <v>45</v>
      </c>
      <c r="C1020" s="21" t="s">
        <v>72</v>
      </c>
      <c r="D1020" s="21" t="s">
        <v>73</v>
      </c>
      <c r="E1020" s="21" t="s">
        <v>74</v>
      </c>
      <c r="F1020" s="21" t="s">
        <v>49</v>
      </c>
      <c r="G1020" s="21" t="s">
        <v>50</v>
      </c>
      <c r="H1020" s="21" t="s">
        <v>1541</v>
      </c>
      <c r="I1020" s="26">
        <v>1</v>
      </c>
      <c r="J1020" s="26">
        <v>14.4</v>
      </c>
      <c r="K1020" s="21" t="s">
        <v>52</v>
      </c>
      <c r="L1020" s="27">
        <v>155.52</v>
      </c>
      <c r="M1020" s="21"/>
      <c r="N1020" s="21"/>
      <c r="O1020" s="21" t="s">
        <v>1953</v>
      </c>
      <c r="P1020" s="21" t="s">
        <v>54</v>
      </c>
      <c r="Q1020" s="28">
        <v>46122</v>
      </c>
      <c r="R1020" s="29">
        <v>46122.3756018519</v>
      </c>
      <c r="S1020" s="21" t="s">
        <v>1910</v>
      </c>
      <c r="T1020" s="21"/>
      <c r="U1020" s="21" t="s">
        <v>1911</v>
      </c>
      <c r="V1020" s="29">
        <v>46122.3755439815</v>
      </c>
      <c r="W1020">
        <f>VLOOKUP(H1020,物料編碼!A:B,2,0)</f>
        <v>1300901006</v>
      </c>
      <c r="X1020">
        <v>1300901</v>
      </c>
      <c r="Y1020" t="str">
        <f>VLOOKUP(X1020,物料編碼!D:G,4,0)</f>
        <v>整鴨</v>
      </c>
      <c r="Z1020" t="str">
        <f>VLOOKUP(C1020,客戶屬性1!A:C,2,0)</f>
        <v>恒辉贸易公司</v>
      </c>
      <c r="AA1020">
        <f>IF(COUNTIF($O$1:O1020,O1020)=1,L1020,0)</f>
        <v>155.52</v>
      </c>
    </row>
    <row r="1021" customHeight="1" spans="1:27">
      <c r="A1021" s="21" t="s">
        <v>1954</v>
      </c>
      <c r="B1021" s="21" t="s">
        <v>45</v>
      </c>
      <c r="C1021" s="21" t="s">
        <v>141</v>
      </c>
      <c r="D1021" s="21" t="s">
        <v>142</v>
      </c>
      <c r="E1021" s="21" t="s">
        <v>142</v>
      </c>
      <c r="F1021" s="21" t="s">
        <v>143</v>
      </c>
      <c r="G1021" s="21" t="s">
        <v>100</v>
      </c>
      <c r="H1021" s="21" t="s">
        <v>117</v>
      </c>
      <c r="I1021" s="26">
        <v>5</v>
      </c>
      <c r="J1021" s="26">
        <v>75</v>
      </c>
      <c r="K1021" s="21" t="s">
        <v>52</v>
      </c>
      <c r="L1021" s="27">
        <v>2590</v>
      </c>
      <c r="M1021" s="21"/>
      <c r="N1021" s="21"/>
      <c r="O1021" s="21" t="s">
        <v>1955</v>
      </c>
      <c r="P1021" s="21" t="s">
        <v>54</v>
      </c>
      <c r="Q1021" s="28">
        <v>46122</v>
      </c>
      <c r="R1021" s="29">
        <v>46121.4576273148</v>
      </c>
      <c r="S1021" s="21" t="s">
        <v>145</v>
      </c>
      <c r="T1021" s="21"/>
      <c r="U1021" s="21" t="s">
        <v>142</v>
      </c>
      <c r="V1021" s="29">
        <v>46121.4575694444</v>
      </c>
      <c r="W1021">
        <f>VLOOKUP(H1021,物料編碼!A:B,2,0)</f>
        <v>1300607015</v>
      </c>
      <c r="X1021">
        <v>1300607</v>
      </c>
      <c r="Y1021" t="str">
        <f>VLOOKUP(X1021,物料編碼!D:G,4,0)</f>
        <v>帶皮腿扒</v>
      </c>
      <c r="Z1021" t="str">
        <f>VLOOKUP(C1021,客戶屬性1!A:C,2,0)</f>
        <v>新昌冻肉</v>
      </c>
      <c r="AA1021">
        <f>IF(COUNTIF($O$1:O1021,O1021)=1,L1021,0)</f>
        <v>2590</v>
      </c>
    </row>
    <row r="1022" customHeight="1" spans="1:27">
      <c r="A1022" s="21" t="s">
        <v>1954</v>
      </c>
      <c r="B1022" s="21" t="s">
        <v>45</v>
      </c>
      <c r="C1022" s="21" t="s">
        <v>141</v>
      </c>
      <c r="D1022" s="21" t="s">
        <v>142</v>
      </c>
      <c r="E1022" s="21" t="s">
        <v>142</v>
      </c>
      <c r="F1022" s="21" t="s">
        <v>143</v>
      </c>
      <c r="G1022" s="21" t="s">
        <v>100</v>
      </c>
      <c r="H1022" s="21" t="s">
        <v>60</v>
      </c>
      <c r="I1022" s="26">
        <v>1</v>
      </c>
      <c r="J1022" s="26">
        <v>25</v>
      </c>
      <c r="K1022" s="21" t="s">
        <v>52</v>
      </c>
      <c r="L1022" s="27">
        <v>2590</v>
      </c>
      <c r="M1022" s="21"/>
      <c r="N1022" s="21"/>
      <c r="O1022" s="21" t="s">
        <v>1955</v>
      </c>
      <c r="P1022" s="21" t="s">
        <v>54</v>
      </c>
      <c r="Q1022" s="28">
        <v>46122</v>
      </c>
      <c r="R1022" s="29">
        <v>46121.4576273148</v>
      </c>
      <c r="S1022" s="21" t="s">
        <v>145</v>
      </c>
      <c r="T1022" s="21"/>
      <c r="U1022" s="21" t="s">
        <v>142</v>
      </c>
      <c r="V1022" s="29">
        <v>46121.4575694444</v>
      </c>
      <c r="W1022">
        <f>VLOOKUP(H1022,物料編碼!A:B,2,0)</f>
        <v>1300101043</v>
      </c>
      <c r="X1022">
        <v>1300101</v>
      </c>
      <c r="Y1022" t="str">
        <f>VLOOKUP(X1022,物料編碼!D:G,4,0)</f>
        <v>一號肉</v>
      </c>
      <c r="Z1022" t="str">
        <f>VLOOKUP(C1022,客戶屬性1!A:C,2,0)</f>
        <v>新昌冻肉</v>
      </c>
      <c r="AA1022">
        <f>IF(COUNTIF($O$1:O1022,O1022)=1,L1022,0)</f>
        <v>0</v>
      </c>
    </row>
    <row r="1023" customHeight="1" spans="1:27">
      <c r="A1023" s="21" t="s">
        <v>1954</v>
      </c>
      <c r="B1023" s="21" t="s">
        <v>45</v>
      </c>
      <c r="C1023" s="21" t="s">
        <v>141</v>
      </c>
      <c r="D1023" s="21" t="s">
        <v>142</v>
      </c>
      <c r="E1023" s="21" t="s">
        <v>142</v>
      </c>
      <c r="F1023" s="21" t="s">
        <v>143</v>
      </c>
      <c r="G1023" s="21" t="s">
        <v>100</v>
      </c>
      <c r="H1023" s="21" t="s">
        <v>298</v>
      </c>
      <c r="I1023" s="26">
        <v>1</v>
      </c>
      <c r="J1023" s="26">
        <v>10</v>
      </c>
      <c r="K1023" s="21" t="s">
        <v>52</v>
      </c>
      <c r="L1023" s="27">
        <v>2590</v>
      </c>
      <c r="M1023" s="21"/>
      <c r="N1023" s="21"/>
      <c r="O1023" s="21" t="s">
        <v>1955</v>
      </c>
      <c r="P1023" s="21" t="s">
        <v>54</v>
      </c>
      <c r="Q1023" s="28">
        <v>46122</v>
      </c>
      <c r="R1023" s="29">
        <v>46121.4576273148</v>
      </c>
      <c r="S1023" s="21" t="s">
        <v>145</v>
      </c>
      <c r="T1023" s="21"/>
      <c r="U1023" s="21" t="s">
        <v>142</v>
      </c>
      <c r="V1023" s="29">
        <v>46121.4575694444</v>
      </c>
      <c r="W1023">
        <f>VLOOKUP(H1023,物料編碼!A:B,2,0)</f>
        <v>1300111003</v>
      </c>
      <c r="X1023">
        <v>1300111</v>
      </c>
      <c r="Y1023" t="str">
        <f>VLOOKUP(X1023,物料編碼!D:G,4,0)</f>
        <v>寸骨</v>
      </c>
      <c r="Z1023" t="str">
        <f>VLOOKUP(C1023,客戶屬性1!A:C,2,0)</f>
        <v>新昌冻肉</v>
      </c>
      <c r="AA1023">
        <f>IF(COUNTIF($O$1:O1023,O1023)=1,L1023,0)</f>
        <v>0</v>
      </c>
    </row>
    <row r="1024" customHeight="1" spans="1:27">
      <c r="A1024" s="21" t="s">
        <v>1956</v>
      </c>
      <c r="B1024" s="21" t="s">
        <v>45</v>
      </c>
      <c r="C1024" s="21" t="s">
        <v>1218</v>
      </c>
      <c r="D1024" s="21" t="s">
        <v>1219</v>
      </c>
      <c r="E1024" s="21" t="s">
        <v>1220</v>
      </c>
      <c r="F1024" s="21" t="s">
        <v>49</v>
      </c>
      <c r="G1024" s="21" t="s">
        <v>541</v>
      </c>
      <c r="H1024" s="21" t="s">
        <v>1957</v>
      </c>
      <c r="I1024" s="26">
        <v>1</v>
      </c>
      <c r="J1024" s="26">
        <v>1</v>
      </c>
      <c r="K1024" s="21" t="s">
        <v>526</v>
      </c>
      <c r="L1024" s="27">
        <v>220</v>
      </c>
      <c r="M1024" s="21"/>
      <c r="N1024" s="21"/>
      <c r="O1024" s="21" t="s">
        <v>1958</v>
      </c>
      <c r="P1024" s="21" t="s">
        <v>54</v>
      </c>
      <c r="Q1024" s="28">
        <v>46121</v>
      </c>
      <c r="R1024" s="29">
        <v>46120.6028587963</v>
      </c>
      <c r="S1024" s="21" t="s">
        <v>1222</v>
      </c>
      <c r="T1024" s="21"/>
      <c r="U1024" s="21" t="s">
        <v>1219</v>
      </c>
      <c r="V1024" s="29">
        <v>46120.6028009259</v>
      </c>
      <c r="W1024" t="e">
        <f>VLOOKUP(H1024,物料編碼!A:B,2,0)</f>
        <v>#N/A</v>
      </c>
      <c r="X1024" t="e">
        <v>#N/A</v>
      </c>
      <c r="Y1024" t="e">
        <f>VLOOKUP(X1024,物料編碼!D:G,4,0)</f>
        <v>#N/A</v>
      </c>
      <c r="Z1024" t="str">
        <f>VLOOKUP(C1024,客戶屬性1!A:C,2,0)</f>
        <v>新华冻肉超级市场(葵芳)</v>
      </c>
      <c r="AA1024">
        <f>IF(COUNTIF($O$1:O1024,O1024)=1,L1024,0)</f>
        <v>220</v>
      </c>
    </row>
    <row r="1025" customHeight="1" spans="1:27">
      <c r="A1025" s="21" t="s">
        <v>1959</v>
      </c>
      <c r="B1025" s="21" t="s">
        <v>45</v>
      </c>
      <c r="C1025" s="21" t="s">
        <v>1218</v>
      </c>
      <c r="D1025" s="21" t="s">
        <v>1219</v>
      </c>
      <c r="E1025" s="21" t="s">
        <v>1220</v>
      </c>
      <c r="F1025" s="21" t="s">
        <v>49</v>
      </c>
      <c r="G1025" s="21" t="s">
        <v>541</v>
      </c>
      <c r="H1025" s="21" t="s">
        <v>1417</v>
      </c>
      <c r="I1025" s="26">
        <v>1</v>
      </c>
      <c r="J1025" s="27">
        <v>15</v>
      </c>
      <c r="K1025" s="21" t="s">
        <v>112</v>
      </c>
      <c r="L1025" s="27">
        <v>885</v>
      </c>
      <c r="M1025" s="21"/>
      <c r="N1025" s="21"/>
      <c r="O1025" s="21" t="s">
        <v>1960</v>
      </c>
      <c r="P1025" s="21" t="s">
        <v>54</v>
      </c>
      <c r="Q1025" s="28">
        <v>46121</v>
      </c>
      <c r="R1025" s="29">
        <v>46120.598912037</v>
      </c>
      <c r="S1025" s="21" t="s">
        <v>1222</v>
      </c>
      <c r="T1025" s="21"/>
      <c r="U1025" s="21" t="s">
        <v>1219</v>
      </c>
      <c r="V1025" s="29">
        <v>46120.5988657407</v>
      </c>
      <c r="W1025">
        <f>VLOOKUP(H1025,物料編碼!A:B,2,0)</f>
        <v>1310701011</v>
      </c>
      <c r="X1025">
        <v>1310701</v>
      </c>
      <c r="Y1025" t="str">
        <f>VLOOKUP(X1025,物料編碼!D:G,4,0)</f>
        <v>凍海產品.魚類</v>
      </c>
      <c r="Z1025" t="str">
        <f>VLOOKUP(C1025,客戶屬性1!A:C,2,0)</f>
        <v>新华冻肉超级市场(葵芳)</v>
      </c>
      <c r="AA1025">
        <f>IF(COUNTIF($O$1:O1025,O1025)=1,L1025,0)</f>
        <v>885</v>
      </c>
    </row>
    <row r="1026" customHeight="1" spans="1:27">
      <c r="A1026" s="21" t="s">
        <v>1961</v>
      </c>
      <c r="B1026" s="21" t="s">
        <v>45</v>
      </c>
      <c r="C1026" s="21" t="s">
        <v>72</v>
      </c>
      <c r="D1026" s="21" t="s">
        <v>73</v>
      </c>
      <c r="E1026" s="21" t="s">
        <v>74</v>
      </c>
      <c r="F1026" s="21" t="s">
        <v>49</v>
      </c>
      <c r="G1026" s="21" t="s">
        <v>50</v>
      </c>
      <c r="H1026" s="21" t="s">
        <v>63</v>
      </c>
      <c r="I1026" s="26">
        <v>6</v>
      </c>
      <c r="J1026" s="26">
        <v>150</v>
      </c>
      <c r="K1026" s="21" t="s">
        <v>52</v>
      </c>
      <c r="L1026" s="27">
        <v>5010</v>
      </c>
      <c r="M1026" s="21"/>
      <c r="N1026" s="21"/>
      <c r="O1026" s="21" t="s">
        <v>1962</v>
      </c>
      <c r="P1026" s="21" t="s">
        <v>54</v>
      </c>
      <c r="Q1026" s="28">
        <v>46121</v>
      </c>
      <c r="R1026" s="29">
        <v>46120.5337847222</v>
      </c>
      <c r="S1026" s="21" t="s">
        <v>77</v>
      </c>
      <c r="T1026" s="21"/>
      <c r="U1026" s="21" t="s">
        <v>74</v>
      </c>
      <c r="V1026" s="29">
        <v>46120.5337384259</v>
      </c>
      <c r="W1026">
        <f>VLOOKUP(H1026,物料編碼!A:B,2,0)</f>
        <v>1300109002</v>
      </c>
      <c r="X1026">
        <v>1300109</v>
      </c>
      <c r="Y1026" t="str">
        <f>VLOOKUP(X1026,物料編碼!D:G,4,0)</f>
        <v>面精肉</v>
      </c>
      <c r="Z1026" t="str">
        <f>VLOOKUP(C1026,客戶屬性1!A:C,2,0)</f>
        <v>恒辉贸易公司</v>
      </c>
      <c r="AA1026">
        <f>IF(COUNTIF($O$1:O1026,O1026)=1,L1026,0)</f>
        <v>5010</v>
      </c>
    </row>
    <row r="1027" customHeight="1" spans="1:27">
      <c r="A1027" s="21" t="s">
        <v>1963</v>
      </c>
      <c r="B1027" s="21" t="s">
        <v>45</v>
      </c>
      <c r="C1027" s="21" t="s">
        <v>141</v>
      </c>
      <c r="D1027" s="21" t="s">
        <v>142</v>
      </c>
      <c r="E1027" s="21" t="s">
        <v>142</v>
      </c>
      <c r="F1027" s="21" t="s">
        <v>143</v>
      </c>
      <c r="G1027" s="21" t="s">
        <v>100</v>
      </c>
      <c r="H1027" s="21" t="s">
        <v>117</v>
      </c>
      <c r="I1027" s="26">
        <v>3</v>
      </c>
      <c r="J1027" s="26">
        <v>45</v>
      </c>
      <c r="K1027" s="21" t="s">
        <v>52</v>
      </c>
      <c r="L1027" s="27">
        <v>1195</v>
      </c>
      <c r="M1027" s="21"/>
      <c r="N1027" s="21"/>
      <c r="O1027" s="21" t="s">
        <v>1964</v>
      </c>
      <c r="P1027" s="21" t="s">
        <v>54</v>
      </c>
      <c r="Q1027" s="28">
        <v>46121</v>
      </c>
      <c r="R1027" s="29">
        <v>46120.4634259259</v>
      </c>
      <c r="S1027" s="21" t="s">
        <v>145</v>
      </c>
      <c r="T1027" s="21"/>
      <c r="U1027" s="21" t="s">
        <v>142</v>
      </c>
      <c r="V1027" s="29">
        <v>46120.4633796296</v>
      </c>
      <c r="W1027">
        <f>VLOOKUP(H1027,物料編碼!A:B,2,0)</f>
        <v>1300607015</v>
      </c>
      <c r="X1027">
        <v>1300607</v>
      </c>
      <c r="Y1027" t="str">
        <f>VLOOKUP(X1027,物料編碼!D:G,4,0)</f>
        <v>帶皮腿扒</v>
      </c>
      <c r="Z1027" t="str">
        <f>VLOOKUP(C1027,客戶屬性1!A:C,2,0)</f>
        <v>新昌冻肉</v>
      </c>
      <c r="AA1027">
        <f>IF(COUNTIF($O$1:O1027,O1027)=1,L1027,0)</f>
        <v>1195</v>
      </c>
    </row>
    <row r="1028" customHeight="1" spans="1:27">
      <c r="A1028" s="21" t="s">
        <v>1963</v>
      </c>
      <c r="B1028" s="21" t="s">
        <v>45</v>
      </c>
      <c r="C1028" s="21" t="s">
        <v>141</v>
      </c>
      <c r="D1028" s="21" t="s">
        <v>142</v>
      </c>
      <c r="E1028" s="21" t="s">
        <v>142</v>
      </c>
      <c r="F1028" s="21" t="s">
        <v>143</v>
      </c>
      <c r="G1028" s="21" t="s">
        <v>100</v>
      </c>
      <c r="H1028" s="21" t="s">
        <v>298</v>
      </c>
      <c r="I1028" s="26">
        <v>1</v>
      </c>
      <c r="J1028" s="26">
        <v>10</v>
      </c>
      <c r="K1028" s="21" t="s">
        <v>52</v>
      </c>
      <c r="L1028" s="27">
        <v>1195</v>
      </c>
      <c r="M1028" s="21"/>
      <c r="N1028" s="21"/>
      <c r="O1028" s="21" t="s">
        <v>1964</v>
      </c>
      <c r="P1028" s="21" t="s">
        <v>54</v>
      </c>
      <c r="Q1028" s="28">
        <v>46121</v>
      </c>
      <c r="R1028" s="29">
        <v>46120.4634259259</v>
      </c>
      <c r="S1028" s="21" t="s">
        <v>145</v>
      </c>
      <c r="T1028" s="21"/>
      <c r="U1028" s="21" t="s">
        <v>142</v>
      </c>
      <c r="V1028" s="29">
        <v>46120.4633796296</v>
      </c>
      <c r="W1028">
        <f>VLOOKUP(H1028,物料編碼!A:B,2,0)</f>
        <v>1300111003</v>
      </c>
      <c r="X1028">
        <v>1300111</v>
      </c>
      <c r="Y1028" t="str">
        <f>VLOOKUP(X1028,物料編碼!D:G,4,0)</f>
        <v>寸骨</v>
      </c>
      <c r="Z1028" t="str">
        <f>VLOOKUP(C1028,客戶屬性1!A:C,2,0)</f>
        <v>新昌冻肉</v>
      </c>
      <c r="AA1028">
        <f>IF(COUNTIF($O$1:O1028,O1028)=1,L1028,0)</f>
        <v>0</v>
      </c>
    </row>
    <row r="1029" customHeight="1" spans="1:27">
      <c r="A1029" s="21" t="s">
        <v>1965</v>
      </c>
      <c r="B1029" s="21" t="s">
        <v>45</v>
      </c>
      <c r="C1029" s="21" t="s">
        <v>114</v>
      </c>
      <c r="D1029" s="21" t="s">
        <v>115</v>
      </c>
      <c r="E1029" s="21" t="s">
        <v>116</v>
      </c>
      <c r="F1029" s="21" t="s">
        <v>49</v>
      </c>
      <c r="G1029" s="21" t="s">
        <v>100</v>
      </c>
      <c r="H1029" s="21" t="s">
        <v>298</v>
      </c>
      <c r="I1029" s="26">
        <v>1</v>
      </c>
      <c r="J1029" s="26">
        <v>10</v>
      </c>
      <c r="K1029" s="21" t="s">
        <v>52</v>
      </c>
      <c r="L1029" s="27">
        <v>520</v>
      </c>
      <c r="M1029" s="21"/>
      <c r="N1029" s="21"/>
      <c r="O1029" s="21" t="s">
        <v>1966</v>
      </c>
      <c r="P1029" s="21" t="s">
        <v>54</v>
      </c>
      <c r="Q1029" s="28">
        <v>46120</v>
      </c>
      <c r="R1029" s="29">
        <v>46120.4248611111</v>
      </c>
      <c r="S1029" s="21" t="s">
        <v>119</v>
      </c>
      <c r="T1029" s="21"/>
      <c r="U1029" s="21" t="s">
        <v>115</v>
      </c>
      <c r="V1029" s="29">
        <v>46120.4248148148</v>
      </c>
      <c r="W1029">
        <f>VLOOKUP(H1029,物料編碼!A:B,2,0)</f>
        <v>1300111003</v>
      </c>
      <c r="X1029">
        <v>1300111</v>
      </c>
      <c r="Y1029" t="str">
        <f>VLOOKUP(X1029,物料編碼!D:G,4,0)</f>
        <v>寸骨</v>
      </c>
      <c r="Z1029" t="str">
        <f>VLOOKUP(C1029,客戶屬性1!A:C,2,0)</f>
        <v>骏利贸易公司</v>
      </c>
      <c r="AA1029">
        <f>IF(COUNTIF($O$1:O1029,O1029)=1,L1029,0)</f>
        <v>520</v>
      </c>
    </row>
    <row r="1030" customHeight="1" spans="1:27">
      <c r="A1030" s="21" t="s">
        <v>1967</v>
      </c>
      <c r="B1030" s="21" t="s">
        <v>45</v>
      </c>
      <c r="C1030" s="21" t="s">
        <v>72</v>
      </c>
      <c r="D1030" s="21" t="s">
        <v>73</v>
      </c>
      <c r="E1030" s="21" t="s">
        <v>74</v>
      </c>
      <c r="F1030" s="21" t="s">
        <v>49</v>
      </c>
      <c r="G1030" s="21" t="s">
        <v>50</v>
      </c>
      <c r="H1030" s="21" t="s">
        <v>190</v>
      </c>
      <c r="I1030" s="26">
        <v>10</v>
      </c>
      <c r="J1030" s="26">
        <v>120</v>
      </c>
      <c r="K1030" s="21" t="s">
        <v>52</v>
      </c>
      <c r="L1030" s="27">
        <v>1896</v>
      </c>
      <c r="M1030" s="21"/>
      <c r="N1030" s="21"/>
      <c r="O1030" s="21" t="s">
        <v>1968</v>
      </c>
      <c r="P1030" s="21" t="s">
        <v>54</v>
      </c>
      <c r="Q1030" s="28">
        <v>46120</v>
      </c>
      <c r="R1030" s="29">
        <v>46120.3916203704</v>
      </c>
      <c r="S1030" s="21" t="s">
        <v>77</v>
      </c>
      <c r="T1030" s="21"/>
      <c r="U1030" s="21" t="s">
        <v>74</v>
      </c>
      <c r="V1030" s="29">
        <v>46120.3915625</v>
      </c>
      <c r="W1030">
        <f>VLOOKUP(H1030,物料編碼!A:B,2,0)</f>
        <v>1300609001</v>
      </c>
      <c r="X1030">
        <v>1300609</v>
      </c>
      <c r="Y1030" t="str">
        <f>VLOOKUP(X1030,物料編碼!D:G,4,0)</f>
        <v>去皮上腿肉</v>
      </c>
      <c r="Z1030" t="str">
        <f>VLOOKUP(C1030,客戶屬性1!A:C,2,0)</f>
        <v>恒辉贸易公司</v>
      </c>
      <c r="AA1030">
        <f>IF(COUNTIF($O$1:O1030,O1030)=1,L1030,0)</f>
        <v>1896</v>
      </c>
    </row>
    <row r="1031" customHeight="1" spans="1:27">
      <c r="A1031" s="21" t="s">
        <v>1969</v>
      </c>
      <c r="B1031" s="21" t="s">
        <v>45</v>
      </c>
      <c r="C1031" s="21" t="s">
        <v>457</v>
      </c>
      <c r="D1031" s="21" t="s">
        <v>458</v>
      </c>
      <c r="E1031" s="21" t="s">
        <v>459</v>
      </c>
      <c r="F1031" s="21" t="s">
        <v>49</v>
      </c>
      <c r="G1031" s="21" t="s">
        <v>68</v>
      </c>
      <c r="H1031" s="21" t="s">
        <v>63</v>
      </c>
      <c r="I1031" s="26">
        <v>5</v>
      </c>
      <c r="J1031" s="26">
        <v>125</v>
      </c>
      <c r="K1031" s="21" t="s">
        <v>52</v>
      </c>
      <c r="L1031" s="27">
        <v>4075</v>
      </c>
      <c r="M1031" s="21"/>
      <c r="N1031" s="21"/>
      <c r="O1031" s="21" t="s">
        <v>1970</v>
      </c>
      <c r="P1031" s="21" t="s">
        <v>54</v>
      </c>
      <c r="Q1031" s="28">
        <v>46116</v>
      </c>
      <c r="R1031" s="29">
        <v>46114.6461111111</v>
      </c>
      <c r="S1031" s="21" t="s">
        <v>461</v>
      </c>
      <c r="T1031" s="21"/>
      <c r="U1031" s="21" t="s">
        <v>458</v>
      </c>
      <c r="V1031" s="29">
        <v>46114.6460648148</v>
      </c>
      <c r="W1031">
        <f>VLOOKUP(H1031,物料編碼!A:B,2,0)</f>
        <v>1300109002</v>
      </c>
      <c r="X1031">
        <v>1300109</v>
      </c>
      <c r="Y1031" t="str">
        <f>VLOOKUP(X1031,物料編碼!D:G,4,0)</f>
        <v>面精肉</v>
      </c>
      <c r="Z1031" t="str">
        <f>VLOOKUP(C1031,客戶屬性1!A:C,2,0)</f>
        <v>福永行贸易有限公司</v>
      </c>
      <c r="AA1031">
        <f>IF(COUNTIF($O$1:O1031,O1031)=1,L1031,0)</f>
        <v>4075</v>
      </c>
    </row>
    <row r="1032" customHeight="1" spans="1:27">
      <c r="A1032" s="21" t="s">
        <v>1971</v>
      </c>
      <c r="B1032" s="21" t="s">
        <v>45</v>
      </c>
      <c r="C1032" s="21" t="s">
        <v>216</v>
      </c>
      <c r="D1032" s="21" t="s">
        <v>217</v>
      </c>
      <c r="E1032" s="21" t="s">
        <v>218</v>
      </c>
      <c r="F1032" s="21" t="s">
        <v>49</v>
      </c>
      <c r="G1032" s="21" t="s">
        <v>68</v>
      </c>
      <c r="H1032" s="21" t="s">
        <v>63</v>
      </c>
      <c r="I1032" s="26">
        <v>1</v>
      </c>
      <c r="J1032" s="26">
        <v>25</v>
      </c>
      <c r="K1032" s="21" t="s">
        <v>52</v>
      </c>
      <c r="L1032" s="27">
        <v>815</v>
      </c>
      <c r="M1032" s="21"/>
      <c r="N1032" s="21"/>
      <c r="O1032" s="21" t="s">
        <v>1972</v>
      </c>
      <c r="P1032" s="21" t="s">
        <v>54</v>
      </c>
      <c r="Q1032" s="28">
        <v>46120</v>
      </c>
      <c r="R1032" s="29">
        <v>46114.5516550926</v>
      </c>
      <c r="S1032" s="21" t="s">
        <v>221</v>
      </c>
      <c r="T1032" s="21"/>
      <c r="U1032" s="21" t="s">
        <v>222</v>
      </c>
      <c r="V1032" s="29">
        <v>46114.5515972222</v>
      </c>
      <c r="W1032">
        <f>VLOOKUP(H1032,物料編碼!A:B,2,0)</f>
        <v>1300109002</v>
      </c>
      <c r="X1032">
        <v>1300109</v>
      </c>
      <c r="Y1032" t="str">
        <f>VLOOKUP(X1032,物料編碼!D:G,4,0)</f>
        <v>面精肉</v>
      </c>
      <c r="Z1032" t="str">
        <f>VLOOKUP(C1032,客戶屬性1!A:C,2,0)</f>
        <v>天恒食品有限公司</v>
      </c>
      <c r="AA1032">
        <f>IF(COUNTIF($O$1:O1032,O1032)=1,L1032,0)</f>
        <v>815</v>
      </c>
    </row>
    <row r="1033" customHeight="1" spans="1:27">
      <c r="A1033" s="21" t="s">
        <v>1973</v>
      </c>
      <c r="B1033" s="21" t="s">
        <v>45</v>
      </c>
      <c r="C1033" s="21" t="s">
        <v>1064</v>
      </c>
      <c r="D1033" s="21" t="s">
        <v>1065</v>
      </c>
      <c r="E1033" s="21" t="s">
        <v>1066</v>
      </c>
      <c r="F1033" s="21" t="s">
        <v>49</v>
      </c>
      <c r="G1033" s="21" t="s">
        <v>89</v>
      </c>
      <c r="H1033" s="21" t="s">
        <v>63</v>
      </c>
      <c r="I1033" s="26">
        <v>10</v>
      </c>
      <c r="J1033" s="26">
        <v>250</v>
      </c>
      <c r="K1033" s="21" t="s">
        <v>52</v>
      </c>
      <c r="L1033" s="27">
        <v>8350</v>
      </c>
      <c r="M1033" s="21"/>
      <c r="N1033" s="21"/>
      <c r="O1033" s="21" t="s">
        <v>1974</v>
      </c>
      <c r="P1033" s="21" t="s">
        <v>54</v>
      </c>
      <c r="Q1033" s="28">
        <v>46120</v>
      </c>
      <c r="R1033" s="29">
        <v>46114.5410763889</v>
      </c>
      <c r="S1033" s="21" t="s">
        <v>1068</v>
      </c>
      <c r="T1033" s="21"/>
      <c r="U1033" s="21" t="s">
        <v>1065</v>
      </c>
      <c r="V1033" s="29">
        <v>46114.5410416667</v>
      </c>
      <c r="W1033">
        <f>VLOOKUP(H1033,物料編碼!A:B,2,0)</f>
        <v>1300109002</v>
      </c>
      <c r="X1033">
        <v>1300109</v>
      </c>
      <c r="Y1033" t="str">
        <f>VLOOKUP(X1033,物料編碼!D:G,4,0)</f>
        <v>面精肉</v>
      </c>
      <c r="Z1033" t="str">
        <f>VLOOKUP(C1033,客戶屬性1!A:C,2,0)</f>
        <v>明兴食品有限公司(元朗)</v>
      </c>
      <c r="AA1033">
        <f>IF(COUNTIF($O$1:O1033,O1033)=1,L1033,0)</f>
        <v>8350</v>
      </c>
    </row>
    <row r="1034" customHeight="1" spans="1:27">
      <c r="A1034" s="21" t="s">
        <v>1975</v>
      </c>
      <c r="B1034" s="21" t="s">
        <v>45</v>
      </c>
      <c r="C1034" s="21" t="s">
        <v>1064</v>
      </c>
      <c r="D1034" s="21" t="s">
        <v>1065</v>
      </c>
      <c r="E1034" s="21" t="s">
        <v>1066</v>
      </c>
      <c r="F1034" s="21" t="s">
        <v>49</v>
      </c>
      <c r="G1034" s="21" t="s">
        <v>89</v>
      </c>
      <c r="H1034" s="21" t="s">
        <v>63</v>
      </c>
      <c r="I1034" s="26">
        <v>5</v>
      </c>
      <c r="J1034" s="26">
        <v>125</v>
      </c>
      <c r="K1034" s="21" t="s">
        <v>52</v>
      </c>
      <c r="L1034" s="27">
        <v>4075</v>
      </c>
      <c r="M1034" s="21"/>
      <c r="N1034" s="21"/>
      <c r="O1034" s="21" t="s">
        <v>1976</v>
      </c>
      <c r="P1034" s="21" t="s">
        <v>54</v>
      </c>
      <c r="Q1034" s="28">
        <v>46116</v>
      </c>
      <c r="R1034" s="29">
        <v>46114.5401273148</v>
      </c>
      <c r="S1034" s="21" t="s">
        <v>1068</v>
      </c>
      <c r="T1034" s="21"/>
      <c r="U1034" s="21" t="s">
        <v>1065</v>
      </c>
      <c r="V1034" s="29">
        <v>46114.5400810185</v>
      </c>
      <c r="W1034">
        <f>VLOOKUP(H1034,物料編碼!A:B,2,0)</f>
        <v>1300109002</v>
      </c>
      <c r="X1034">
        <v>1300109</v>
      </c>
      <c r="Y1034" t="str">
        <f>VLOOKUP(X1034,物料編碼!D:G,4,0)</f>
        <v>面精肉</v>
      </c>
      <c r="Z1034" t="str">
        <f>VLOOKUP(C1034,客戶屬性1!A:C,2,0)</f>
        <v>明兴食品有限公司(元朗)</v>
      </c>
      <c r="AA1034">
        <f>IF(COUNTIF($O$1:O1034,O1034)=1,L1034,0)</f>
        <v>4075</v>
      </c>
    </row>
    <row r="1035" customHeight="1" spans="1:27">
      <c r="A1035" s="21" t="s">
        <v>1977</v>
      </c>
      <c r="B1035" s="21" t="s">
        <v>45</v>
      </c>
      <c r="C1035" s="21" t="s">
        <v>1064</v>
      </c>
      <c r="D1035" s="21" t="s">
        <v>1065</v>
      </c>
      <c r="E1035" s="21" t="s">
        <v>1066</v>
      </c>
      <c r="F1035" s="21" t="s">
        <v>49</v>
      </c>
      <c r="G1035" s="21" t="s">
        <v>89</v>
      </c>
      <c r="H1035" s="21" t="s">
        <v>63</v>
      </c>
      <c r="I1035" s="26">
        <v>10</v>
      </c>
      <c r="J1035" s="26">
        <v>250</v>
      </c>
      <c r="K1035" s="21" t="s">
        <v>52</v>
      </c>
      <c r="L1035" s="27">
        <v>8150</v>
      </c>
      <c r="M1035" s="21"/>
      <c r="N1035" s="21"/>
      <c r="O1035" s="21" t="s">
        <v>1978</v>
      </c>
      <c r="P1035" s="21" t="s">
        <v>54</v>
      </c>
      <c r="Q1035" s="28">
        <v>46115</v>
      </c>
      <c r="R1035" s="29">
        <v>46114.5389351852</v>
      </c>
      <c r="S1035" s="21" t="s">
        <v>1068</v>
      </c>
      <c r="T1035" s="21"/>
      <c r="U1035" s="21" t="s">
        <v>1065</v>
      </c>
      <c r="V1035" s="29">
        <v>46114.5388773148</v>
      </c>
      <c r="W1035">
        <f>VLOOKUP(H1035,物料編碼!A:B,2,0)</f>
        <v>1300109002</v>
      </c>
      <c r="X1035">
        <v>1300109</v>
      </c>
      <c r="Y1035" t="str">
        <f>VLOOKUP(X1035,物料編碼!D:G,4,0)</f>
        <v>面精肉</v>
      </c>
      <c r="Z1035" t="str">
        <f>VLOOKUP(C1035,客戶屬性1!A:C,2,0)</f>
        <v>明兴食品有限公司(元朗)</v>
      </c>
      <c r="AA1035">
        <f>IF(COUNTIF($O$1:O1035,O1035)=1,L1035,0)</f>
        <v>8150</v>
      </c>
    </row>
    <row r="1036" customHeight="1" spans="1:27">
      <c r="A1036" s="21" t="s">
        <v>1979</v>
      </c>
      <c r="B1036" s="21" t="s">
        <v>45</v>
      </c>
      <c r="C1036" s="21" t="s">
        <v>235</v>
      </c>
      <c r="D1036" s="21" t="s">
        <v>236</v>
      </c>
      <c r="E1036" s="21" t="s">
        <v>237</v>
      </c>
      <c r="F1036" s="21" t="s">
        <v>49</v>
      </c>
      <c r="G1036" s="21" t="s">
        <v>238</v>
      </c>
      <c r="H1036" s="21" t="s">
        <v>190</v>
      </c>
      <c r="I1036" s="26">
        <v>4</v>
      </c>
      <c r="J1036" s="26">
        <v>48</v>
      </c>
      <c r="K1036" s="21" t="s">
        <v>52</v>
      </c>
      <c r="L1036" s="27">
        <v>753.6</v>
      </c>
      <c r="M1036" s="21"/>
      <c r="N1036" s="21"/>
      <c r="O1036" s="21" t="s">
        <v>1980</v>
      </c>
      <c r="P1036" s="21" t="s">
        <v>54</v>
      </c>
      <c r="Q1036" s="28">
        <v>46115</v>
      </c>
      <c r="R1036" s="29">
        <v>46114.5116550926</v>
      </c>
      <c r="S1036" s="21" t="s">
        <v>241</v>
      </c>
      <c r="T1036" s="21"/>
      <c r="U1036" s="21" t="s">
        <v>237</v>
      </c>
      <c r="V1036" s="29">
        <v>46114.5115972222</v>
      </c>
      <c r="W1036">
        <f>VLOOKUP(H1036,物料編碼!A:B,2,0)</f>
        <v>1300609001</v>
      </c>
      <c r="X1036">
        <v>1300609</v>
      </c>
      <c r="Y1036" t="str">
        <f>VLOOKUP(X1036,物料編碼!D:G,4,0)</f>
        <v>去皮上腿肉</v>
      </c>
      <c r="Z1036" t="str">
        <f>VLOOKUP(C1036,客戶屬性1!A:C,2,0)</f>
        <v>联合林记食品有限公司</v>
      </c>
      <c r="AA1036">
        <f>IF(COUNTIF($O$1:O1036,O1036)=1,L1036,0)</f>
        <v>753.6</v>
      </c>
    </row>
    <row r="1037" customHeight="1" spans="1:27">
      <c r="A1037" s="21" t="s">
        <v>1981</v>
      </c>
      <c r="B1037" s="21" t="s">
        <v>45</v>
      </c>
      <c r="C1037" s="21" t="s">
        <v>97</v>
      </c>
      <c r="D1037" s="21" t="s">
        <v>98</v>
      </c>
      <c r="E1037" s="21" t="s">
        <v>99</v>
      </c>
      <c r="F1037" s="21" t="s">
        <v>49</v>
      </c>
      <c r="G1037" s="21" t="s">
        <v>100</v>
      </c>
      <c r="H1037" s="21" t="s">
        <v>1019</v>
      </c>
      <c r="I1037" s="26">
        <v>3</v>
      </c>
      <c r="J1037" s="26">
        <v>30</v>
      </c>
      <c r="K1037" s="21" t="s">
        <v>52</v>
      </c>
      <c r="L1037" s="27">
        <v>984</v>
      </c>
      <c r="M1037" s="21"/>
      <c r="N1037" s="21"/>
      <c r="O1037" s="21" t="s">
        <v>1982</v>
      </c>
      <c r="P1037" s="21" t="s">
        <v>54</v>
      </c>
      <c r="Q1037" s="28">
        <v>46115</v>
      </c>
      <c r="R1037" s="29">
        <v>46114.5010648148</v>
      </c>
      <c r="S1037" s="21" t="s">
        <v>1000</v>
      </c>
      <c r="T1037" s="21"/>
      <c r="U1037" s="21" t="s">
        <v>1001</v>
      </c>
      <c r="V1037" s="29">
        <v>46114.5010185185</v>
      </c>
      <c r="W1037">
        <f>VLOOKUP(H1037,物料編碼!A:B,2,0)</f>
        <v>1800108095</v>
      </c>
      <c r="X1037">
        <v>1800108</v>
      </c>
      <c r="Y1037" t="str">
        <f>VLOOKUP(X1037,物料編碼!D:G,4,0)</f>
        <v>魚.其他</v>
      </c>
      <c r="Z1037" t="str">
        <f>VLOOKUP(C1037,客戶屬性1!A:C,2,0)</f>
        <v>三明有限公司</v>
      </c>
      <c r="AA1037">
        <f>IF(COUNTIF($O$1:O1037,O1037)=1,L1037,0)</f>
        <v>984</v>
      </c>
    </row>
    <row r="1038" customHeight="1" spans="1:27">
      <c r="A1038" s="21" t="s">
        <v>1983</v>
      </c>
      <c r="B1038" s="21" t="s">
        <v>45</v>
      </c>
      <c r="C1038" s="21" t="s">
        <v>141</v>
      </c>
      <c r="D1038" s="21" t="s">
        <v>142</v>
      </c>
      <c r="E1038" s="21" t="s">
        <v>142</v>
      </c>
      <c r="F1038" s="21" t="s">
        <v>143</v>
      </c>
      <c r="G1038" s="21" t="s">
        <v>100</v>
      </c>
      <c r="H1038" s="21" t="s">
        <v>117</v>
      </c>
      <c r="I1038" s="26">
        <v>3</v>
      </c>
      <c r="J1038" s="26">
        <v>45</v>
      </c>
      <c r="K1038" s="21" t="s">
        <v>52</v>
      </c>
      <c r="L1038" s="27">
        <v>2885.1</v>
      </c>
      <c r="M1038" s="21"/>
      <c r="N1038" s="21"/>
      <c r="O1038" s="21" t="s">
        <v>1984</v>
      </c>
      <c r="P1038" s="21" t="s">
        <v>54</v>
      </c>
      <c r="Q1038" s="28">
        <v>46120</v>
      </c>
      <c r="R1038" s="29">
        <v>46114.4878240741</v>
      </c>
      <c r="S1038" s="21" t="s">
        <v>145</v>
      </c>
      <c r="T1038" s="21"/>
      <c r="U1038" s="21" t="s">
        <v>142</v>
      </c>
      <c r="V1038" s="29">
        <v>46114.4877777778</v>
      </c>
      <c r="W1038">
        <f>VLOOKUP(H1038,物料編碼!A:B,2,0)</f>
        <v>1300607015</v>
      </c>
      <c r="X1038">
        <v>1300607</v>
      </c>
      <c r="Y1038" t="str">
        <f>VLOOKUP(X1038,物料編碼!D:G,4,0)</f>
        <v>帶皮腿扒</v>
      </c>
      <c r="Z1038" t="str">
        <f>VLOOKUP(C1038,客戶屬性1!A:C,2,0)</f>
        <v>新昌冻肉</v>
      </c>
      <c r="AA1038">
        <f>IF(COUNTIF($O$1:O1038,O1038)=1,L1038,0)</f>
        <v>2885.1</v>
      </c>
    </row>
    <row r="1039" customHeight="1" spans="1:27">
      <c r="A1039" s="21" t="s">
        <v>1983</v>
      </c>
      <c r="B1039" s="21" t="s">
        <v>45</v>
      </c>
      <c r="C1039" s="21" t="s">
        <v>141</v>
      </c>
      <c r="D1039" s="21" t="s">
        <v>142</v>
      </c>
      <c r="E1039" s="21" t="s">
        <v>142</v>
      </c>
      <c r="F1039" s="21" t="s">
        <v>143</v>
      </c>
      <c r="G1039" s="21" t="s">
        <v>100</v>
      </c>
      <c r="H1039" s="21" t="s">
        <v>60</v>
      </c>
      <c r="I1039" s="26">
        <v>1</v>
      </c>
      <c r="J1039" s="26">
        <v>25</v>
      </c>
      <c r="K1039" s="21" t="s">
        <v>52</v>
      </c>
      <c r="L1039" s="27">
        <v>2885.1</v>
      </c>
      <c r="M1039" s="21"/>
      <c r="N1039" s="21"/>
      <c r="O1039" s="21" t="s">
        <v>1984</v>
      </c>
      <c r="P1039" s="21" t="s">
        <v>54</v>
      </c>
      <c r="Q1039" s="28">
        <v>46120</v>
      </c>
      <c r="R1039" s="29">
        <v>46114.4878240741</v>
      </c>
      <c r="S1039" s="21" t="s">
        <v>145</v>
      </c>
      <c r="T1039" s="21"/>
      <c r="U1039" s="21" t="s">
        <v>142</v>
      </c>
      <c r="V1039" s="29">
        <v>46114.4877777778</v>
      </c>
      <c r="W1039">
        <f>VLOOKUP(H1039,物料編碼!A:B,2,0)</f>
        <v>1300101043</v>
      </c>
      <c r="X1039">
        <v>1300101</v>
      </c>
      <c r="Y1039" t="str">
        <f>VLOOKUP(X1039,物料編碼!D:G,4,0)</f>
        <v>一號肉</v>
      </c>
      <c r="Z1039" t="str">
        <f>VLOOKUP(C1039,客戶屬性1!A:C,2,0)</f>
        <v>新昌冻肉</v>
      </c>
      <c r="AA1039">
        <f>IF(COUNTIF($O$1:O1039,O1039)=1,L1039,0)</f>
        <v>0</v>
      </c>
    </row>
    <row r="1040" customHeight="1" spans="1:27">
      <c r="A1040" s="21" t="s">
        <v>1983</v>
      </c>
      <c r="B1040" s="21" t="s">
        <v>45</v>
      </c>
      <c r="C1040" s="21" t="s">
        <v>141</v>
      </c>
      <c r="D1040" s="21" t="s">
        <v>142</v>
      </c>
      <c r="E1040" s="21" t="s">
        <v>142</v>
      </c>
      <c r="F1040" s="21" t="s">
        <v>143</v>
      </c>
      <c r="G1040" s="21" t="s">
        <v>100</v>
      </c>
      <c r="H1040" s="21" t="s">
        <v>63</v>
      </c>
      <c r="I1040" s="26">
        <v>1</v>
      </c>
      <c r="J1040" s="26">
        <v>25</v>
      </c>
      <c r="K1040" s="21" t="s">
        <v>52</v>
      </c>
      <c r="L1040" s="27">
        <v>2885.1</v>
      </c>
      <c r="M1040" s="21"/>
      <c r="N1040" s="21"/>
      <c r="O1040" s="21" t="s">
        <v>1984</v>
      </c>
      <c r="P1040" s="21" t="s">
        <v>54</v>
      </c>
      <c r="Q1040" s="28">
        <v>46120</v>
      </c>
      <c r="R1040" s="29">
        <v>46114.4878240741</v>
      </c>
      <c r="S1040" s="21" t="s">
        <v>145</v>
      </c>
      <c r="T1040" s="21"/>
      <c r="U1040" s="21" t="s">
        <v>142</v>
      </c>
      <c r="V1040" s="29">
        <v>46114.4877777778</v>
      </c>
      <c r="W1040">
        <f>VLOOKUP(H1040,物料編碼!A:B,2,0)</f>
        <v>1300109002</v>
      </c>
      <c r="X1040">
        <v>1300109</v>
      </c>
      <c r="Y1040" t="str">
        <f>VLOOKUP(X1040,物料編碼!D:G,4,0)</f>
        <v>面精肉</v>
      </c>
      <c r="Z1040" t="str">
        <f>VLOOKUP(C1040,客戶屬性1!A:C,2,0)</f>
        <v>新昌冻肉</v>
      </c>
      <c r="AA1040">
        <f>IF(COUNTIF($O$1:O1040,O1040)=1,L1040,0)</f>
        <v>0</v>
      </c>
    </row>
    <row r="1041" customHeight="1" spans="1:27">
      <c r="A1041" s="21" t="s">
        <v>1983</v>
      </c>
      <c r="B1041" s="21" t="s">
        <v>45</v>
      </c>
      <c r="C1041" s="21" t="s">
        <v>141</v>
      </c>
      <c r="D1041" s="21" t="s">
        <v>142</v>
      </c>
      <c r="E1041" s="21" t="s">
        <v>142</v>
      </c>
      <c r="F1041" s="21" t="s">
        <v>143</v>
      </c>
      <c r="G1041" s="21" t="s">
        <v>100</v>
      </c>
      <c r="H1041" s="21" t="s">
        <v>298</v>
      </c>
      <c r="I1041" s="26">
        <v>1</v>
      </c>
      <c r="J1041" s="26">
        <v>10</v>
      </c>
      <c r="K1041" s="21" t="s">
        <v>52</v>
      </c>
      <c r="L1041" s="27">
        <v>2885.1</v>
      </c>
      <c r="M1041" s="21"/>
      <c r="N1041" s="21"/>
      <c r="O1041" s="21" t="s">
        <v>1984</v>
      </c>
      <c r="P1041" s="21" t="s">
        <v>54</v>
      </c>
      <c r="Q1041" s="28">
        <v>46120</v>
      </c>
      <c r="R1041" s="29">
        <v>46114.4878240741</v>
      </c>
      <c r="S1041" s="21" t="s">
        <v>145</v>
      </c>
      <c r="T1041" s="21"/>
      <c r="U1041" s="21" t="s">
        <v>142</v>
      </c>
      <c r="V1041" s="29">
        <v>46114.4877777778</v>
      </c>
      <c r="W1041">
        <f>VLOOKUP(H1041,物料編碼!A:B,2,0)</f>
        <v>1300111003</v>
      </c>
      <c r="X1041">
        <v>1300111</v>
      </c>
      <c r="Y1041" t="str">
        <f>VLOOKUP(X1041,物料編碼!D:G,4,0)</f>
        <v>寸骨</v>
      </c>
      <c r="Z1041" t="str">
        <f>VLOOKUP(C1041,客戶屬性1!A:C,2,0)</f>
        <v>新昌冻肉</v>
      </c>
      <c r="AA1041">
        <f>IF(COUNTIF($O$1:O1041,O1041)=1,L1041,0)</f>
        <v>0</v>
      </c>
    </row>
    <row r="1042" customHeight="1" spans="1:27">
      <c r="A1042" s="21" t="s">
        <v>1985</v>
      </c>
      <c r="B1042" s="21" t="s">
        <v>45</v>
      </c>
      <c r="C1042" s="21" t="s">
        <v>141</v>
      </c>
      <c r="D1042" s="21" t="s">
        <v>142</v>
      </c>
      <c r="E1042" s="21" t="s">
        <v>142</v>
      </c>
      <c r="F1042" s="21" t="s">
        <v>143</v>
      </c>
      <c r="G1042" s="21" t="s">
        <v>100</v>
      </c>
      <c r="H1042" s="21" t="s">
        <v>117</v>
      </c>
      <c r="I1042" s="26">
        <v>3</v>
      </c>
      <c r="J1042" s="26">
        <v>45</v>
      </c>
      <c r="K1042" s="21" t="s">
        <v>52</v>
      </c>
      <c r="L1042" s="27">
        <v>2070.1</v>
      </c>
      <c r="M1042" s="21"/>
      <c r="N1042" s="21"/>
      <c r="O1042" s="21" t="s">
        <v>1986</v>
      </c>
      <c r="P1042" s="21" t="s">
        <v>54</v>
      </c>
      <c r="Q1042" s="28">
        <v>46116</v>
      </c>
      <c r="R1042" s="29">
        <v>46114.4855439815</v>
      </c>
      <c r="S1042" s="21" t="s">
        <v>145</v>
      </c>
      <c r="T1042" s="21"/>
      <c r="U1042" s="21" t="s">
        <v>142</v>
      </c>
      <c r="V1042" s="29">
        <v>46114.4854976852</v>
      </c>
      <c r="W1042">
        <f>VLOOKUP(H1042,物料編碼!A:B,2,0)</f>
        <v>1300607015</v>
      </c>
      <c r="X1042">
        <v>1300607</v>
      </c>
      <c r="Y1042" t="str">
        <f>VLOOKUP(X1042,物料編碼!D:G,4,0)</f>
        <v>帶皮腿扒</v>
      </c>
      <c r="Z1042" t="str">
        <f>VLOOKUP(C1042,客戶屬性1!A:C,2,0)</f>
        <v>新昌冻肉</v>
      </c>
      <c r="AA1042">
        <f>IF(COUNTIF($O$1:O1042,O1042)=1,L1042,0)</f>
        <v>2070.1</v>
      </c>
    </row>
    <row r="1043" customHeight="1" spans="1:27">
      <c r="A1043" s="21" t="s">
        <v>1985</v>
      </c>
      <c r="B1043" s="21" t="s">
        <v>45</v>
      </c>
      <c r="C1043" s="21" t="s">
        <v>141</v>
      </c>
      <c r="D1043" s="21" t="s">
        <v>142</v>
      </c>
      <c r="E1043" s="21" t="s">
        <v>142</v>
      </c>
      <c r="F1043" s="21" t="s">
        <v>143</v>
      </c>
      <c r="G1043" s="21" t="s">
        <v>100</v>
      </c>
      <c r="H1043" s="21" t="s">
        <v>60</v>
      </c>
      <c r="I1043" s="26">
        <v>1</v>
      </c>
      <c r="J1043" s="26">
        <v>25</v>
      </c>
      <c r="K1043" s="21" t="s">
        <v>52</v>
      </c>
      <c r="L1043" s="27">
        <v>2070.1</v>
      </c>
      <c r="M1043" s="21"/>
      <c r="N1043" s="21"/>
      <c r="O1043" s="21" t="s">
        <v>1986</v>
      </c>
      <c r="P1043" s="21" t="s">
        <v>54</v>
      </c>
      <c r="Q1043" s="28">
        <v>46116</v>
      </c>
      <c r="R1043" s="29">
        <v>46114.4855439815</v>
      </c>
      <c r="S1043" s="21" t="s">
        <v>145</v>
      </c>
      <c r="T1043" s="21"/>
      <c r="U1043" s="21" t="s">
        <v>142</v>
      </c>
      <c r="V1043" s="29">
        <v>46114.4854976852</v>
      </c>
      <c r="W1043">
        <f>VLOOKUP(H1043,物料編碼!A:B,2,0)</f>
        <v>1300101043</v>
      </c>
      <c r="X1043">
        <v>1300101</v>
      </c>
      <c r="Y1043" t="str">
        <f>VLOOKUP(X1043,物料編碼!D:G,4,0)</f>
        <v>一號肉</v>
      </c>
      <c r="Z1043" t="str">
        <f>VLOOKUP(C1043,客戶屬性1!A:C,2,0)</f>
        <v>新昌冻肉</v>
      </c>
      <c r="AA1043">
        <f>IF(COUNTIF($O$1:O1043,O1043)=1,L1043,0)</f>
        <v>0</v>
      </c>
    </row>
    <row r="1044" customHeight="1" spans="1:27">
      <c r="A1044" s="21" t="s">
        <v>1985</v>
      </c>
      <c r="B1044" s="21" t="s">
        <v>45</v>
      </c>
      <c r="C1044" s="21" t="s">
        <v>141</v>
      </c>
      <c r="D1044" s="21" t="s">
        <v>142</v>
      </c>
      <c r="E1044" s="21" t="s">
        <v>142</v>
      </c>
      <c r="F1044" s="21" t="s">
        <v>143</v>
      </c>
      <c r="G1044" s="21" t="s">
        <v>100</v>
      </c>
      <c r="H1044" s="21" t="s">
        <v>298</v>
      </c>
      <c r="I1044" s="26">
        <v>1</v>
      </c>
      <c r="J1044" s="26">
        <v>10</v>
      </c>
      <c r="K1044" s="21" t="s">
        <v>52</v>
      </c>
      <c r="L1044" s="27">
        <v>2070.1</v>
      </c>
      <c r="M1044" s="21"/>
      <c r="N1044" s="21"/>
      <c r="O1044" s="21" t="s">
        <v>1986</v>
      </c>
      <c r="P1044" s="21" t="s">
        <v>54</v>
      </c>
      <c r="Q1044" s="28">
        <v>46116</v>
      </c>
      <c r="R1044" s="29">
        <v>46114.4855439815</v>
      </c>
      <c r="S1044" s="21" t="s">
        <v>145</v>
      </c>
      <c r="T1044" s="21"/>
      <c r="U1044" s="21" t="s">
        <v>142</v>
      </c>
      <c r="V1044" s="29">
        <v>46114.4854976852</v>
      </c>
      <c r="W1044">
        <f>VLOOKUP(H1044,物料編碼!A:B,2,0)</f>
        <v>1300111003</v>
      </c>
      <c r="X1044">
        <v>1300111</v>
      </c>
      <c r="Y1044" t="str">
        <f>VLOOKUP(X1044,物料編碼!D:G,4,0)</f>
        <v>寸骨</v>
      </c>
      <c r="Z1044" t="str">
        <f>VLOOKUP(C1044,客戶屬性1!A:C,2,0)</f>
        <v>新昌冻肉</v>
      </c>
      <c r="AA1044">
        <f>IF(COUNTIF($O$1:O1044,O1044)=1,L1044,0)</f>
        <v>0</v>
      </c>
    </row>
    <row r="1045" customHeight="1" spans="1:27">
      <c r="A1045" s="21" t="s">
        <v>1987</v>
      </c>
      <c r="B1045" s="21" t="s">
        <v>45</v>
      </c>
      <c r="C1045" s="21" t="s">
        <v>141</v>
      </c>
      <c r="D1045" s="21" t="s">
        <v>142</v>
      </c>
      <c r="E1045" s="21" t="s">
        <v>142</v>
      </c>
      <c r="F1045" s="21" t="s">
        <v>143</v>
      </c>
      <c r="G1045" s="21" t="s">
        <v>100</v>
      </c>
      <c r="H1045" s="21" t="s">
        <v>117</v>
      </c>
      <c r="I1045" s="26">
        <v>5</v>
      </c>
      <c r="J1045" s="26">
        <v>75</v>
      </c>
      <c r="K1045" s="21" t="s">
        <v>52</v>
      </c>
      <c r="L1045" s="27">
        <v>2513.5</v>
      </c>
      <c r="M1045" s="21"/>
      <c r="N1045" s="21"/>
      <c r="O1045" s="21" t="s">
        <v>1988</v>
      </c>
      <c r="P1045" s="21" t="s">
        <v>54</v>
      </c>
      <c r="Q1045" s="28">
        <v>46115</v>
      </c>
      <c r="R1045" s="29">
        <v>46114.4822685185</v>
      </c>
      <c r="S1045" s="21" t="s">
        <v>145</v>
      </c>
      <c r="T1045" s="21"/>
      <c r="U1045" s="21" t="s">
        <v>142</v>
      </c>
      <c r="V1045" s="29">
        <v>46114.4822222222</v>
      </c>
      <c r="W1045">
        <f>VLOOKUP(H1045,物料編碼!A:B,2,0)</f>
        <v>1300607015</v>
      </c>
      <c r="X1045">
        <v>1300607</v>
      </c>
      <c r="Y1045" t="str">
        <f>VLOOKUP(X1045,物料編碼!D:G,4,0)</f>
        <v>帶皮腿扒</v>
      </c>
      <c r="Z1045" t="str">
        <f>VLOOKUP(C1045,客戶屬性1!A:C,2,0)</f>
        <v>新昌冻肉</v>
      </c>
      <c r="AA1045">
        <f>IF(COUNTIF($O$1:O1045,O1045)=1,L1045,0)</f>
        <v>2513.5</v>
      </c>
    </row>
    <row r="1046" customHeight="1" spans="1:27">
      <c r="A1046" s="21" t="s">
        <v>1987</v>
      </c>
      <c r="B1046" s="21" t="s">
        <v>45</v>
      </c>
      <c r="C1046" s="21" t="s">
        <v>141</v>
      </c>
      <c r="D1046" s="21" t="s">
        <v>142</v>
      </c>
      <c r="E1046" s="21" t="s">
        <v>142</v>
      </c>
      <c r="F1046" s="21" t="s">
        <v>143</v>
      </c>
      <c r="G1046" s="21" t="s">
        <v>100</v>
      </c>
      <c r="H1046" s="21" t="s">
        <v>60</v>
      </c>
      <c r="I1046" s="26">
        <v>1</v>
      </c>
      <c r="J1046" s="26">
        <v>25</v>
      </c>
      <c r="K1046" s="21" t="s">
        <v>52</v>
      </c>
      <c r="L1046" s="27">
        <v>2513.5</v>
      </c>
      <c r="M1046" s="21"/>
      <c r="N1046" s="21"/>
      <c r="O1046" s="21" t="s">
        <v>1988</v>
      </c>
      <c r="P1046" s="21" t="s">
        <v>54</v>
      </c>
      <c r="Q1046" s="28">
        <v>46115</v>
      </c>
      <c r="R1046" s="29">
        <v>46114.4822685185</v>
      </c>
      <c r="S1046" s="21" t="s">
        <v>145</v>
      </c>
      <c r="T1046" s="21"/>
      <c r="U1046" s="21" t="s">
        <v>142</v>
      </c>
      <c r="V1046" s="29">
        <v>46114.4822222222</v>
      </c>
      <c r="W1046">
        <f>VLOOKUP(H1046,物料編碼!A:B,2,0)</f>
        <v>1300101043</v>
      </c>
      <c r="X1046">
        <v>1300101</v>
      </c>
      <c r="Y1046" t="str">
        <f>VLOOKUP(X1046,物料編碼!D:G,4,0)</f>
        <v>一號肉</v>
      </c>
      <c r="Z1046" t="str">
        <f>VLOOKUP(C1046,客戶屬性1!A:C,2,0)</f>
        <v>新昌冻肉</v>
      </c>
      <c r="AA1046">
        <f>IF(COUNTIF($O$1:O1046,O1046)=1,L1046,0)</f>
        <v>0</v>
      </c>
    </row>
    <row r="1047" customHeight="1" spans="1:27">
      <c r="A1047" s="21" t="s">
        <v>1987</v>
      </c>
      <c r="B1047" s="21" t="s">
        <v>45</v>
      </c>
      <c r="C1047" s="21" t="s">
        <v>141</v>
      </c>
      <c r="D1047" s="21" t="s">
        <v>142</v>
      </c>
      <c r="E1047" s="21" t="s">
        <v>142</v>
      </c>
      <c r="F1047" s="21" t="s">
        <v>143</v>
      </c>
      <c r="G1047" s="21" t="s">
        <v>100</v>
      </c>
      <c r="H1047" s="21" t="s">
        <v>298</v>
      </c>
      <c r="I1047" s="26">
        <v>1</v>
      </c>
      <c r="J1047" s="26">
        <v>10</v>
      </c>
      <c r="K1047" s="21" t="s">
        <v>52</v>
      </c>
      <c r="L1047" s="27">
        <v>2513.5</v>
      </c>
      <c r="M1047" s="21"/>
      <c r="N1047" s="21"/>
      <c r="O1047" s="21" t="s">
        <v>1988</v>
      </c>
      <c r="P1047" s="21" t="s">
        <v>54</v>
      </c>
      <c r="Q1047" s="28">
        <v>46115</v>
      </c>
      <c r="R1047" s="29">
        <v>46114.4822685185</v>
      </c>
      <c r="S1047" s="21" t="s">
        <v>145</v>
      </c>
      <c r="T1047" s="21"/>
      <c r="U1047" s="21" t="s">
        <v>142</v>
      </c>
      <c r="V1047" s="29">
        <v>46114.4822222222</v>
      </c>
      <c r="W1047">
        <f>VLOOKUP(H1047,物料編碼!A:B,2,0)</f>
        <v>1300111003</v>
      </c>
      <c r="X1047">
        <v>1300111</v>
      </c>
      <c r="Y1047" t="str">
        <f>VLOOKUP(X1047,物料編碼!D:G,4,0)</f>
        <v>寸骨</v>
      </c>
      <c r="Z1047" t="str">
        <f>VLOOKUP(C1047,客戶屬性1!A:C,2,0)</f>
        <v>新昌冻肉</v>
      </c>
      <c r="AA1047">
        <f>IF(COUNTIF($O$1:O1047,O1047)=1,L1047,0)</f>
        <v>0</v>
      </c>
    </row>
    <row r="1048" customHeight="1" spans="1:27">
      <c r="A1048" s="21" t="s">
        <v>1989</v>
      </c>
      <c r="B1048" s="21" t="s">
        <v>45</v>
      </c>
      <c r="C1048" s="21" t="s">
        <v>538</v>
      </c>
      <c r="D1048" s="21" t="s">
        <v>539</v>
      </c>
      <c r="E1048" s="21" t="s">
        <v>540</v>
      </c>
      <c r="F1048" s="21" t="s">
        <v>49</v>
      </c>
      <c r="G1048" s="21" t="s">
        <v>541</v>
      </c>
      <c r="H1048" s="21" t="s">
        <v>117</v>
      </c>
      <c r="I1048" s="26">
        <v>6</v>
      </c>
      <c r="J1048" s="26">
        <v>90</v>
      </c>
      <c r="K1048" s="21" t="s">
        <v>52</v>
      </c>
      <c r="L1048" s="27">
        <v>1330.2</v>
      </c>
      <c r="M1048" s="21"/>
      <c r="N1048" s="21"/>
      <c r="O1048" s="21" t="s">
        <v>1990</v>
      </c>
      <c r="P1048" s="21" t="s">
        <v>54</v>
      </c>
      <c r="Q1048" s="28">
        <v>46114</v>
      </c>
      <c r="R1048" s="29">
        <v>46114.4633217593</v>
      </c>
      <c r="S1048" s="21" t="s">
        <v>543</v>
      </c>
      <c r="T1048" s="21"/>
      <c r="U1048" s="21" t="s">
        <v>539</v>
      </c>
      <c r="V1048" s="29">
        <v>46114.463275463</v>
      </c>
      <c r="W1048">
        <f>VLOOKUP(H1048,物料編碼!A:B,2,0)</f>
        <v>1300607015</v>
      </c>
      <c r="X1048">
        <v>1300607</v>
      </c>
      <c r="Y1048" t="str">
        <f>VLOOKUP(X1048,物料編碼!D:G,4,0)</f>
        <v>帶皮腿扒</v>
      </c>
      <c r="Z1048" t="str">
        <f>VLOOKUP(C1048,客戶屬性1!A:C,2,0)</f>
        <v>诚信冻肉有限公司</v>
      </c>
      <c r="AA1048">
        <f>IF(COUNTIF($O$1:O1048,O1048)=1,L1048,0)</f>
        <v>1330.2</v>
      </c>
    </row>
    <row r="1049" customHeight="1" spans="1:27">
      <c r="A1049" s="21" t="s">
        <v>1991</v>
      </c>
      <c r="B1049" s="21" t="s">
        <v>45</v>
      </c>
      <c r="C1049" s="21" t="s">
        <v>86</v>
      </c>
      <c r="D1049" s="21" t="s">
        <v>87</v>
      </c>
      <c r="E1049" s="21" t="s">
        <v>88</v>
      </c>
      <c r="F1049" s="21" t="s">
        <v>49</v>
      </c>
      <c r="G1049" s="21" t="s">
        <v>89</v>
      </c>
      <c r="H1049" s="21" t="s">
        <v>63</v>
      </c>
      <c r="I1049" s="26">
        <v>5</v>
      </c>
      <c r="J1049" s="26">
        <v>125</v>
      </c>
      <c r="K1049" s="21" t="s">
        <v>52</v>
      </c>
      <c r="L1049" s="27">
        <v>4075</v>
      </c>
      <c r="M1049" s="21"/>
      <c r="N1049" s="21"/>
      <c r="O1049" s="21" t="s">
        <v>1992</v>
      </c>
      <c r="P1049" s="21" t="s">
        <v>54</v>
      </c>
      <c r="Q1049" s="28">
        <v>46120</v>
      </c>
      <c r="R1049" s="29">
        <v>46114.4513078704</v>
      </c>
      <c r="S1049" s="21" t="s">
        <v>91</v>
      </c>
      <c r="T1049" s="21"/>
      <c r="U1049" s="21" t="s">
        <v>88</v>
      </c>
      <c r="V1049" s="29">
        <v>46114.45125</v>
      </c>
      <c r="W1049">
        <f>VLOOKUP(H1049,物料編碼!A:B,2,0)</f>
        <v>1300109002</v>
      </c>
      <c r="X1049">
        <v>1300109</v>
      </c>
      <c r="Y1049" t="str">
        <f>VLOOKUP(X1049,物料編碼!D:G,4,0)</f>
        <v>面精肉</v>
      </c>
      <c r="Z1049" t="str">
        <f>VLOOKUP(C1049,客戶屬性1!A:C,2,0)</f>
        <v>新城发食品有限公司</v>
      </c>
      <c r="AA1049">
        <f>IF(COUNTIF($O$1:O1049,O1049)=1,L1049,0)</f>
        <v>4075</v>
      </c>
    </row>
    <row r="1050" customHeight="1" spans="1:27">
      <c r="A1050" s="21" t="s">
        <v>1993</v>
      </c>
      <c r="B1050" s="21" t="s">
        <v>45</v>
      </c>
      <c r="C1050" s="21" t="s">
        <v>216</v>
      </c>
      <c r="D1050" s="21" t="s">
        <v>217</v>
      </c>
      <c r="E1050" s="21" t="s">
        <v>218</v>
      </c>
      <c r="F1050" s="21" t="s">
        <v>49</v>
      </c>
      <c r="G1050" s="21" t="s">
        <v>68</v>
      </c>
      <c r="H1050" s="21" t="s">
        <v>63</v>
      </c>
      <c r="I1050" s="26">
        <v>1</v>
      </c>
      <c r="J1050" s="26">
        <v>25</v>
      </c>
      <c r="K1050" s="21" t="s">
        <v>52</v>
      </c>
      <c r="L1050" s="27">
        <v>815</v>
      </c>
      <c r="M1050" s="21"/>
      <c r="N1050" s="21"/>
      <c r="O1050" s="21" t="s">
        <v>1994</v>
      </c>
      <c r="P1050" s="21" t="s">
        <v>54</v>
      </c>
      <c r="Q1050" s="28">
        <v>46115</v>
      </c>
      <c r="R1050" s="29">
        <v>46114.4433680556</v>
      </c>
      <c r="S1050" s="21" t="s">
        <v>221</v>
      </c>
      <c r="T1050" s="21"/>
      <c r="U1050" s="21" t="s">
        <v>222</v>
      </c>
      <c r="V1050" s="29">
        <v>46114.4433333333</v>
      </c>
      <c r="W1050">
        <f>VLOOKUP(H1050,物料編碼!A:B,2,0)</f>
        <v>1300109002</v>
      </c>
      <c r="X1050">
        <v>1300109</v>
      </c>
      <c r="Y1050" t="str">
        <f>VLOOKUP(X1050,物料編碼!D:G,4,0)</f>
        <v>面精肉</v>
      </c>
      <c r="Z1050" t="str">
        <f>VLOOKUP(C1050,客戶屬性1!A:C,2,0)</f>
        <v>天恒食品有限公司</v>
      </c>
      <c r="AA1050">
        <f>IF(COUNTIF($O$1:O1050,O1050)=1,L1050,0)</f>
        <v>815</v>
      </c>
    </row>
    <row r="1051" customHeight="1" spans="1:27">
      <c r="A1051" s="21" t="s">
        <v>1995</v>
      </c>
      <c r="B1051" s="21" t="s">
        <v>45</v>
      </c>
      <c r="C1051" s="21" t="s">
        <v>86</v>
      </c>
      <c r="D1051" s="21" t="s">
        <v>87</v>
      </c>
      <c r="E1051" s="21" t="s">
        <v>88</v>
      </c>
      <c r="F1051" s="21" t="s">
        <v>49</v>
      </c>
      <c r="G1051" s="21" t="s">
        <v>89</v>
      </c>
      <c r="H1051" s="21" t="s">
        <v>63</v>
      </c>
      <c r="I1051" s="26">
        <v>3</v>
      </c>
      <c r="J1051" s="26">
        <v>75</v>
      </c>
      <c r="K1051" s="21" t="s">
        <v>52</v>
      </c>
      <c r="L1051" s="27">
        <v>2445</v>
      </c>
      <c r="M1051" s="21"/>
      <c r="N1051" s="21"/>
      <c r="O1051" s="21" t="s">
        <v>1996</v>
      </c>
      <c r="P1051" s="21" t="s">
        <v>54</v>
      </c>
      <c r="Q1051" s="28">
        <v>46116</v>
      </c>
      <c r="R1051" s="29">
        <v>46114.4429513889</v>
      </c>
      <c r="S1051" s="21" t="s">
        <v>91</v>
      </c>
      <c r="T1051" s="21"/>
      <c r="U1051" s="21" t="s">
        <v>88</v>
      </c>
      <c r="V1051" s="29">
        <v>46114.4429050926</v>
      </c>
      <c r="W1051">
        <f>VLOOKUP(H1051,物料編碼!A:B,2,0)</f>
        <v>1300109002</v>
      </c>
      <c r="X1051">
        <v>1300109</v>
      </c>
      <c r="Y1051" t="str">
        <f>VLOOKUP(X1051,物料編碼!D:G,4,0)</f>
        <v>面精肉</v>
      </c>
      <c r="Z1051" t="str">
        <f>VLOOKUP(C1051,客戶屬性1!A:C,2,0)</f>
        <v>新城发食品有限公司</v>
      </c>
      <c r="AA1051">
        <f>IF(COUNTIF($O$1:O1051,O1051)=1,L1051,0)</f>
        <v>2445</v>
      </c>
    </row>
    <row r="1052" customHeight="1" spans="1:27">
      <c r="A1052" s="21" t="s">
        <v>1997</v>
      </c>
      <c r="B1052" s="21" t="s">
        <v>45</v>
      </c>
      <c r="C1052" s="21" t="s">
        <v>216</v>
      </c>
      <c r="D1052" s="21" t="s">
        <v>217</v>
      </c>
      <c r="E1052" s="21" t="s">
        <v>218</v>
      </c>
      <c r="F1052" s="21" t="s">
        <v>49</v>
      </c>
      <c r="G1052" s="21" t="s">
        <v>68</v>
      </c>
      <c r="H1052" s="21" t="s">
        <v>161</v>
      </c>
      <c r="I1052" s="26">
        <v>1</v>
      </c>
      <c r="J1052" s="26">
        <v>20</v>
      </c>
      <c r="K1052" s="21" t="s">
        <v>52</v>
      </c>
      <c r="L1052" s="27">
        <v>1900</v>
      </c>
      <c r="M1052" s="21"/>
      <c r="N1052" s="21"/>
      <c r="O1052" s="21" t="s">
        <v>1998</v>
      </c>
      <c r="P1052" s="21" t="s">
        <v>54</v>
      </c>
      <c r="Q1052" s="28">
        <v>46115</v>
      </c>
      <c r="R1052" s="29">
        <v>46114.4413425926</v>
      </c>
      <c r="S1052" s="21" t="s">
        <v>221</v>
      </c>
      <c r="T1052" s="21"/>
      <c r="U1052" s="21" t="s">
        <v>222</v>
      </c>
      <c r="V1052" s="29">
        <v>46114.4412962963</v>
      </c>
      <c r="W1052">
        <f>VLOOKUP(H1052,物料編碼!A:B,2,0)</f>
        <v>1300501020</v>
      </c>
      <c r="X1052">
        <v>1300501</v>
      </c>
      <c r="Y1052" t="str">
        <f>VLOOKUP(X1052,物料編碼!D:G,4,0)</f>
        <v>羊排</v>
      </c>
      <c r="Z1052" t="str">
        <f>VLOOKUP(C1052,客戶屬性1!A:C,2,0)</f>
        <v>天恒食品有限公司</v>
      </c>
      <c r="AA1052">
        <f>IF(COUNTIF($O$1:O1052,O1052)=1,L1052,0)</f>
        <v>1900</v>
      </c>
    </row>
    <row r="1053" customHeight="1" spans="1:27">
      <c r="A1053" s="21" t="s">
        <v>1999</v>
      </c>
      <c r="B1053" s="21" t="s">
        <v>45</v>
      </c>
      <c r="C1053" s="21" t="s">
        <v>97</v>
      </c>
      <c r="D1053" s="21" t="s">
        <v>98</v>
      </c>
      <c r="E1053" s="21" t="s">
        <v>99</v>
      </c>
      <c r="F1053" s="21" t="s">
        <v>49</v>
      </c>
      <c r="G1053" s="21" t="s">
        <v>100</v>
      </c>
      <c r="H1053" s="21" t="s">
        <v>1019</v>
      </c>
      <c r="I1053" s="26">
        <v>1</v>
      </c>
      <c r="J1053" s="26">
        <v>10</v>
      </c>
      <c r="K1053" s="21" t="s">
        <v>52</v>
      </c>
      <c r="L1053" s="27">
        <v>328</v>
      </c>
      <c r="M1053" s="21"/>
      <c r="N1053" s="21"/>
      <c r="O1053" s="21" t="s">
        <v>2000</v>
      </c>
      <c r="P1053" s="21" t="s">
        <v>54</v>
      </c>
      <c r="Q1053" s="28">
        <v>46114</v>
      </c>
      <c r="R1053" s="29">
        <v>46114.439849537</v>
      </c>
      <c r="S1053" s="21" t="s">
        <v>1000</v>
      </c>
      <c r="T1053" s="21"/>
      <c r="U1053" s="21" t="s">
        <v>1001</v>
      </c>
      <c r="V1053" s="29">
        <v>46114.4397916667</v>
      </c>
      <c r="W1053">
        <f>VLOOKUP(H1053,物料編碼!A:B,2,0)</f>
        <v>1800108095</v>
      </c>
      <c r="X1053">
        <v>1800108</v>
      </c>
      <c r="Y1053" t="str">
        <f>VLOOKUP(X1053,物料編碼!D:G,4,0)</f>
        <v>魚.其他</v>
      </c>
      <c r="Z1053" t="str">
        <f>VLOOKUP(C1053,客戶屬性1!A:C,2,0)</f>
        <v>三明有限公司</v>
      </c>
      <c r="AA1053">
        <f>IF(COUNTIF($O$1:O1053,O1053)=1,L1053,0)</f>
        <v>328</v>
      </c>
    </row>
    <row r="1054" customHeight="1" spans="1:27">
      <c r="A1054" s="21" t="s">
        <v>2001</v>
      </c>
      <c r="B1054" s="21" t="s">
        <v>45</v>
      </c>
      <c r="C1054" s="21" t="s">
        <v>46</v>
      </c>
      <c r="D1054" s="21" t="s">
        <v>47</v>
      </c>
      <c r="E1054" s="21" t="s">
        <v>48</v>
      </c>
      <c r="F1054" s="21" t="s">
        <v>49</v>
      </c>
      <c r="G1054" s="21" t="s">
        <v>50</v>
      </c>
      <c r="H1054" s="21" t="s">
        <v>63</v>
      </c>
      <c r="I1054" s="26">
        <v>1</v>
      </c>
      <c r="J1054" s="26">
        <v>25</v>
      </c>
      <c r="K1054" s="21" t="s">
        <v>52</v>
      </c>
      <c r="L1054" s="27">
        <v>815</v>
      </c>
      <c r="M1054" s="21"/>
      <c r="N1054" s="21"/>
      <c r="O1054" s="21" t="s">
        <v>2002</v>
      </c>
      <c r="P1054" s="21" t="s">
        <v>54</v>
      </c>
      <c r="Q1054" s="28">
        <v>46114</v>
      </c>
      <c r="R1054" s="29">
        <v>46114.4337962963</v>
      </c>
      <c r="S1054" s="21" t="s">
        <v>55</v>
      </c>
      <c r="T1054" s="21"/>
      <c r="U1054" s="21" t="s">
        <v>47</v>
      </c>
      <c r="V1054" s="29">
        <v>46114.4337384259</v>
      </c>
      <c r="W1054">
        <f>VLOOKUP(H1054,物料編碼!A:B,2,0)</f>
        <v>1300109002</v>
      </c>
      <c r="X1054">
        <v>1300109</v>
      </c>
      <c r="Y1054" t="str">
        <f>VLOOKUP(X1054,物料編碼!D:G,4,0)</f>
        <v>面精肉</v>
      </c>
      <c r="Z1054" t="str">
        <f>VLOOKUP(C1054,客戶屬性1!A:C,2,0)</f>
        <v>明记冻肉</v>
      </c>
      <c r="AA1054">
        <f>IF(COUNTIF($O$1:O1054,O1054)=1,L1054,0)</f>
        <v>815</v>
      </c>
    </row>
    <row r="1055" customHeight="1" spans="1:27">
      <c r="A1055" s="21" t="s">
        <v>2003</v>
      </c>
      <c r="B1055" s="21" t="s">
        <v>45</v>
      </c>
      <c r="C1055" s="21" t="s">
        <v>97</v>
      </c>
      <c r="D1055" s="21" t="s">
        <v>98</v>
      </c>
      <c r="E1055" s="21" t="s">
        <v>99</v>
      </c>
      <c r="F1055" s="21" t="s">
        <v>49</v>
      </c>
      <c r="G1055" s="21" t="s">
        <v>100</v>
      </c>
      <c r="H1055" s="21" t="s">
        <v>298</v>
      </c>
      <c r="I1055" s="26">
        <v>10</v>
      </c>
      <c r="J1055" s="26">
        <v>100</v>
      </c>
      <c r="K1055" s="21" t="s">
        <v>52</v>
      </c>
      <c r="L1055" s="27">
        <v>4850</v>
      </c>
      <c r="M1055" s="21"/>
      <c r="N1055" s="21"/>
      <c r="O1055" s="21" t="s">
        <v>2004</v>
      </c>
      <c r="P1055" s="21" t="s">
        <v>54</v>
      </c>
      <c r="Q1055" s="28">
        <v>46114</v>
      </c>
      <c r="R1055" s="29">
        <v>46114.4257407407</v>
      </c>
      <c r="S1055" s="21" t="s">
        <v>1000</v>
      </c>
      <c r="T1055" s="21"/>
      <c r="U1055" s="21" t="s">
        <v>1001</v>
      </c>
      <c r="V1055" s="29">
        <v>46114.4256944444</v>
      </c>
      <c r="W1055">
        <f>VLOOKUP(H1055,物料編碼!A:B,2,0)</f>
        <v>1300111003</v>
      </c>
      <c r="X1055">
        <v>1300111</v>
      </c>
      <c r="Y1055" t="str">
        <f>VLOOKUP(X1055,物料編碼!D:G,4,0)</f>
        <v>寸骨</v>
      </c>
      <c r="Z1055" t="str">
        <f>VLOOKUP(C1055,客戶屬性1!A:C,2,0)</f>
        <v>三明有限公司</v>
      </c>
      <c r="AA1055">
        <f>IF(COUNTIF($O$1:O1055,O1055)=1,L1055,0)</f>
        <v>4850</v>
      </c>
    </row>
    <row r="1056" customHeight="1" spans="1:27">
      <c r="A1056" s="21" t="s">
        <v>2005</v>
      </c>
      <c r="B1056" s="21" t="s">
        <v>45</v>
      </c>
      <c r="C1056" s="21" t="s">
        <v>858</v>
      </c>
      <c r="D1056" s="21" t="s">
        <v>859</v>
      </c>
      <c r="E1056" s="21" t="s">
        <v>860</v>
      </c>
      <c r="F1056" s="21" t="s">
        <v>49</v>
      </c>
      <c r="G1056" s="21" t="s">
        <v>136</v>
      </c>
      <c r="H1056" s="21" t="s">
        <v>1019</v>
      </c>
      <c r="I1056" s="26">
        <v>1</v>
      </c>
      <c r="J1056" s="26">
        <v>10</v>
      </c>
      <c r="K1056" s="21" t="s">
        <v>52</v>
      </c>
      <c r="L1056" s="27">
        <v>328</v>
      </c>
      <c r="M1056" s="21"/>
      <c r="N1056" s="21"/>
      <c r="O1056" s="21" t="s">
        <v>2006</v>
      </c>
      <c r="P1056" s="21" t="s">
        <v>54</v>
      </c>
      <c r="Q1056" s="28">
        <v>46114</v>
      </c>
      <c r="R1056" s="29">
        <v>46114.4246643518</v>
      </c>
      <c r="S1056" s="21" t="s">
        <v>863</v>
      </c>
      <c r="T1056" s="21"/>
      <c r="U1056" s="21" t="s">
        <v>859</v>
      </c>
      <c r="V1056" s="29">
        <v>46114.4246064815</v>
      </c>
      <c r="W1056">
        <f>VLOOKUP(H1056,物料編碼!A:B,2,0)</f>
        <v>1800108095</v>
      </c>
      <c r="X1056">
        <v>1800108</v>
      </c>
      <c r="Y1056" t="str">
        <f>VLOOKUP(X1056,物料編碼!D:G,4,0)</f>
        <v>魚.其他</v>
      </c>
      <c r="Z1056" t="str">
        <f>VLOOKUP(C1056,客戶屬性1!A:C,2,0)</f>
        <v>福伟集团有限公司</v>
      </c>
      <c r="AA1056">
        <f>IF(COUNTIF($O$1:O1056,O1056)=1,L1056,0)</f>
        <v>328</v>
      </c>
    </row>
    <row r="1057" customHeight="1" spans="1:27">
      <c r="A1057" s="21" t="s">
        <v>2007</v>
      </c>
      <c r="B1057" s="21" t="s">
        <v>45</v>
      </c>
      <c r="C1057" s="21" t="s">
        <v>858</v>
      </c>
      <c r="D1057" s="21" t="s">
        <v>859</v>
      </c>
      <c r="E1057" s="21" t="s">
        <v>860</v>
      </c>
      <c r="F1057" s="21" t="s">
        <v>49</v>
      </c>
      <c r="G1057" s="21" t="s">
        <v>136</v>
      </c>
      <c r="H1057" s="21" t="s">
        <v>1019</v>
      </c>
      <c r="I1057" s="31">
        <v>0.1</v>
      </c>
      <c r="J1057" s="26">
        <v>1</v>
      </c>
      <c r="K1057" s="21" t="s">
        <v>52</v>
      </c>
      <c r="L1057" s="27">
        <v>32.8</v>
      </c>
      <c r="M1057" s="21"/>
      <c r="N1057" s="21"/>
      <c r="O1057" s="21" t="s">
        <v>2008</v>
      </c>
      <c r="P1057" s="21" t="s">
        <v>183</v>
      </c>
      <c r="Q1057" s="28">
        <v>46114</v>
      </c>
      <c r="R1057" s="29">
        <v>46114.4126967593</v>
      </c>
      <c r="S1057" s="21" t="s">
        <v>863</v>
      </c>
      <c r="T1057" s="21"/>
      <c r="U1057" s="21" t="s">
        <v>859</v>
      </c>
      <c r="V1057" s="29">
        <v>46114.412662037</v>
      </c>
      <c r="W1057">
        <f>VLOOKUP(H1057,物料編碼!A:B,2,0)</f>
        <v>1800108095</v>
      </c>
      <c r="X1057">
        <v>1800108</v>
      </c>
      <c r="Y1057" t="str">
        <f>VLOOKUP(X1057,物料編碼!D:G,4,0)</f>
        <v>魚.其他</v>
      </c>
      <c r="Z1057" t="str">
        <f>VLOOKUP(C1057,客戶屬性1!A:C,2,0)</f>
        <v>福伟集团有限公司</v>
      </c>
      <c r="AA1057">
        <f>IF(COUNTIF($O$1:O1057,O1057)=1,L1057,0)</f>
        <v>32.8</v>
      </c>
    </row>
    <row r="1058" customHeight="1" spans="1:27">
      <c r="A1058" s="21" t="s">
        <v>2009</v>
      </c>
      <c r="B1058" s="21" t="s">
        <v>45</v>
      </c>
      <c r="C1058" s="21" t="s">
        <v>858</v>
      </c>
      <c r="D1058" s="21" t="s">
        <v>859</v>
      </c>
      <c r="E1058" s="21" t="s">
        <v>860</v>
      </c>
      <c r="F1058" s="21" t="s">
        <v>49</v>
      </c>
      <c r="G1058" s="21" t="s">
        <v>136</v>
      </c>
      <c r="H1058" s="21" t="s">
        <v>1019</v>
      </c>
      <c r="I1058" s="31">
        <v>0.1</v>
      </c>
      <c r="J1058" s="26">
        <v>1</v>
      </c>
      <c r="K1058" s="21" t="s">
        <v>52</v>
      </c>
      <c r="L1058" s="27">
        <v>32.8</v>
      </c>
      <c r="M1058" s="21"/>
      <c r="N1058" s="21"/>
      <c r="O1058" s="21" t="s">
        <v>2010</v>
      </c>
      <c r="P1058" s="21" t="s">
        <v>183</v>
      </c>
      <c r="Q1058" s="28">
        <v>46114</v>
      </c>
      <c r="R1058" s="29">
        <v>46114.4123263889</v>
      </c>
      <c r="S1058" s="21" t="s">
        <v>863</v>
      </c>
      <c r="T1058" s="21"/>
      <c r="U1058" s="21" t="s">
        <v>859</v>
      </c>
      <c r="V1058" s="29">
        <v>46114.4122800926</v>
      </c>
      <c r="W1058">
        <f>VLOOKUP(H1058,物料編碼!A:B,2,0)</f>
        <v>1800108095</v>
      </c>
      <c r="X1058">
        <v>1800108</v>
      </c>
      <c r="Y1058" t="str">
        <f>VLOOKUP(X1058,物料編碼!D:G,4,0)</f>
        <v>魚.其他</v>
      </c>
      <c r="Z1058" t="str">
        <f>VLOOKUP(C1058,客戶屬性1!A:C,2,0)</f>
        <v>福伟集团有限公司</v>
      </c>
      <c r="AA1058">
        <f>IF(COUNTIF($O$1:O1058,O1058)=1,L1058,0)</f>
        <v>32.8</v>
      </c>
    </row>
    <row r="1059" customHeight="1" spans="1:27">
      <c r="A1059" s="21" t="s">
        <v>2011</v>
      </c>
      <c r="B1059" s="21" t="s">
        <v>45</v>
      </c>
      <c r="C1059" s="21" t="s">
        <v>538</v>
      </c>
      <c r="D1059" s="21" t="s">
        <v>539</v>
      </c>
      <c r="E1059" s="21" t="s">
        <v>540</v>
      </c>
      <c r="F1059" s="21" t="s">
        <v>49</v>
      </c>
      <c r="G1059" s="21" t="s">
        <v>541</v>
      </c>
      <c r="H1059" s="21" t="s">
        <v>63</v>
      </c>
      <c r="I1059" s="26">
        <v>1</v>
      </c>
      <c r="J1059" s="26">
        <v>25</v>
      </c>
      <c r="K1059" s="21" t="s">
        <v>52</v>
      </c>
      <c r="L1059" s="27">
        <v>815</v>
      </c>
      <c r="M1059" s="21"/>
      <c r="N1059" s="21"/>
      <c r="O1059" s="21" t="s">
        <v>2012</v>
      </c>
      <c r="P1059" s="21" t="s">
        <v>54</v>
      </c>
      <c r="Q1059" s="28">
        <v>46116</v>
      </c>
      <c r="R1059" s="29">
        <v>46114.400625</v>
      </c>
      <c r="S1059" s="21" t="s">
        <v>543</v>
      </c>
      <c r="T1059" s="21"/>
      <c r="U1059" s="21" t="s">
        <v>539</v>
      </c>
      <c r="V1059" s="29">
        <v>46114.4005787037</v>
      </c>
      <c r="W1059">
        <f>VLOOKUP(H1059,物料編碼!A:B,2,0)</f>
        <v>1300109002</v>
      </c>
      <c r="X1059">
        <v>1300109</v>
      </c>
      <c r="Y1059" t="str">
        <f>VLOOKUP(X1059,物料編碼!D:G,4,0)</f>
        <v>面精肉</v>
      </c>
      <c r="Z1059" t="str">
        <f>VLOOKUP(C1059,客戶屬性1!A:C,2,0)</f>
        <v>诚信冻肉有限公司</v>
      </c>
      <c r="AA1059">
        <f>IF(COUNTIF($O$1:O1059,O1059)=1,L1059,0)</f>
        <v>815</v>
      </c>
    </row>
    <row r="1060" customHeight="1" spans="1:27">
      <c r="A1060" s="21" t="s">
        <v>2013</v>
      </c>
      <c r="B1060" s="21" t="s">
        <v>45</v>
      </c>
      <c r="C1060" s="21" t="s">
        <v>538</v>
      </c>
      <c r="D1060" s="21" t="s">
        <v>539</v>
      </c>
      <c r="E1060" s="21" t="s">
        <v>540</v>
      </c>
      <c r="F1060" s="21" t="s">
        <v>49</v>
      </c>
      <c r="G1060" s="21" t="s">
        <v>541</v>
      </c>
      <c r="H1060" s="21" t="s">
        <v>63</v>
      </c>
      <c r="I1060" s="26">
        <v>4</v>
      </c>
      <c r="J1060" s="26">
        <v>100</v>
      </c>
      <c r="K1060" s="21" t="s">
        <v>52</v>
      </c>
      <c r="L1060" s="27">
        <v>3260</v>
      </c>
      <c r="M1060" s="21"/>
      <c r="N1060" s="21"/>
      <c r="O1060" s="21" t="s">
        <v>2014</v>
      </c>
      <c r="P1060" s="21" t="s">
        <v>54</v>
      </c>
      <c r="Q1060" s="28">
        <v>46115</v>
      </c>
      <c r="R1060" s="29">
        <v>46114.3980324074</v>
      </c>
      <c r="S1060" s="21" t="s">
        <v>543</v>
      </c>
      <c r="T1060" s="21"/>
      <c r="U1060" s="21" t="s">
        <v>539</v>
      </c>
      <c r="V1060" s="29">
        <v>46114.397974537</v>
      </c>
      <c r="W1060">
        <f>VLOOKUP(H1060,物料編碼!A:B,2,0)</f>
        <v>1300109002</v>
      </c>
      <c r="X1060">
        <v>1300109</v>
      </c>
      <c r="Y1060" t="str">
        <f>VLOOKUP(X1060,物料編碼!D:G,4,0)</f>
        <v>面精肉</v>
      </c>
      <c r="Z1060" t="str">
        <f>VLOOKUP(C1060,客戶屬性1!A:C,2,0)</f>
        <v>诚信冻肉有限公司</v>
      </c>
      <c r="AA1060">
        <f>IF(COUNTIF($O$1:O1060,O1060)=1,L1060,0)</f>
        <v>3260</v>
      </c>
    </row>
    <row r="1061" customHeight="1" spans="1:27">
      <c r="A1061" s="21" t="s">
        <v>2015</v>
      </c>
      <c r="B1061" s="21" t="s">
        <v>45</v>
      </c>
      <c r="C1061" s="21" t="s">
        <v>158</v>
      </c>
      <c r="D1061" s="21" t="s">
        <v>159</v>
      </c>
      <c r="E1061" s="21" t="s">
        <v>160</v>
      </c>
      <c r="F1061" s="21" t="s">
        <v>49</v>
      </c>
      <c r="G1061" s="21" t="s">
        <v>68</v>
      </c>
      <c r="H1061" s="21" t="s">
        <v>75</v>
      </c>
      <c r="I1061" s="26">
        <v>5</v>
      </c>
      <c r="J1061" s="26">
        <v>75</v>
      </c>
      <c r="K1061" s="21" t="s">
        <v>52</v>
      </c>
      <c r="L1061" s="27">
        <v>959.25</v>
      </c>
      <c r="M1061" s="21"/>
      <c r="N1061" s="21"/>
      <c r="O1061" s="21" t="s">
        <v>2016</v>
      </c>
      <c r="P1061" s="21" t="s">
        <v>54</v>
      </c>
      <c r="Q1061" s="28">
        <v>46115</v>
      </c>
      <c r="R1061" s="29">
        <v>46114.3854050926</v>
      </c>
      <c r="S1061" s="21" t="s">
        <v>163</v>
      </c>
      <c r="T1061" s="21"/>
      <c r="U1061" s="21" t="s">
        <v>164</v>
      </c>
      <c r="V1061" s="29">
        <v>46114.3853356481</v>
      </c>
      <c r="W1061">
        <f>VLOOKUP(H1061,物料編碼!A:B,2,0)</f>
        <v>1300603040</v>
      </c>
      <c r="X1061">
        <v>1300603</v>
      </c>
      <c r="Y1061" t="str">
        <f>VLOOKUP(X1061,物料編碼!D:G,4,0)</f>
        <v>帶骨全腿</v>
      </c>
      <c r="Z1061" t="str">
        <f>VLOOKUP(C1061,客戶屬性1!A:C,2,0)</f>
        <v>先进食品国际有限公司</v>
      </c>
      <c r="AA1061">
        <f>IF(COUNTIF($O$1:O1061,O1061)=1,L1061,0)</f>
        <v>959.25</v>
      </c>
    </row>
    <row r="1062" customHeight="1" spans="1:27">
      <c r="A1062" s="21" t="s">
        <v>2017</v>
      </c>
      <c r="B1062" s="21" t="s">
        <v>45</v>
      </c>
      <c r="C1062" s="21" t="s">
        <v>72</v>
      </c>
      <c r="D1062" s="21" t="s">
        <v>73</v>
      </c>
      <c r="E1062" s="21" t="s">
        <v>74</v>
      </c>
      <c r="F1062" s="21" t="s">
        <v>49</v>
      </c>
      <c r="G1062" s="21" t="s">
        <v>50</v>
      </c>
      <c r="H1062" s="21" t="s">
        <v>248</v>
      </c>
      <c r="I1062" s="26">
        <v>1</v>
      </c>
      <c r="J1062" s="26">
        <v>25</v>
      </c>
      <c r="K1062" s="21" t="s">
        <v>52</v>
      </c>
      <c r="L1062" s="27">
        <v>650</v>
      </c>
      <c r="M1062" s="21"/>
      <c r="N1062" s="21"/>
      <c r="O1062" s="21" t="s">
        <v>2018</v>
      </c>
      <c r="P1062" s="21" t="s">
        <v>54</v>
      </c>
      <c r="Q1062" s="28">
        <v>46114</v>
      </c>
      <c r="R1062" s="29">
        <v>46113.7105902778</v>
      </c>
      <c r="S1062" s="21" t="s">
        <v>77</v>
      </c>
      <c r="T1062" s="21"/>
      <c r="U1062" s="21" t="s">
        <v>74</v>
      </c>
      <c r="V1062" s="29">
        <v>46113.7105439815</v>
      </c>
      <c r="W1062">
        <f>VLOOKUP(H1062,物料編碼!A:B,2,0)</f>
        <v>1300101007</v>
      </c>
      <c r="X1062">
        <v>1300101</v>
      </c>
      <c r="Y1062" t="str">
        <f>VLOOKUP(X1062,物料編碼!D:G,4,0)</f>
        <v>一號肉</v>
      </c>
      <c r="Z1062" t="str">
        <f>VLOOKUP(C1062,客戶屬性1!A:C,2,0)</f>
        <v>恒辉贸易公司</v>
      </c>
      <c r="AA1062">
        <f>IF(COUNTIF($O$1:O1062,O1062)=1,L1062,0)</f>
        <v>650</v>
      </c>
    </row>
    <row r="1063" customHeight="1" spans="1:27">
      <c r="A1063" s="21" t="s">
        <v>2019</v>
      </c>
      <c r="B1063" s="21" t="s">
        <v>45</v>
      </c>
      <c r="C1063" s="21" t="s">
        <v>1072</v>
      </c>
      <c r="D1063" s="21" t="s">
        <v>1073</v>
      </c>
      <c r="E1063" s="21" t="s">
        <v>1074</v>
      </c>
      <c r="F1063" s="21" t="s">
        <v>49</v>
      </c>
      <c r="G1063" s="21" t="s">
        <v>238</v>
      </c>
      <c r="H1063" s="21" t="s">
        <v>190</v>
      </c>
      <c r="I1063" s="26">
        <v>20</v>
      </c>
      <c r="J1063" s="26">
        <v>240</v>
      </c>
      <c r="K1063" s="21" t="s">
        <v>52</v>
      </c>
      <c r="L1063" s="27">
        <v>3768</v>
      </c>
      <c r="M1063" s="21"/>
      <c r="N1063" s="21"/>
      <c r="O1063" s="21" t="s">
        <v>2020</v>
      </c>
      <c r="P1063" s="21" t="s">
        <v>54</v>
      </c>
      <c r="Q1063" s="28">
        <v>46114</v>
      </c>
      <c r="R1063" s="29">
        <v>46113.6237037037</v>
      </c>
      <c r="S1063" s="21" t="s">
        <v>1076</v>
      </c>
      <c r="T1063" s="21"/>
      <c r="U1063" s="21" t="s">
        <v>1077</v>
      </c>
      <c r="V1063" s="29">
        <v>46113.6236574074</v>
      </c>
      <c r="W1063">
        <f>VLOOKUP(H1063,物料編碼!A:B,2,0)</f>
        <v>1300609001</v>
      </c>
      <c r="X1063">
        <v>1300609</v>
      </c>
      <c r="Y1063" t="str">
        <f>VLOOKUP(X1063,物料編碼!D:G,4,0)</f>
        <v>去皮上腿肉</v>
      </c>
      <c r="Z1063" t="str">
        <f>VLOOKUP(C1063,客戶屬性1!A:C,2,0)</f>
        <v>昭楠贸易有限公司</v>
      </c>
      <c r="AA1063">
        <f>IF(COUNTIF($O$1:O1063,O1063)=1,L1063,0)</f>
        <v>3768</v>
      </c>
    </row>
    <row r="1064" customHeight="1" spans="1:27">
      <c r="A1064" s="21" t="s">
        <v>2021</v>
      </c>
      <c r="B1064" s="21" t="s">
        <v>45</v>
      </c>
      <c r="C1064" s="21" t="s">
        <v>97</v>
      </c>
      <c r="D1064" s="21" t="s">
        <v>98</v>
      </c>
      <c r="E1064" s="21" t="s">
        <v>99</v>
      </c>
      <c r="F1064" s="21" t="s">
        <v>49</v>
      </c>
      <c r="G1064" s="21" t="s">
        <v>100</v>
      </c>
      <c r="H1064" s="21" t="s">
        <v>63</v>
      </c>
      <c r="I1064" s="26">
        <v>1</v>
      </c>
      <c r="J1064" s="26">
        <v>25</v>
      </c>
      <c r="K1064" s="21" t="s">
        <v>52</v>
      </c>
      <c r="L1064" s="27">
        <v>815</v>
      </c>
      <c r="M1064" s="21"/>
      <c r="N1064" s="21"/>
      <c r="O1064" s="21" t="s">
        <v>2022</v>
      </c>
      <c r="P1064" s="21" t="s">
        <v>54</v>
      </c>
      <c r="Q1064" s="28">
        <v>46114</v>
      </c>
      <c r="R1064" s="29">
        <v>46113.5473726852</v>
      </c>
      <c r="S1064" s="21" t="s">
        <v>1000</v>
      </c>
      <c r="T1064" s="21"/>
      <c r="U1064" s="21" t="s">
        <v>1001</v>
      </c>
      <c r="V1064" s="29">
        <v>46113.5473148148</v>
      </c>
      <c r="W1064">
        <f>VLOOKUP(H1064,物料編碼!A:B,2,0)</f>
        <v>1300109002</v>
      </c>
      <c r="X1064">
        <v>1300109</v>
      </c>
      <c r="Y1064" t="str">
        <f>VLOOKUP(X1064,物料編碼!D:G,4,0)</f>
        <v>面精肉</v>
      </c>
      <c r="Z1064" t="str">
        <f>VLOOKUP(C1064,客戶屬性1!A:C,2,0)</f>
        <v>三明有限公司</v>
      </c>
      <c r="AA1064">
        <f>IF(COUNTIF($O$1:O1064,O1064)=1,L1064,0)</f>
        <v>815</v>
      </c>
    </row>
    <row r="1065" customHeight="1" spans="1:27">
      <c r="A1065" s="21" t="s">
        <v>2023</v>
      </c>
      <c r="B1065" s="21" t="s">
        <v>45</v>
      </c>
      <c r="C1065" s="21" t="s">
        <v>235</v>
      </c>
      <c r="D1065" s="21" t="s">
        <v>236</v>
      </c>
      <c r="E1065" s="21" t="s">
        <v>237</v>
      </c>
      <c r="F1065" s="21" t="s">
        <v>49</v>
      </c>
      <c r="G1065" s="21" t="s">
        <v>238</v>
      </c>
      <c r="H1065" s="21" t="s">
        <v>190</v>
      </c>
      <c r="I1065" s="26">
        <v>10</v>
      </c>
      <c r="J1065" s="26">
        <v>120</v>
      </c>
      <c r="K1065" s="21" t="s">
        <v>52</v>
      </c>
      <c r="L1065" s="27">
        <v>1884</v>
      </c>
      <c r="M1065" s="21"/>
      <c r="N1065" s="21"/>
      <c r="O1065" s="21" t="s">
        <v>2024</v>
      </c>
      <c r="P1065" s="21" t="s">
        <v>54</v>
      </c>
      <c r="Q1065" s="28">
        <v>46114</v>
      </c>
      <c r="R1065" s="29">
        <v>46113.5121527778</v>
      </c>
      <c r="S1065" s="21" t="s">
        <v>241</v>
      </c>
      <c r="T1065" s="21"/>
      <c r="U1065" s="21" t="s">
        <v>237</v>
      </c>
      <c r="V1065" s="29">
        <v>46113.5121064815</v>
      </c>
      <c r="W1065">
        <f>VLOOKUP(H1065,物料編碼!A:B,2,0)</f>
        <v>1300609001</v>
      </c>
      <c r="X1065">
        <v>1300609</v>
      </c>
      <c r="Y1065" t="str">
        <f>VLOOKUP(X1065,物料編碼!D:G,4,0)</f>
        <v>去皮上腿肉</v>
      </c>
      <c r="Z1065" t="str">
        <f>VLOOKUP(C1065,客戶屬性1!A:C,2,0)</f>
        <v>联合林记食品有限公司</v>
      </c>
      <c r="AA1065">
        <f>IF(COUNTIF($O$1:O1065,O1065)=1,L1065,0)</f>
        <v>1884</v>
      </c>
    </row>
    <row r="1066" customHeight="1" spans="1:27">
      <c r="A1066" s="21" t="s">
        <v>2025</v>
      </c>
      <c r="B1066" s="21" t="s">
        <v>45</v>
      </c>
      <c r="C1066" s="21" t="s">
        <v>97</v>
      </c>
      <c r="D1066" s="21" t="s">
        <v>98</v>
      </c>
      <c r="E1066" s="21" t="s">
        <v>99</v>
      </c>
      <c r="F1066" s="21" t="s">
        <v>49</v>
      </c>
      <c r="G1066" s="21" t="s">
        <v>100</v>
      </c>
      <c r="H1066" s="21" t="s">
        <v>298</v>
      </c>
      <c r="I1066" s="26">
        <v>1</v>
      </c>
      <c r="J1066" s="26">
        <v>10</v>
      </c>
      <c r="K1066" s="21" t="s">
        <v>52</v>
      </c>
      <c r="L1066" s="27">
        <v>485</v>
      </c>
      <c r="M1066" s="21"/>
      <c r="N1066" s="21"/>
      <c r="O1066" s="21" t="s">
        <v>2026</v>
      </c>
      <c r="P1066" s="21" t="s">
        <v>54</v>
      </c>
      <c r="Q1066" s="28">
        <v>46113</v>
      </c>
      <c r="R1066" s="29">
        <v>46113.5028703704</v>
      </c>
      <c r="S1066" s="21" t="s">
        <v>1000</v>
      </c>
      <c r="T1066" s="21"/>
      <c r="U1066" s="21" t="s">
        <v>1001</v>
      </c>
      <c r="V1066" s="29">
        <v>46113.5028356481</v>
      </c>
      <c r="W1066">
        <f>VLOOKUP(H1066,物料編碼!A:B,2,0)</f>
        <v>1300111003</v>
      </c>
      <c r="X1066">
        <v>1300111</v>
      </c>
      <c r="Y1066" t="str">
        <f>VLOOKUP(X1066,物料編碼!D:G,4,0)</f>
        <v>寸骨</v>
      </c>
      <c r="Z1066" t="str">
        <f>VLOOKUP(C1066,客戶屬性1!A:C,2,0)</f>
        <v>三明有限公司</v>
      </c>
      <c r="AA1066">
        <f>IF(COUNTIF($O$1:O1066,O1066)=1,L1066,0)</f>
        <v>485</v>
      </c>
    </row>
    <row r="1067" customHeight="1" spans="1:27">
      <c r="A1067" s="21" t="s">
        <v>2027</v>
      </c>
      <c r="B1067" s="21" t="s">
        <v>45</v>
      </c>
      <c r="C1067" s="21" t="s">
        <v>141</v>
      </c>
      <c r="D1067" s="21" t="s">
        <v>142</v>
      </c>
      <c r="E1067" s="21" t="s">
        <v>142</v>
      </c>
      <c r="F1067" s="21" t="s">
        <v>143</v>
      </c>
      <c r="G1067" s="21" t="s">
        <v>100</v>
      </c>
      <c r="H1067" s="21" t="s">
        <v>117</v>
      </c>
      <c r="I1067" s="26">
        <v>3</v>
      </c>
      <c r="J1067" s="26">
        <v>45</v>
      </c>
      <c r="K1067" s="21" t="s">
        <v>52</v>
      </c>
      <c r="L1067" s="27">
        <v>665.1</v>
      </c>
      <c r="M1067" s="21"/>
      <c r="N1067" s="21"/>
      <c r="O1067" s="21" t="s">
        <v>2028</v>
      </c>
      <c r="P1067" s="21" t="s">
        <v>54</v>
      </c>
      <c r="Q1067" s="28">
        <v>46114</v>
      </c>
      <c r="R1067" s="29">
        <v>46113.4937847222</v>
      </c>
      <c r="S1067" s="21" t="s">
        <v>145</v>
      </c>
      <c r="T1067" s="21"/>
      <c r="U1067" s="21" t="s">
        <v>142</v>
      </c>
      <c r="V1067" s="29">
        <v>46113.4937384259</v>
      </c>
      <c r="W1067">
        <f>VLOOKUP(H1067,物料編碼!A:B,2,0)</f>
        <v>1300607015</v>
      </c>
      <c r="X1067">
        <v>1300607</v>
      </c>
      <c r="Y1067" t="str">
        <f>VLOOKUP(X1067,物料編碼!D:G,4,0)</f>
        <v>帶皮腿扒</v>
      </c>
      <c r="Z1067" t="str">
        <f>VLOOKUP(C1067,客戶屬性1!A:C,2,0)</f>
        <v>新昌冻肉</v>
      </c>
      <c r="AA1067">
        <f>IF(COUNTIF($O$1:O1067,O1067)=1,L1067,0)</f>
        <v>665.1</v>
      </c>
    </row>
    <row r="1068" customHeight="1" spans="1:27">
      <c r="A1068" s="21" t="s">
        <v>2029</v>
      </c>
      <c r="B1068" s="21" t="s">
        <v>45</v>
      </c>
      <c r="C1068" s="21" t="s">
        <v>141</v>
      </c>
      <c r="D1068" s="21" t="s">
        <v>142</v>
      </c>
      <c r="E1068" s="21" t="s">
        <v>142</v>
      </c>
      <c r="F1068" s="21" t="s">
        <v>143</v>
      </c>
      <c r="G1068" s="21" t="s">
        <v>100</v>
      </c>
      <c r="H1068" s="21" t="s">
        <v>60</v>
      </c>
      <c r="I1068" s="26">
        <v>1</v>
      </c>
      <c r="J1068" s="26">
        <v>25</v>
      </c>
      <c r="K1068" s="21" t="s">
        <v>52</v>
      </c>
      <c r="L1068" s="27">
        <v>1405</v>
      </c>
      <c r="M1068" s="21"/>
      <c r="N1068" s="21"/>
      <c r="O1068" s="21" t="s">
        <v>2030</v>
      </c>
      <c r="P1068" s="21" t="s">
        <v>54</v>
      </c>
      <c r="Q1068" s="28">
        <v>46114</v>
      </c>
      <c r="R1068" s="29">
        <v>46113.4740393519</v>
      </c>
      <c r="S1068" s="21" t="s">
        <v>145</v>
      </c>
      <c r="T1068" s="21"/>
      <c r="U1068" s="21" t="s">
        <v>142</v>
      </c>
      <c r="V1068" s="29">
        <v>46113.4739930556</v>
      </c>
      <c r="W1068">
        <f>VLOOKUP(H1068,物料編碼!A:B,2,0)</f>
        <v>1300101043</v>
      </c>
      <c r="X1068">
        <v>1300101</v>
      </c>
      <c r="Y1068" t="str">
        <f>VLOOKUP(X1068,物料編碼!D:G,4,0)</f>
        <v>一號肉</v>
      </c>
      <c r="Z1068" t="str">
        <f>VLOOKUP(C1068,客戶屬性1!A:C,2,0)</f>
        <v>新昌冻肉</v>
      </c>
      <c r="AA1068">
        <f>IF(COUNTIF($O$1:O1068,O1068)=1,L1068,0)</f>
        <v>1405</v>
      </c>
    </row>
    <row r="1069" customHeight="1" spans="1:27">
      <c r="A1069" s="21" t="s">
        <v>2029</v>
      </c>
      <c r="B1069" s="21" t="s">
        <v>45</v>
      </c>
      <c r="C1069" s="21" t="s">
        <v>141</v>
      </c>
      <c r="D1069" s="21" t="s">
        <v>142</v>
      </c>
      <c r="E1069" s="21" t="s">
        <v>142</v>
      </c>
      <c r="F1069" s="21" t="s">
        <v>143</v>
      </c>
      <c r="G1069" s="21" t="s">
        <v>100</v>
      </c>
      <c r="H1069" s="21" t="s">
        <v>298</v>
      </c>
      <c r="I1069" s="26">
        <v>1</v>
      </c>
      <c r="J1069" s="26">
        <v>10</v>
      </c>
      <c r="K1069" s="21" t="s">
        <v>52</v>
      </c>
      <c r="L1069" s="27">
        <v>1405</v>
      </c>
      <c r="M1069" s="21"/>
      <c r="N1069" s="21"/>
      <c r="O1069" s="21" t="s">
        <v>2030</v>
      </c>
      <c r="P1069" s="21" t="s">
        <v>54</v>
      </c>
      <c r="Q1069" s="28">
        <v>46114</v>
      </c>
      <c r="R1069" s="29">
        <v>46113.4740393519</v>
      </c>
      <c r="S1069" s="21" t="s">
        <v>145</v>
      </c>
      <c r="T1069" s="21"/>
      <c r="U1069" s="21" t="s">
        <v>142</v>
      </c>
      <c r="V1069" s="29">
        <v>46113.4739930556</v>
      </c>
      <c r="W1069">
        <f>VLOOKUP(H1069,物料編碼!A:B,2,0)</f>
        <v>1300111003</v>
      </c>
      <c r="X1069">
        <v>1300111</v>
      </c>
      <c r="Y1069" t="str">
        <f>VLOOKUP(X1069,物料編碼!D:G,4,0)</f>
        <v>寸骨</v>
      </c>
      <c r="Z1069" t="str">
        <f>VLOOKUP(C1069,客戶屬性1!A:C,2,0)</f>
        <v>新昌冻肉</v>
      </c>
      <c r="AA1069">
        <f>IF(COUNTIF($O$1:O1069,O1069)=1,L1069,0)</f>
        <v>0</v>
      </c>
    </row>
    <row r="1070" customHeight="1" spans="1:27">
      <c r="A1070" s="21" t="s">
        <v>2031</v>
      </c>
      <c r="B1070" s="21" t="s">
        <v>45</v>
      </c>
      <c r="C1070" s="21" t="s">
        <v>216</v>
      </c>
      <c r="D1070" s="21" t="s">
        <v>217</v>
      </c>
      <c r="E1070" s="21" t="s">
        <v>218</v>
      </c>
      <c r="F1070" s="21" t="s">
        <v>49</v>
      </c>
      <c r="G1070" s="21" t="s">
        <v>68</v>
      </c>
      <c r="H1070" s="21" t="s">
        <v>161</v>
      </c>
      <c r="I1070" s="26">
        <v>1</v>
      </c>
      <c r="J1070" s="26">
        <v>20</v>
      </c>
      <c r="K1070" s="21" t="s">
        <v>52</v>
      </c>
      <c r="L1070" s="27">
        <v>1900</v>
      </c>
      <c r="M1070" s="21"/>
      <c r="N1070" s="21"/>
      <c r="O1070" s="21" t="s">
        <v>2032</v>
      </c>
      <c r="P1070" s="21" t="s">
        <v>54</v>
      </c>
      <c r="Q1070" s="28">
        <v>46114</v>
      </c>
      <c r="R1070" s="29">
        <v>46113.4541087963</v>
      </c>
      <c r="S1070" s="21" t="s">
        <v>221</v>
      </c>
      <c r="T1070" s="21"/>
      <c r="U1070" s="21" t="s">
        <v>222</v>
      </c>
      <c r="V1070" s="29">
        <v>46113.4540625</v>
      </c>
      <c r="W1070">
        <f>VLOOKUP(H1070,物料編碼!A:B,2,0)</f>
        <v>1300501020</v>
      </c>
      <c r="X1070">
        <v>1300501</v>
      </c>
      <c r="Y1070" t="str">
        <f>VLOOKUP(X1070,物料編碼!D:G,4,0)</f>
        <v>羊排</v>
      </c>
      <c r="Z1070" t="str">
        <f>VLOOKUP(C1070,客戶屬性1!A:C,2,0)</f>
        <v>天恒食品有限公司</v>
      </c>
      <c r="AA1070">
        <f>IF(COUNTIF($O$1:O1070,O1070)=1,L1070,0)</f>
        <v>1900</v>
      </c>
    </row>
    <row r="1071" customHeight="1" spans="1:27">
      <c r="A1071" s="21" t="s">
        <v>2033</v>
      </c>
      <c r="B1071" s="21" t="s">
        <v>45</v>
      </c>
      <c r="C1071" s="21" t="s">
        <v>538</v>
      </c>
      <c r="D1071" s="21" t="s">
        <v>539</v>
      </c>
      <c r="E1071" s="21" t="s">
        <v>540</v>
      </c>
      <c r="F1071" s="21" t="s">
        <v>49</v>
      </c>
      <c r="G1071" s="21" t="s">
        <v>541</v>
      </c>
      <c r="H1071" s="21" t="s">
        <v>75</v>
      </c>
      <c r="I1071" s="26">
        <v>4</v>
      </c>
      <c r="J1071" s="26">
        <v>60</v>
      </c>
      <c r="K1071" s="21" t="s">
        <v>52</v>
      </c>
      <c r="L1071" s="27">
        <v>767.4</v>
      </c>
      <c r="M1071" s="21"/>
      <c r="N1071" s="21"/>
      <c r="O1071" s="21" t="s">
        <v>2034</v>
      </c>
      <c r="P1071" s="21" t="s">
        <v>54</v>
      </c>
      <c r="Q1071" s="28">
        <v>46113</v>
      </c>
      <c r="R1071" s="29">
        <v>46113.4458912037</v>
      </c>
      <c r="S1071" s="21" t="s">
        <v>543</v>
      </c>
      <c r="T1071" s="21"/>
      <c r="U1071" s="21" t="s">
        <v>539</v>
      </c>
      <c r="V1071" s="29">
        <v>46113.4458217593</v>
      </c>
      <c r="W1071">
        <f>VLOOKUP(H1071,物料編碼!A:B,2,0)</f>
        <v>1300603040</v>
      </c>
      <c r="X1071">
        <v>1300603</v>
      </c>
      <c r="Y1071" t="str">
        <f>VLOOKUP(X1071,物料編碼!D:G,4,0)</f>
        <v>帶骨全腿</v>
      </c>
      <c r="Z1071" t="str">
        <f>VLOOKUP(C1071,客戶屬性1!A:C,2,0)</f>
        <v>诚信冻肉有限公司</v>
      </c>
      <c r="AA1071">
        <f>IF(COUNTIF($O$1:O1071,O1071)=1,L1071,0)</f>
        <v>767.4</v>
      </c>
    </row>
    <row r="1072" customHeight="1" spans="1:27">
      <c r="A1072" s="21" t="s">
        <v>2035</v>
      </c>
      <c r="B1072" s="21" t="s">
        <v>45</v>
      </c>
      <c r="C1072" s="21" t="s">
        <v>2036</v>
      </c>
      <c r="D1072" s="21" t="s">
        <v>2037</v>
      </c>
      <c r="E1072" s="21" t="s">
        <v>2038</v>
      </c>
      <c r="F1072" s="21" t="s">
        <v>49</v>
      </c>
      <c r="G1072" s="21" t="s">
        <v>89</v>
      </c>
      <c r="H1072" s="21" t="s">
        <v>63</v>
      </c>
      <c r="I1072" s="26">
        <v>1</v>
      </c>
      <c r="J1072" s="26">
        <v>25</v>
      </c>
      <c r="K1072" s="21" t="s">
        <v>52</v>
      </c>
      <c r="L1072" s="27">
        <v>815</v>
      </c>
      <c r="M1072" s="21"/>
      <c r="N1072" s="21"/>
      <c r="O1072" s="21" t="s">
        <v>2039</v>
      </c>
      <c r="P1072" s="21" t="s">
        <v>54</v>
      </c>
      <c r="Q1072" s="28">
        <v>46114</v>
      </c>
      <c r="R1072" s="29">
        <v>46113.4384837963</v>
      </c>
      <c r="S1072" s="21" t="s">
        <v>2040</v>
      </c>
      <c r="T1072" s="21"/>
      <c r="U1072" s="21" t="s">
        <v>2041</v>
      </c>
      <c r="V1072" s="29">
        <v>46113.4384375</v>
      </c>
      <c r="W1072">
        <f>VLOOKUP(H1072,物料編碼!A:B,2,0)</f>
        <v>1300109002</v>
      </c>
      <c r="X1072">
        <v>1300109</v>
      </c>
      <c r="Y1072" t="str">
        <f>VLOOKUP(X1072,物料編碼!D:G,4,0)</f>
        <v>面精肉</v>
      </c>
      <c r="Z1072" t="str">
        <f>VLOOKUP(C1072,客戶屬性1!A:C,2,0)</f>
        <v>施培记冻肉超级市场有限公司</v>
      </c>
      <c r="AA1072">
        <f>IF(COUNTIF($O$1:O1072,O1072)=1,L1072,0)</f>
        <v>815</v>
      </c>
    </row>
    <row r="1073" customHeight="1" spans="1:27">
      <c r="A1073" s="21" t="s">
        <v>2042</v>
      </c>
      <c r="B1073" s="21" t="s">
        <v>45</v>
      </c>
      <c r="C1073" s="21" t="s">
        <v>1583</v>
      </c>
      <c r="D1073" s="21" t="s">
        <v>1584</v>
      </c>
      <c r="E1073" s="21" t="s">
        <v>1585</v>
      </c>
      <c r="F1073" s="21" t="s">
        <v>49</v>
      </c>
      <c r="G1073" s="21" t="s">
        <v>68</v>
      </c>
      <c r="H1073" s="21" t="s">
        <v>60</v>
      </c>
      <c r="I1073" s="26">
        <v>10</v>
      </c>
      <c r="J1073" s="26">
        <v>250</v>
      </c>
      <c r="K1073" s="21" t="s">
        <v>52</v>
      </c>
      <c r="L1073" s="27">
        <v>9200</v>
      </c>
      <c r="M1073" s="21"/>
      <c r="N1073" s="21"/>
      <c r="O1073" s="21" t="s">
        <v>2043</v>
      </c>
      <c r="P1073" s="21" t="s">
        <v>54</v>
      </c>
      <c r="Q1073" s="28">
        <v>46113</v>
      </c>
      <c r="R1073" s="29">
        <v>46113.4234722222</v>
      </c>
      <c r="S1073" s="21" t="s">
        <v>1587</v>
      </c>
      <c r="T1073" s="21"/>
      <c r="U1073" s="21" t="s">
        <v>1588</v>
      </c>
      <c r="V1073" s="29">
        <v>46113.4234259259</v>
      </c>
      <c r="W1073">
        <f>VLOOKUP(H1073,物料編碼!A:B,2,0)</f>
        <v>1300101043</v>
      </c>
      <c r="X1073">
        <v>1300101</v>
      </c>
      <c r="Y1073" t="str">
        <f>VLOOKUP(X1073,物料編碼!D:G,4,0)</f>
        <v>一號肉</v>
      </c>
      <c r="Z1073" t="str">
        <f>VLOOKUP(C1073,客戶屬性1!A:C,2,0)</f>
        <v>新田食品贸易有限公司</v>
      </c>
      <c r="AA1073">
        <f>IF(COUNTIF($O$1:O1073,O1073)=1,L1073,0)</f>
        <v>9200</v>
      </c>
    </row>
    <row r="1074" customHeight="1" spans="1:27">
      <c r="A1074" s="21" t="s">
        <v>2044</v>
      </c>
      <c r="B1074" s="21" t="s">
        <v>45</v>
      </c>
      <c r="C1074" s="21" t="s">
        <v>158</v>
      </c>
      <c r="D1074" s="21" t="s">
        <v>159</v>
      </c>
      <c r="E1074" s="21" t="s">
        <v>160</v>
      </c>
      <c r="F1074" s="21" t="s">
        <v>49</v>
      </c>
      <c r="G1074" s="21" t="s">
        <v>68</v>
      </c>
      <c r="H1074" s="21" t="s">
        <v>75</v>
      </c>
      <c r="I1074" s="26">
        <v>6</v>
      </c>
      <c r="J1074" s="26">
        <v>90</v>
      </c>
      <c r="K1074" s="21" t="s">
        <v>52</v>
      </c>
      <c r="L1074" s="27">
        <v>1151.1</v>
      </c>
      <c r="M1074" s="21"/>
      <c r="N1074" s="21"/>
      <c r="O1074" s="21" t="s">
        <v>2045</v>
      </c>
      <c r="P1074" s="21" t="s">
        <v>54</v>
      </c>
      <c r="Q1074" s="28">
        <v>46114</v>
      </c>
      <c r="R1074" s="29">
        <v>46113.4166898148</v>
      </c>
      <c r="S1074" s="21" t="s">
        <v>163</v>
      </c>
      <c r="T1074" s="21"/>
      <c r="U1074" s="21" t="s">
        <v>164</v>
      </c>
      <c r="V1074" s="29">
        <v>46113.4166435185</v>
      </c>
      <c r="W1074">
        <f>VLOOKUP(H1074,物料編碼!A:B,2,0)</f>
        <v>1300603040</v>
      </c>
      <c r="X1074">
        <v>1300603</v>
      </c>
      <c r="Y1074" t="str">
        <f>VLOOKUP(X1074,物料編碼!D:G,4,0)</f>
        <v>帶骨全腿</v>
      </c>
      <c r="Z1074" t="str">
        <f>VLOOKUP(C1074,客戶屬性1!A:C,2,0)</f>
        <v>先进食品国际有限公司</v>
      </c>
      <c r="AA1074">
        <f>IF(COUNTIF($O$1:O1074,O1074)=1,L1074,0)</f>
        <v>1151.1</v>
      </c>
    </row>
    <row r="1075" customHeight="1" spans="1:27">
      <c r="A1075" s="21" t="s">
        <v>2046</v>
      </c>
      <c r="B1075" s="21" t="s">
        <v>45</v>
      </c>
      <c r="C1075" s="21" t="s">
        <v>126</v>
      </c>
      <c r="D1075" s="21" t="s">
        <v>127</v>
      </c>
      <c r="E1075" s="21" t="s">
        <v>128</v>
      </c>
      <c r="F1075" s="21" t="s">
        <v>49</v>
      </c>
      <c r="G1075" s="21" t="s">
        <v>129</v>
      </c>
      <c r="H1075" s="21" t="s">
        <v>205</v>
      </c>
      <c r="I1075" s="26">
        <v>3</v>
      </c>
      <c r="J1075" s="26">
        <v>33.6</v>
      </c>
      <c r="K1075" s="21" t="s">
        <v>52</v>
      </c>
      <c r="L1075" s="27">
        <v>359.52</v>
      </c>
      <c r="M1075" s="21"/>
      <c r="N1075" s="21"/>
      <c r="O1075" s="21" t="s">
        <v>2047</v>
      </c>
      <c r="P1075" s="21" t="s">
        <v>54</v>
      </c>
      <c r="Q1075" s="28">
        <v>46113</v>
      </c>
      <c r="R1075" s="29">
        <v>46113.4050578704</v>
      </c>
      <c r="S1075" s="21" t="s">
        <v>131</v>
      </c>
      <c r="T1075" s="21"/>
      <c r="U1075" s="21" t="s">
        <v>127</v>
      </c>
      <c r="V1075" s="29">
        <v>46113.4050115741</v>
      </c>
      <c r="W1075">
        <f>VLOOKUP(H1075,物料編碼!A:B,2,0)</f>
        <v>1300901002</v>
      </c>
      <c r="X1075">
        <v>1300901</v>
      </c>
      <c r="Y1075" t="str">
        <f>VLOOKUP(X1075,物料編碼!D:G,4,0)</f>
        <v>整鴨</v>
      </c>
      <c r="Z1075" t="str">
        <f>VLOOKUP(C1075,客戶屬性1!A:C,2,0)</f>
        <v>福源食品有限公司</v>
      </c>
      <c r="AA1075">
        <f>IF(COUNTIF($O$1:O1075,O1075)=1,L1075,0)</f>
        <v>359.52</v>
      </c>
    </row>
    <row r="1076" customHeight="1" spans="1:27">
      <c r="A1076" s="21" t="s">
        <v>2048</v>
      </c>
      <c r="B1076" s="21" t="s">
        <v>45</v>
      </c>
      <c r="C1076" s="21" t="s">
        <v>126</v>
      </c>
      <c r="D1076" s="21" t="s">
        <v>127</v>
      </c>
      <c r="E1076" s="21" t="s">
        <v>128</v>
      </c>
      <c r="F1076" s="21" t="s">
        <v>49</v>
      </c>
      <c r="G1076" s="21" t="s">
        <v>129</v>
      </c>
      <c r="H1076" s="21" t="s">
        <v>283</v>
      </c>
      <c r="I1076" s="26">
        <v>125</v>
      </c>
      <c r="J1076" s="26">
        <v>125</v>
      </c>
      <c r="K1076" s="21" t="s">
        <v>52</v>
      </c>
      <c r="L1076" s="27">
        <v>2725</v>
      </c>
      <c r="M1076" s="21"/>
      <c r="N1076" s="21"/>
      <c r="O1076" s="21" t="s">
        <v>2049</v>
      </c>
      <c r="P1076" s="21" t="s">
        <v>54</v>
      </c>
      <c r="Q1076" s="28">
        <v>46113</v>
      </c>
      <c r="R1076" s="29">
        <v>46113.4010532407</v>
      </c>
      <c r="S1076" s="21" t="s">
        <v>131</v>
      </c>
      <c r="T1076" s="21"/>
      <c r="U1076" s="21" t="s">
        <v>127</v>
      </c>
      <c r="V1076" s="29">
        <v>46113.4009953704</v>
      </c>
      <c r="W1076">
        <f>VLOOKUP(H1076,物料編碼!A:B,2,0)</f>
        <v>1300104005</v>
      </c>
      <c r="X1076">
        <v>1300104</v>
      </c>
      <c r="Y1076" t="str">
        <f>VLOOKUP(X1076,物料編碼!D:G,4,0)</f>
        <v>四號肉</v>
      </c>
      <c r="Z1076" t="str">
        <f>VLOOKUP(C1076,客戶屬性1!A:C,2,0)</f>
        <v>福源食品有限公司</v>
      </c>
      <c r="AA1076">
        <f>IF(COUNTIF($O$1:O1076,O1076)=1,L1076,0)</f>
        <v>2725</v>
      </c>
    </row>
    <row r="1077" customHeight="1" spans="1:27">
      <c r="A1077" s="21" t="s">
        <v>2050</v>
      </c>
      <c r="B1077" s="21" t="s">
        <v>45</v>
      </c>
      <c r="C1077" s="21" t="s">
        <v>158</v>
      </c>
      <c r="D1077" s="21" t="s">
        <v>159</v>
      </c>
      <c r="E1077" s="21" t="s">
        <v>160</v>
      </c>
      <c r="F1077" s="21" t="s">
        <v>49</v>
      </c>
      <c r="G1077" s="21" t="s">
        <v>68</v>
      </c>
      <c r="H1077" s="21" t="s">
        <v>75</v>
      </c>
      <c r="I1077" s="26">
        <v>6</v>
      </c>
      <c r="J1077" s="26">
        <v>90</v>
      </c>
      <c r="K1077" s="21" t="s">
        <v>52</v>
      </c>
      <c r="L1077" s="27">
        <v>1151.1</v>
      </c>
      <c r="M1077" s="21"/>
      <c r="N1077" s="21"/>
      <c r="O1077" s="21" t="s">
        <v>2051</v>
      </c>
      <c r="P1077" s="21" t="s">
        <v>54</v>
      </c>
      <c r="Q1077" s="28">
        <v>46114</v>
      </c>
      <c r="R1077" s="29">
        <v>46113.390462963</v>
      </c>
      <c r="S1077" s="21" t="s">
        <v>163</v>
      </c>
      <c r="T1077" s="21"/>
      <c r="U1077" s="21" t="s">
        <v>164</v>
      </c>
      <c r="V1077" s="29">
        <v>46113.3904166667</v>
      </c>
      <c r="W1077">
        <f>VLOOKUP(H1077,物料編碼!A:B,2,0)</f>
        <v>1300603040</v>
      </c>
      <c r="X1077">
        <v>1300603</v>
      </c>
      <c r="Y1077" t="str">
        <f>VLOOKUP(X1077,物料編碼!D:G,4,0)</f>
        <v>帶骨全腿</v>
      </c>
      <c r="Z1077" t="str">
        <f>VLOOKUP(C1077,客戶屬性1!A:C,2,0)</f>
        <v>先进食品国际有限公司</v>
      </c>
      <c r="AA1077">
        <f>IF(COUNTIF($O$1:O1077,O1077)=1,L1077,0)</f>
        <v>1151.1</v>
      </c>
    </row>
    <row r="1078" customHeight="1" spans="1:27">
      <c r="A1078" s="21" t="s">
        <v>2052</v>
      </c>
      <c r="B1078" s="21" t="s">
        <v>45</v>
      </c>
      <c r="C1078" s="21" t="s">
        <v>858</v>
      </c>
      <c r="D1078" s="21" t="s">
        <v>859</v>
      </c>
      <c r="E1078" s="21" t="s">
        <v>860</v>
      </c>
      <c r="F1078" s="21" t="s">
        <v>49</v>
      </c>
      <c r="G1078" s="21" t="s">
        <v>136</v>
      </c>
      <c r="H1078" s="21" t="s">
        <v>75</v>
      </c>
      <c r="I1078" s="26">
        <v>4</v>
      </c>
      <c r="J1078" s="26">
        <v>60</v>
      </c>
      <c r="K1078" s="21" t="s">
        <v>52</v>
      </c>
      <c r="L1078" s="27">
        <v>767.4</v>
      </c>
      <c r="M1078" s="21"/>
      <c r="N1078" s="21"/>
      <c r="O1078" s="21" t="s">
        <v>2053</v>
      </c>
      <c r="P1078" s="21" t="s">
        <v>54</v>
      </c>
      <c r="Q1078" s="28">
        <v>46113</v>
      </c>
      <c r="R1078" s="29">
        <v>46113.3786458333</v>
      </c>
      <c r="S1078" s="21" t="s">
        <v>863</v>
      </c>
      <c r="T1078" s="21"/>
      <c r="U1078" s="21" t="s">
        <v>859</v>
      </c>
      <c r="V1078" s="29">
        <v>46113.378587963</v>
      </c>
      <c r="W1078">
        <f>VLOOKUP(H1078,物料編碼!A:B,2,0)</f>
        <v>1300603040</v>
      </c>
      <c r="X1078">
        <v>1300603</v>
      </c>
      <c r="Y1078" t="str">
        <f>VLOOKUP(X1078,物料編碼!D:G,4,0)</f>
        <v>帶骨全腿</v>
      </c>
      <c r="Z1078" t="str">
        <f>VLOOKUP(C1078,客戶屬性1!A:C,2,0)</f>
        <v>福伟集团有限公司</v>
      </c>
      <c r="AA1078">
        <f>IF(COUNTIF($O$1:O1078,O1078)=1,L1078,0)</f>
        <v>767.4</v>
      </c>
    </row>
    <row r="1079" customHeight="1" spans="1:27">
      <c r="A1079" s="21" t="s">
        <v>2054</v>
      </c>
      <c r="B1079" s="21" t="s">
        <v>45</v>
      </c>
      <c r="C1079" s="21" t="s">
        <v>858</v>
      </c>
      <c r="D1079" s="21" t="s">
        <v>859</v>
      </c>
      <c r="E1079" s="21" t="s">
        <v>860</v>
      </c>
      <c r="F1079" s="21" t="s">
        <v>49</v>
      </c>
      <c r="G1079" s="21" t="s">
        <v>136</v>
      </c>
      <c r="H1079" s="21" t="s">
        <v>302</v>
      </c>
      <c r="I1079" s="26">
        <v>8</v>
      </c>
      <c r="J1079" s="26">
        <v>96</v>
      </c>
      <c r="K1079" s="21" t="s">
        <v>52</v>
      </c>
      <c r="L1079" s="27">
        <v>1526.4</v>
      </c>
      <c r="M1079" s="21"/>
      <c r="N1079" s="21"/>
      <c r="O1079" s="21" t="s">
        <v>2055</v>
      </c>
      <c r="P1079" s="21" t="s">
        <v>54</v>
      </c>
      <c r="Q1079" s="28">
        <v>46113</v>
      </c>
      <c r="R1079" s="29">
        <v>46113.3773726852</v>
      </c>
      <c r="S1079" s="21" t="s">
        <v>863</v>
      </c>
      <c r="T1079" s="21"/>
      <c r="U1079" s="21" t="s">
        <v>859</v>
      </c>
      <c r="V1079" s="29">
        <v>46113.3773263889</v>
      </c>
      <c r="W1079">
        <f>VLOOKUP(H1079,物料編碼!A:B,2,0)</f>
        <v>1300609018</v>
      </c>
      <c r="X1079">
        <v>1300609</v>
      </c>
      <c r="Y1079" t="str">
        <f>VLOOKUP(X1079,物料編碼!D:G,4,0)</f>
        <v>去皮上腿肉</v>
      </c>
      <c r="Z1079" t="str">
        <f>VLOOKUP(C1079,客戶屬性1!A:C,2,0)</f>
        <v>福伟集团有限公司</v>
      </c>
      <c r="AA1079">
        <f>IF(COUNTIF($O$1:O1079,O1079)=1,L1079,0)</f>
        <v>1526.4</v>
      </c>
    </row>
    <row r="1080" customHeight="1" spans="1:27">
      <c r="A1080" s="21" t="s">
        <v>2056</v>
      </c>
      <c r="B1080" s="21" t="s">
        <v>45</v>
      </c>
      <c r="C1080" s="21" t="s">
        <v>72</v>
      </c>
      <c r="D1080" s="21" t="s">
        <v>73</v>
      </c>
      <c r="E1080" s="21" t="s">
        <v>74</v>
      </c>
      <c r="F1080" s="21" t="s">
        <v>49</v>
      </c>
      <c r="G1080" s="21" t="s">
        <v>50</v>
      </c>
      <c r="H1080" s="21" t="s">
        <v>248</v>
      </c>
      <c r="I1080" s="26">
        <v>25</v>
      </c>
      <c r="J1080" s="26">
        <v>25</v>
      </c>
      <c r="K1080" s="21" t="s">
        <v>52</v>
      </c>
      <c r="L1080" s="27">
        <v>650</v>
      </c>
      <c r="M1080" s="21"/>
      <c r="N1080" s="21"/>
      <c r="O1080" s="21" t="s">
        <v>2057</v>
      </c>
      <c r="P1080" s="21" t="s">
        <v>54</v>
      </c>
      <c r="Q1080" s="28">
        <v>46113</v>
      </c>
      <c r="R1080" s="29">
        <v>46113.3678125</v>
      </c>
      <c r="S1080" s="21" t="s">
        <v>77</v>
      </c>
      <c r="T1080" s="21"/>
      <c r="U1080" s="21" t="s">
        <v>74</v>
      </c>
      <c r="V1080" s="29">
        <v>46113.3677546296</v>
      </c>
      <c r="W1080">
        <f>VLOOKUP(H1080,物料編碼!A:B,2,0)</f>
        <v>1300101007</v>
      </c>
      <c r="X1080">
        <v>1300101</v>
      </c>
      <c r="Y1080" t="str">
        <f>VLOOKUP(X1080,物料編碼!D:G,4,0)</f>
        <v>一號肉</v>
      </c>
      <c r="Z1080" t="str">
        <f>VLOOKUP(C1080,客戶屬性1!A:C,2,0)</f>
        <v>恒辉贸易公司</v>
      </c>
      <c r="AA1080">
        <f>IF(COUNTIF($O$1:O1080,O1080)=1,L1080,0)</f>
        <v>650</v>
      </c>
    </row>
    <row r="1081" customHeight="1" spans="1:27">
      <c r="A1081" s="21" t="s">
        <v>2058</v>
      </c>
      <c r="B1081" s="21" t="s">
        <v>45</v>
      </c>
      <c r="C1081" s="21" t="s">
        <v>126</v>
      </c>
      <c r="D1081" s="21" t="s">
        <v>127</v>
      </c>
      <c r="E1081" s="21" t="s">
        <v>128</v>
      </c>
      <c r="F1081" s="21" t="s">
        <v>49</v>
      </c>
      <c r="G1081" s="21" t="s">
        <v>129</v>
      </c>
      <c r="H1081" s="21" t="s">
        <v>205</v>
      </c>
      <c r="I1081" s="26">
        <v>3</v>
      </c>
      <c r="J1081" s="26">
        <v>33.6</v>
      </c>
      <c r="K1081" s="21" t="s">
        <v>52</v>
      </c>
      <c r="L1081" s="27">
        <v>359.52</v>
      </c>
      <c r="M1081" s="21"/>
      <c r="N1081" s="21"/>
      <c r="O1081" s="21"/>
      <c r="P1081" s="21" t="s">
        <v>369</v>
      </c>
      <c r="Q1081" s="28">
        <v>46113</v>
      </c>
      <c r="R1081" s="29">
        <v>46113.3305787037</v>
      </c>
      <c r="S1081" s="21" t="s">
        <v>131</v>
      </c>
      <c r="T1081" s="21"/>
      <c r="U1081" s="21" t="s">
        <v>127</v>
      </c>
      <c r="V1081" s="29">
        <v>46113.3305208333</v>
      </c>
      <c r="W1081">
        <f>VLOOKUP(H1081,物料編碼!A:B,2,0)</f>
        <v>1300901002</v>
      </c>
      <c r="X1081">
        <v>1300901</v>
      </c>
      <c r="Y1081" t="str">
        <f>VLOOKUP(X1081,物料編碼!D:G,4,0)</f>
        <v>整鴨</v>
      </c>
      <c r="Z1081" t="str">
        <f>VLOOKUP(C1081,客戶屬性1!A:C,2,0)</f>
        <v>福源食品有限公司</v>
      </c>
      <c r="AA1081">
        <f>IF(COUNTIF($O$1:O1081,O1081)=1,L1081,0)</f>
        <v>0</v>
      </c>
    </row>
    <row r="1082" customHeight="1" spans="1:27">
      <c r="A1082" s="21" t="s">
        <v>2058</v>
      </c>
      <c r="B1082" s="21" t="s">
        <v>45</v>
      </c>
      <c r="C1082" s="21" t="s">
        <v>126</v>
      </c>
      <c r="D1082" s="21" t="s">
        <v>127</v>
      </c>
      <c r="E1082" s="21" t="s">
        <v>128</v>
      </c>
      <c r="F1082" s="21" t="s">
        <v>49</v>
      </c>
      <c r="G1082" s="21" t="s">
        <v>129</v>
      </c>
      <c r="H1082" s="21" t="s">
        <v>190</v>
      </c>
      <c r="I1082" s="26">
        <v>20</v>
      </c>
      <c r="J1082" s="26">
        <v>240</v>
      </c>
      <c r="K1082" s="21" t="s">
        <v>52</v>
      </c>
      <c r="L1082" s="27">
        <v>359.52</v>
      </c>
      <c r="M1082" s="21"/>
      <c r="N1082" s="21"/>
      <c r="O1082" s="21"/>
      <c r="P1082" s="21" t="s">
        <v>369</v>
      </c>
      <c r="Q1082" s="28">
        <v>46113</v>
      </c>
      <c r="R1082" s="29">
        <v>46113.3305787037</v>
      </c>
      <c r="S1082" s="21" t="s">
        <v>131</v>
      </c>
      <c r="T1082" s="21"/>
      <c r="U1082" s="21" t="s">
        <v>127</v>
      </c>
      <c r="V1082" s="29">
        <v>46113.3305208333</v>
      </c>
      <c r="W1082">
        <f>VLOOKUP(H1082,物料編碼!A:B,2,0)</f>
        <v>1300609001</v>
      </c>
      <c r="X1082">
        <v>1300609</v>
      </c>
      <c r="Y1082" t="str">
        <f>VLOOKUP(X1082,物料編碼!D:G,4,0)</f>
        <v>去皮上腿肉</v>
      </c>
      <c r="Z1082" t="str">
        <f>VLOOKUP(C1082,客戶屬性1!A:C,2,0)</f>
        <v>福源食品有限公司</v>
      </c>
      <c r="AA1082">
        <f>IF(COUNTIF($O$1:O1082,O1082)=1,L1082,0)</f>
        <v>0</v>
      </c>
    </row>
    <row r="1083" customHeight="1" spans="1:27">
      <c r="A1083" s="21" t="s">
        <v>2059</v>
      </c>
      <c r="B1083" s="21" t="s">
        <v>45</v>
      </c>
      <c r="C1083" s="21" t="s">
        <v>126</v>
      </c>
      <c r="D1083" s="21" t="s">
        <v>127</v>
      </c>
      <c r="E1083" s="21" t="s">
        <v>128</v>
      </c>
      <c r="F1083" s="21" t="s">
        <v>49</v>
      </c>
      <c r="G1083" s="21" t="s">
        <v>129</v>
      </c>
      <c r="H1083" s="21" t="s">
        <v>117</v>
      </c>
      <c r="I1083" s="26">
        <v>20</v>
      </c>
      <c r="J1083" s="26">
        <v>300</v>
      </c>
      <c r="K1083" s="21" t="s">
        <v>52</v>
      </c>
      <c r="L1083" s="32">
        <v>0</v>
      </c>
      <c r="M1083" s="21"/>
      <c r="N1083" s="21"/>
      <c r="O1083" s="21"/>
      <c r="P1083" s="21" t="s">
        <v>369</v>
      </c>
      <c r="Q1083" s="28">
        <v>46113</v>
      </c>
      <c r="R1083" s="29">
        <v>46113.3289351852</v>
      </c>
      <c r="S1083" s="21" t="s">
        <v>131</v>
      </c>
      <c r="T1083" s="21"/>
      <c r="U1083" s="21" t="s">
        <v>127</v>
      </c>
      <c r="V1083" s="29">
        <v>46113.328900463</v>
      </c>
      <c r="W1083">
        <f>VLOOKUP(H1083,物料編碼!A:B,2,0)</f>
        <v>1300607015</v>
      </c>
      <c r="X1083">
        <v>1300607</v>
      </c>
      <c r="Y1083" t="str">
        <f>VLOOKUP(X1083,物料編碼!D:G,4,0)</f>
        <v>帶皮腿扒</v>
      </c>
      <c r="Z1083" t="str">
        <f>VLOOKUP(C1083,客戶屬性1!A:C,2,0)</f>
        <v>福源食品有限公司</v>
      </c>
      <c r="AA1083">
        <f>IF(COUNTIF($O$1:O1083,O1083)=1,L1083,0)</f>
        <v>0</v>
      </c>
    </row>
    <row r="1084" customHeight="1" spans="1:27">
      <c r="A1084" s="21" t="s">
        <v>2060</v>
      </c>
      <c r="B1084" s="21" t="s">
        <v>45</v>
      </c>
      <c r="C1084" s="21" t="s">
        <v>126</v>
      </c>
      <c r="D1084" s="21" t="s">
        <v>127</v>
      </c>
      <c r="E1084" s="21" t="s">
        <v>128</v>
      </c>
      <c r="F1084" s="21" t="s">
        <v>49</v>
      </c>
      <c r="G1084" s="21" t="s">
        <v>129</v>
      </c>
      <c r="H1084" s="21" t="s">
        <v>117</v>
      </c>
      <c r="I1084" s="26">
        <v>20</v>
      </c>
      <c r="J1084" s="26">
        <v>300</v>
      </c>
      <c r="K1084" s="21" t="s">
        <v>52</v>
      </c>
      <c r="L1084" s="32">
        <v>0</v>
      </c>
      <c r="M1084" s="21"/>
      <c r="N1084" s="21"/>
      <c r="O1084" s="21"/>
      <c r="P1084" s="21" t="s">
        <v>369</v>
      </c>
      <c r="Q1084" s="28">
        <v>46113</v>
      </c>
      <c r="R1084" s="29">
        <v>46113.3284490741</v>
      </c>
      <c r="S1084" s="21" t="s">
        <v>131</v>
      </c>
      <c r="T1084" s="21"/>
      <c r="U1084" s="21" t="s">
        <v>127</v>
      </c>
      <c r="V1084" s="29">
        <v>46113.3283564815</v>
      </c>
      <c r="W1084">
        <f>VLOOKUP(H1084,物料編碼!A:B,2,0)</f>
        <v>1300607015</v>
      </c>
      <c r="X1084">
        <v>1300607</v>
      </c>
      <c r="Y1084" t="str">
        <f>VLOOKUP(X1084,物料編碼!D:G,4,0)</f>
        <v>帶皮腿扒</v>
      </c>
      <c r="Z1084" t="str">
        <f>VLOOKUP(C1084,客戶屬性1!A:C,2,0)</f>
        <v>福源食品有限公司</v>
      </c>
      <c r="AA1084">
        <f>IF(COUNTIF($O$1:O1084,O1084)=1,L1084,0)</f>
        <v>0</v>
      </c>
    </row>
    <row r="1085" customHeight="1" spans="1:27">
      <c r="A1085" s="21" t="s">
        <v>2061</v>
      </c>
      <c r="B1085" s="21" t="s">
        <v>45</v>
      </c>
      <c r="C1085" s="21" t="s">
        <v>235</v>
      </c>
      <c r="D1085" s="21" t="s">
        <v>236</v>
      </c>
      <c r="E1085" s="21" t="s">
        <v>237</v>
      </c>
      <c r="F1085" s="21" t="s">
        <v>49</v>
      </c>
      <c r="G1085" s="21" t="s">
        <v>238</v>
      </c>
      <c r="H1085" s="21" t="s">
        <v>190</v>
      </c>
      <c r="I1085" s="26">
        <v>6</v>
      </c>
      <c r="J1085" s="26">
        <v>72</v>
      </c>
      <c r="K1085" s="21" t="s">
        <v>52</v>
      </c>
      <c r="L1085" s="27">
        <v>1130.4</v>
      </c>
      <c r="M1085" s="21"/>
      <c r="N1085" s="21"/>
      <c r="O1085" s="21" t="s">
        <v>2062</v>
      </c>
      <c r="P1085" s="21" t="s">
        <v>54</v>
      </c>
      <c r="Q1085" s="28">
        <v>46113</v>
      </c>
      <c r="R1085" s="29">
        <v>46112.635462963</v>
      </c>
      <c r="S1085" s="21" t="s">
        <v>241</v>
      </c>
      <c r="T1085" s="21"/>
      <c r="U1085" s="21" t="s">
        <v>237</v>
      </c>
      <c r="V1085" s="29">
        <v>46112.6354050926</v>
      </c>
      <c r="W1085">
        <f>VLOOKUP(H1085,物料編碼!A:B,2,0)</f>
        <v>1300609001</v>
      </c>
      <c r="X1085">
        <v>1300609</v>
      </c>
      <c r="Y1085" t="str">
        <f>VLOOKUP(X1085,物料編碼!D:G,4,0)</f>
        <v>去皮上腿肉</v>
      </c>
      <c r="Z1085" t="str">
        <f>VLOOKUP(C1085,客戶屬性1!A:C,2,0)</f>
        <v>联合林记食品有限公司</v>
      </c>
      <c r="AA1085">
        <f>IF(COUNTIF($O$1:O1085,O1085)=1,L1085,0)</f>
        <v>1130.4</v>
      </c>
    </row>
    <row r="1086" customHeight="1" spans="1:27">
      <c r="A1086" s="21" t="s">
        <v>2063</v>
      </c>
      <c r="B1086" s="21" t="s">
        <v>45</v>
      </c>
      <c r="C1086" s="21" t="s">
        <v>97</v>
      </c>
      <c r="D1086" s="21" t="s">
        <v>98</v>
      </c>
      <c r="E1086" s="21" t="s">
        <v>99</v>
      </c>
      <c r="F1086" s="21" t="s">
        <v>49</v>
      </c>
      <c r="G1086" s="21" t="s">
        <v>100</v>
      </c>
      <c r="H1086" s="21" t="s">
        <v>63</v>
      </c>
      <c r="I1086" s="26">
        <v>1</v>
      </c>
      <c r="J1086" s="26">
        <v>25</v>
      </c>
      <c r="K1086" s="21" t="s">
        <v>52</v>
      </c>
      <c r="L1086" s="27">
        <v>815</v>
      </c>
      <c r="M1086" s="21"/>
      <c r="N1086" s="21"/>
      <c r="O1086" s="21" t="s">
        <v>2064</v>
      </c>
      <c r="P1086" s="21" t="s">
        <v>54</v>
      </c>
      <c r="Q1086" s="28">
        <v>46113</v>
      </c>
      <c r="R1086" s="29">
        <v>46112.6314583333</v>
      </c>
      <c r="S1086" s="21" t="s">
        <v>1000</v>
      </c>
      <c r="T1086" s="21"/>
      <c r="U1086" s="21" t="s">
        <v>1001</v>
      </c>
      <c r="V1086" s="29">
        <v>46112.631400463</v>
      </c>
      <c r="W1086">
        <f>VLOOKUP(H1086,物料編碼!A:B,2,0)</f>
        <v>1300109002</v>
      </c>
      <c r="X1086">
        <v>1300109</v>
      </c>
      <c r="Y1086" t="str">
        <f>VLOOKUP(X1086,物料編碼!D:G,4,0)</f>
        <v>面精肉</v>
      </c>
      <c r="Z1086" t="str">
        <f>VLOOKUP(C1086,客戶屬性1!A:C,2,0)</f>
        <v>三明有限公司</v>
      </c>
      <c r="AA1086">
        <f>IF(COUNTIF($O$1:O1086,O1086)=1,L1086,0)</f>
        <v>815</v>
      </c>
    </row>
    <row r="1087" customHeight="1" spans="1:27">
      <c r="A1087" s="21" t="s">
        <v>2065</v>
      </c>
      <c r="B1087" s="21" t="s">
        <v>45</v>
      </c>
      <c r="C1087" s="21" t="s">
        <v>97</v>
      </c>
      <c r="D1087" s="21" t="s">
        <v>98</v>
      </c>
      <c r="E1087" s="21" t="s">
        <v>99</v>
      </c>
      <c r="F1087" s="21" t="s">
        <v>49</v>
      </c>
      <c r="G1087" s="21" t="s">
        <v>100</v>
      </c>
      <c r="H1087" s="21" t="s">
        <v>63</v>
      </c>
      <c r="I1087" s="26">
        <v>1</v>
      </c>
      <c r="J1087" s="26">
        <v>25</v>
      </c>
      <c r="K1087" s="21" t="s">
        <v>52</v>
      </c>
      <c r="L1087" s="27">
        <v>815</v>
      </c>
      <c r="M1087" s="21"/>
      <c r="N1087" s="21"/>
      <c r="O1087" s="21" t="s">
        <v>2066</v>
      </c>
      <c r="P1087" s="21" t="s">
        <v>54</v>
      </c>
      <c r="Q1087" s="28">
        <v>46113</v>
      </c>
      <c r="R1087" s="29">
        <v>46112.5551967593</v>
      </c>
      <c r="S1087" s="21" t="s">
        <v>1000</v>
      </c>
      <c r="T1087" s="21"/>
      <c r="U1087" s="21" t="s">
        <v>1001</v>
      </c>
      <c r="V1087" s="29">
        <v>46112.5551388889</v>
      </c>
      <c r="W1087">
        <f>VLOOKUP(H1087,物料編碼!A:B,2,0)</f>
        <v>1300109002</v>
      </c>
      <c r="X1087">
        <v>1300109</v>
      </c>
      <c r="Y1087" t="str">
        <f>VLOOKUP(X1087,物料編碼!D:G,4,0)</f>
        <v>面精肉</v>
      </c>
      <c r="Z1087" t="str">
        <f>VLOOKUP(C1087,客戶屬性1!A:C,2,0)</f>
        <v>三明有限公司</v>
      </c>
      <c r="AA1087">
        <f>IF(COUNTIF($O$1:O1087,O1087)=1,L1087,0)</f>
        <v>815</v>
      </c>
    </row>
    <row r="1088" customHeight="1" spans="1:27">
      <c r="A1088" s="21" t="s">
        <v>2067</v>
      </c>
      <c r="B1088" s="21" t="s">
        <v>45</v>
      </c>
      <c r="C1088" s="21" t="s">
        <v>105</v>
      </c>
      <c r="D1088" s="21" t="s">
        <v>106</v>
      </c>
      <c r="E1088" s="21" t="s">
        <v>107</v>
      </c>
      <c r="F1088" s="21" t="s">
        <v>49</v>
      </c>
      <c r="G1088" s="21" t="s">
        <v>68</v>
      </c>
      <c r="H1088" s="21" t="s">
        <v>60</v>
      </c>
      <c r="I1088" s="26">
        <v>6</v>
      </c>
      <c r="J1088" s="26">
        <v>150</v>
      </c>
      <c r="K1088" s="21" t="s">
        <v>52</v>
      </c>
      <c r="L1088" s="27">
        <v>5520</v>
      </c>
      <c r="M1088" s="21"/>
      <c r="N1088" s="21"/>
      <c r="O1088" s="21" t="s">
        <v>2068</v>
      </c>
      <c r="P1088" s="21" t="s">
        <v>54</v>
      </c>
      <c r="Q1088" s="28">
        <v>46113</v>
      </c>
      <c r="R1088" s="29">
        <v>46112.5371180556</v>
      </c>
      <c r="S1088" s="21" t="s">
        <v>109</v>
      </c>
      <c r="T1088" s="21"/>
      <c r="U1088" s="21" t="s">
        <v>110</v>
      </c>
      <c r="V1088" s="29">
        <v>46112.5370717593</v>
      </c>
      <c r="W1088">
        <f>VLOOKUP(H1088,物料編碼!A:B,2,0)</f>
        <v>1300101043</v>
      </c>
      <c r="X1088">
        <v>1300101</v>
      </c>
      <c r="Y1088" t="str">
        <f>VLOOKUP(X1088,物料編碼!D:G,4,0)</f>
        <v>一號肉</v>
      </c>
      <c r="Z1088" t="str">
        <f>VLOOKUP(C1088,客戶屬性1!A:C,2,0)</f>
        <v>MING KEE</v>
      </c>
      <c r="AA1088">
        <f>IF(COUNTIF($O$1:O1088,O1088)=1,L1088,0)</f>
        <v>5520</v>
      </c>
    </row>
    <row r="1089" customHeight="1" spans="1:27">
      <c r="A1089" s="21" t="s">
        <v>2069</v>
      </c>
      <c r="B1089" s="21" t="s">
        <v>45</v>
      </c>
      <c r="C1089" s="21" t="s">
        <v>216</v>
      </c>
      <c r="D1089" s="21" t="s">
        <v>217</v>
      </c>
      <c r="E1089" s="21" t="s">
        <v>218</v>
      </c>
      <c r="F1089" s="21" t="s">
        <v>49</v>
      </c>
      <c r="G1089" s="21" t="s">
        <v>68</v>
      </c>
      <c r="H1089" s="21" t="s">
        <v>219</v>
      </c>
      <c r="I1089" s="26">
        <v>2</v>
      </c>
      <c r="J1089" s="26">
        <v>20</v>
      </c>
      <c r="K1089" s="21" t="s">
        <v>52</v>
      </c>
      <c r="L1089" s="27">
        <v>2060</v>
      </c>
      <c r="M1089" s="21"/>
      <c r="N1089" s="21"/>
      <c r="O1089" s="21" t="s">
        <v>2070</v>
      </c>
      <c r="P1089" s="21" t="s">
        <v>54</v>
      </c>
      <c r="Q1089" s="28">
        <v>46113</v>
      </c>
      <c r="R1089" s="29">
        <v>46112.5165972222</v>
      </c>
      <c r="S1089" s="21" t="s">
        <v>221</v>
      </c>
      <c r="T1089" s="21"/>
      <c r="U1089" s="21" t="s">
        <v>222</v>
      </c>
      <c r="V1089" s="29">
        <v>46112.5165509259</v>
      </c>
      <c r="W1089">
        <f>VLOOKUP(H1089,物料編碼!A:B,2,0)</f>
        <v>1300501022</v>
      </c>
      <c r="X1089">
        <v>1300501</v>
      </c>
      <c r="Y1089" t="str">
        <f>VLOOKUP(X1089,物料編碼!D:G,4,0)</f>
        <v>羊排</v>
      </c>
      <c r="Z1089" t="str">
        <f>VLOOKUP(C1089,客戶屬性1!A:C,2,0)</f>
        <v>天恒食品有限公司</v>
      </c>
      <c r="AA1089">
        <f>IF(COUNTIF($O$1:O1089,O1089)=1,L1089,0)</f>
        <v>2060</v>
      </c>
    </row>
    <row r="1090" customHeight="1" spans="1:27">
      <c r="A1090" s="21" t="s">
        <v>2071</v>
      </c>
      <c r="B1090" s="21" t="s">
        <v>45</v>
      </c>
      <c r="C1090" s="21" t="s">
        <v>97</v>
      </c>
      <c r="D1090" s="21" t="s">
        <v>98</v>
      </c>
      <c r="E1090" s="21" t="s">
        <v>99</v>
      </c>
      <c r="F1090" s="21" t="s">
        <v>49</v>
      </c>
      <c r="G1090" s="21" t="s">
        <v>100</v>
      </c>
      <c r="H1090" s="21" t="s">
        <v>63</v>
      </c>
      <c r="I1090" s="26">
        <v>2</v>
      </c>
      <c r="J1090" s="26">
        <v>50</v>
      </c>
      <c r="K1090" s="21" t="s">
        <v>52</v>
      </c>
      <c r="L1090" s="27">
        <v>1630</v>
      </c>
      <c r="M1090" s="21"/>
      <c r="N1090" s="21"/>
      <c r="O1090" s="21" t="s">
        <v>2072</v>
      </c>
      <c r="P1090" s="21" t="s">
        <v>54</v>
      </c>
      <c r="Q1090" s="28">
        <v>46113</v>
      </c>
      <c r="R1090" s="29">
        <v>46112.5125810185</v>
      </c>
      <c r="S1090" s="21" t="s">
        <v>1000</v>
      </c>
      <c r="T1090" s="21"/>
      <c r="U1090" s="21" t="s">
        <v>1001</v>
      </c>
      <c r="V1090" s="29">
        <v>46112.5125462963</v>
      </c>
      <c r="W1090">
        <f>VLOOKUP(H1090,物料編碼!A:B,2,0)</f>
        <v>1300109002</v>
      </c>
      <c r="X1090">
        <v>1300109</v>
      </c>
      <c r="Y1090" t="str">
        <f>VLOOKUP(X1090,物料編碼!D:G,4,0)</f>
        <v>面精肉</v>
      </c>
      <c r="Z1090" t="str">
        <f>VLOOKUP(C1090,客戶屬性1!A:C,2,0)</f>
        <v>三明有限公司</v>
      </c>
      <c r="AA1090">
        <f>IF(COUNTIF($O$1:O1090,O1090)=1,L1090,0)</f>
        <v>1630</v>
      </c>
    </row>
    <row r="1091" customHeight="1" spans="1:27">
      <c r="A1091" s="21" t="s">
        <v>2073</v>
      </c>
      <c r="B1091" s="21" t="s">
        <v>45</v>
      </c>
      <c r="C1091" s="21" t="s">
        <v>72</v>
      </c>
      <c r="D1091" s="21" t="s">
        <v>73</v>
      </c>
      <c r="E1091" s="21" t="s">
        <v>74</v>
      </c>
      <c r="F1091" s="21" t="s">
        <v>49</v>
      </c>
      <c r="G1091" s="21" t="s">
        <v>50</v>
      </c>
      <c r="H1091" s="21" t="s">
        <v>75</v>
      </c>
      <c r="I1091" s="26">
        <v>1</v>
      </c>
      <c r="J1091" s="26">
        <v>15</v>
      </c>
      <c r="K1091" s="21" t="s">
        <v>52</v>
      </c>
      <c r="L1091" s="27">
        <v>195</v>
      </c>
      <c r="M1091" s="21"/>
      <c r="N1091" s="21"/>
      <c r="O1091" s="21" t="s">
        <v>2074</v>
      </c>
      <c r="P1091" s="21" t="s">
        <v>54</v>
      </c>
      <c r="Q1091" s="28">
        <v>46113</v>
      </c>
      <c r="R1091" s="29">
        <v>46112.4916435185</v>
      </c>
      <c r="S1091" s="21" t="s">
        <v>77</v>
      </c>
      <c r="T1091" s="21"/>
      <c r="U1091" s="21" t="s">
        <v>74</v>
      </c>
      <c r="V1091" s="29">
        <v>46112.4915856481</v>
      </c>
      <c r="W1091">
        <f>VLOOKUP(H1091,物料編碼!A:B,2,0)</f>
        <v>1300603040</v>
      </c>
      <c r="X1091">
        <v>1300603</v>
      </c>
      <c r="Y1091" t="str">
        <f>VLOOKUP(X1091,物料編碼!D:G,4,0)</f>
        <v>帶骨全腿</v>
      </c>
      <c r="Z1091" t="str">
        <f>VLOOKUP(C1091,客戶屬性1!A:C,2,0)</f>
        <v>恒辉贸易公司</v>
      </c>
      <c r="AA1091">
        <f>IF(COUNTIF($O$1:O1091,O1091)=1,L1091,0)</f>
        <v>195</v>
      </c>
    </row>
    <row r="1092" customHeight="1" spans="1:27">
      <c r="A1092" s="21" t="s">
        <v>2075</v>
      </c>
      <c r="B1092" s="21" t="s">
        <v>45</v>
      </c>
      <c r="C1092" s="21" t="s">
        <v>1583</v>
      </c>
      <c r="D1092" s="21" t="s">
        <v>1584</v>
      </c>
      <c r="E1092" s="21" t="s">
        <v>1585</v>
      </c>
      <c r="F1092" s="21" t="s">
        <v>49</v>
      </c>
      <c r="G1092" s="21" t="s">
        <v>68</v>
      </c>
      <c r="H1092" s="21" t="s">
        <v>60</v>
      </c>
      <c r="I1092" s="26">
        <v>10</v>
      </c>
      <c r="J1092" s="26">
        <v>250</v>
      </c>
      <c r="K1092" s="21" t="s">
        <v>52</v>
      </c>
      <c r="L1092" s="27">
        <v>9200</v>
      </c>
      <c r="M1092" s="21"/>
      <c r="N1092" s="21"/>
      <c r="O1092" s="21" t="s">
        <v>2076</v>
      </c>
      <c r="P1092" s="21" t="s">
        <v>54</v>
      </c>
      <c r="Q1092" s="28">
        <v>46113</v>
      </c>
      <c r="R1092" s="29">
        <v>46112.4657175926</v>
      </c>
      <c r="S1092" s="21" t="s">
        <v>1587</v>
      </c>
      <c r="T1092" s="21"/>
      <c r="U1092" s="21" t="s">
        <v>1588</v>
      </c>
      <c r="V1092" s="29">
        <v>46112.4656597222</v>
      </c>
      <c r="W1092">
        <f>VLOOKUP(H1092,物料編碼!A:B,2,0)</f>
        <v>1300101043</v>
      </c>
      <c r="X1092">
        <v>1300101</v>
      </c>
      <c r="Y1092" t="str">
        <f>VLOOKUP(X1092,物料編碼!D:G,4,0)</f>
        <v>一號肉</v>
      </c>
      <c r="Z1092" t="str">
        <f>VLOOKUP(C1092,客戶屬性1!A:C,2,0)</f>
        <v>新田食品贸易有限公司</v>
      </c>
      <c r="AA1092">
        <f>IF(COUNTIF($O$1:O1092,O1092)=1,L1092,0)</f>
        <v>9200</v>
      </c>
    </row>
    <row r="1093" customHeight="1" spans="1:27">
      <c r="A1093" s="21" t="s">
        <v>2077</v>
      </c>
      <c r="B1093" s="21" t="s">
        <v>45</v>
      </c>
      <c r="C1093" s="21" t="s">
        <v>141</v>
      </c>
      <c r="D1093" s="21" t="s">
        <v>142</v>
      </c>
      <c r="E1093" s="21" t="s">
        <v>142</v>
      </c>
      <c r="F1093" s="21" t="s">
        <v>143</v>
      </c>
      <c r="G1093" s="21" t="s">
        <v>100</v>
      </c>
      <c r="H1093" s="21" t="s">
        <v>117</v>
      </c>
      <c r="I1093" s="26">
        <v>3</v>
      </c>
      <c r="J1093" s="26">
        <v>45</v>
      </c>
      <c r="K1093" s="21" t="s">
        <v>52</v>
      </c>
      <c r="L1093" s="27">
        <v>1150.1</v>
      </c>
      <c r="M1093" s="21"/>
      <c r="N1093" s="21"/>
      <c r="O1093" s="21" t="s">
        <v>2078</v>
      </c>
      <c r="P1093" s="21" t="s">
        <v>54</v>
      </c>
      <c r="Q1093" s="28">
        <v>46113</v>
      </c>
      <c r="R1093" s="29">
        <v>46112.4607523148</v>
      </c>
      <c r="S1093" s="21" t="s">
        <v>145</v>
      </c>
      <c r="T1093" s="21"/>
      <c r="U1093" s="21" t="s">
        <v>142</v>
      </c>
      <c r="V1093" s="29">
        <v>46112.4607060185</v>
      </c>
      <c r="W1093">
        <f>VLOOKUP(H1093,物料編碼!A:B,2,0)</f>
        <v>1300607015</v>
      </c>
      <c r="X1093">
        <v>1300607</v>
      </c>
      <c r="Y1093" t="str">
        <f>VLOOKUP(X1093,物料編碼!D:G,4,0)</f>
        <v>帶皮腿扒</v>
      </c>
      <c r="Z1093" t="str">
        <f>VLOOKUP(C1093,客戶屬性1!A:C,2,0)</f>
        <v>新昌冻肉</v>
      </c>
      <c r="AA1093">
        <f>IF(COUNTIF($O$1:O1093,O1093)=1,L1093,0)</f>
        <v>1150.1</v>
      </c>
    </row>
    <row r="1094" customHeight="1" spans="1:27">
      <c r="A1094" s="21" t="s">
        <v>2077</v>
      </c>
      <c r="B1094" s="21" t="s">
        <v>45</v>
      </c>
      <c r="C1094" s="21" t="s">
        <v>141</v>
      </c>
      <c r="D1094" s="21" t="s">
        <v>142</v>
      </c>
      <c r="E1094" s="21" t="s">
        <v>142</v>
      </c>
      <c r="F1094" s="21" t="s">
        <v>143</v>
      </c>
      <c r="G1094" s="21" t="s">
        <v>100</v>
      </c>
      <c r="H1094" s="21" t="s">
        <v>298</v>
      </c>
      <c r="I1094" s="26">
        <v>1</v>
      </c>
      <c r="J1094" s="26">
        <v>10</v>
      </c>
      <c r="K1094" s="21" t="s">
        <v>52</v>
      </c>
      <c r="L1094" s="27">
        <v>1150.1</v>
      </c>
      <c r="M1094" s="21"/>
      <c r="N1094" s="21"/>
      <c r="O1094" s="21" t="s">
        <v>2078</v>
      </c>
      <c r="P1094" s="21" t="s">
        <v>54</v>
      </c>
      <c r="Q1094" s="28">
        <v>46113</v>
      </c>
      <c r="R1094" s="29">
        <v>46112.4607523148</v>
      </c>
      <c r="S1094" s="21" t="s">
        <v>145</v>
      </c>
      <c r="T1094" s="21"/>
      <c r="U1094" s="21" t="s">
        <v>142</v>
      </c>
      <c r="V1094" s="29">
        <v>46112.4607060185</v>
      </c>
      <c r="W1094">
        <f>VLOOKUP(H1094,物料編碼!A:B,2,0)</f>
        <v>1300111003</v>
      </c>
      <c r="X1094">
        <v>1300111</v>
      </c>
      <c r="Y1094" t="str">
        <f>VLOOKUP(X1094,物料編碼!D:G,4,0)</f>
        <v>寸骨</v>
      </c>
      <c r="Z1094" t="str">
        <f>VLOOKUP(C1094,客戶屬性1!A:C,2,0)</f>
        <v>新昌冻肉</v>
      </c>
      <c r="AA1094">
        <f>IF(COUNTIF($O$1:O1094,O1094)=1,L1094,0)</f>
        <v>0</v>
      </c>
    </row>
    <row r="1095" customHeight="1" spans="1:27">
      <c r="A1095" s="21" t="s">
        <v>2079</v>
      </c>
      <c r="B1095" s="21" t="s">
        <v>45</v>
      </c>
      <c r="C1095" s="21" t="s">
        <v>97</v>
      </c>
      <c r="D1095" s="21" t="s">
        <v>98</v>
      </c>
      <c r="E1095" s="21" t="s">
        <v>99</v>
      </c>
      <c r="F1095" s="21" t="s">
        <v>49</v>
      </c>
      <c r="G1095" s="21" t="s">
        <v>100</v>
      </c>
      <c r="H1095" s="21" t="s">
        <v>450</v>
      </c>
      <c r="I1095" s="26">
        <v>2</v>
      </c>
      <c r="J1095" s="26">
        <v>40</v>
      </c>
      <c r="K1095" s="21" t="s">
        <v>52</v>
      </c>
      <c r="L1095" s="27">
        <v>8130</v>
      </c>
      <c r="M1095" s="21"/>
      <c r="N1095" s="21"/>
      <c r="O1095" s="21" t="s">
        <v>2080</v>
      </c>
      <c r="P1095" s="21" t="s">
        <v>54</v>
      </c>
      <c r="Q1095" s="28">
        <v>46112</v>
      </c>
      <c r="R1095" s="29">
        <v>46112.4416666667</v>
      </c>
      <c r="S1095" s="21" t="s">
        <v>1000</v>
      </c>
      <c r="T1095" s="21"/>
      <c r="U1095" s="21" t="s">
        <v>1001</v>
      </c>
      <c r="V1095" s="29">
        <v>46112.4416203704</v>
      </c>
      <c r="W1095">
        <f>VLOOKUP(H1095,物料編碼!A:B,2,0)</f>
        <v>1300501019</v>
      </c>
      <c r="X1095">
        <v>1300501</v>
      </c>
      <c r="Y1095" t="str">
        <f>VLOOKUP(X1095,物料編碼!D:G,4,0)</f>
        <v>羊排</v>
      </c>
      <c r="Z1095" t="str">
        <f>VLOOKUP(C1095,客戶屬性1!A:C,2,0)</f>
        <v>三明有限公司</v>
      </c>
      <c r="AA1095">
        <f>IF(COUNTIF($O$1:O1095,O1095)=1,L1095,0)</f>
        <v>8130</v>
      </c>
    </row>
    <row r="1096" customHeight="1" spans="1:27">
      <c r="A1096" s="21" t="s">
        <v>2079</v>
      </c>
      <c r="B1096" s="21" t="s">
        <v>45</v>
      </c>
      <c r="C1096" s="21" t="s">
        <v>97</v>
      </c>
      <c r="D1096" s="21" t="s">
        <v>98</v>
      </c>
      <c r="E1096" s="21" t="s">
        <v>99</v>
      </c>
      <c r="F1096" s="21" t="s">
        <v>49</v>
      </c>
      <c r="G1096" s="21" t="s">
        <v>100</v>
      </c>
      <c r="H1096" s="21" t="s">
        <v>63</v>
      </c>
      <c r="I1096" s="26">
        <v>6</v>
      </c>
      <c r="J1096" s="26">
        <v>150</v>
      </c>
      <c r="K1096" s="21" t="s">
        <v>52</v>
      </c>
      <c r="L1096" s="27">
        <v>8130</v>
      </c>
      <c r="M1096" s="21"/>
      <c r="N1096" s="21"/>
      <c r="O1096" s="21" t="s">
        <v>2080</v>
      </c>
      <c r="P1096" s="21" t="s">
        <v>54</v>
      </c>
      <c r="Q1096" s="28">
        <v>46112</v>
      </c>
      <c r="R1096" s="29">
        <v>46112.4416666667</v>
      </c>
      <c r="S1096" s="21" t="s">
        <v>1000</v>
      </c>
      <c r="T1096" s="21"/>
      <c r="U1096" s="21" t="s">
        <v>1001</v>
      </c>
      <c r="V1096" s="29">
        <v>46112.4416203704</v>
      </c>
      <c r="W1096">
        <f>VLOOKUP(H1096,物料編碼!A:B,2,0)</f>
        <v>1300109002</v>
      </c>
      <c r="X1096">
        <v>1300109</v>
      </c>
      <c r="Y1096" t="str">
        <f>VLOOKUP(X1096,物料編碼!D:G,4,0)</f>
        <v>面精肉</v>
      </c>
      <c r="Z1096" t="str">
        <f>VLOOKUP(C1096,客戶屬性1!A:C,2,0)</f>
        <v>三明有限公司</v>
      </c>
      <c r="AA1096">
        <f>IF(COUNTIF($O$1:O1096,O1096)=1,L1096,0)</f>
        <v>0</v>
      </c>
    </row>
    <row r="1097" customHeight="1" spans="1:27">
      <c r="A1097" s="21" t="s">
        <v>2081</v>
      </c>
      <c r="B1097" s="21" t="s">
        <v>45</v>
      </c>
      <c r="C1097" s="21" t="s">
        <v>1064</v>
      </c>
      <c r="D1097" s="21" t="s">
        <v>1065</v>
      </c>
      <c r="E1097" s="21" t="s">
        <v>1066</v>
      </c>
      <c r="F1097" s="21" t="s">
        <v>49</v>
      </c>
      <c r="G1097" s="21" t="s">
        <v>89</v>
      </c>
      <c r="H1097" s="21" t="s">
        <v>63</v>
      </c>
      <c r="I1097" s="26">
        <v>5</v>
      </c>
      <c r="J1097" s="26">
        <v>125</v>
      </c>
      <c r="K1097" s="21" t="s">
        <v>52</v>
      </c>
      <c r="L1097" s="27">
        <v>4075</v>
      </c>
      <c r="M1097" s="21"/>
      <c r="N1097" s="21"/>
      <c r="O1097" s="21" t="s">
        <v>2082</v>
      </c>
      <c r="P1097" s="21" t="s">
        <v>54</v>
      </c>
      <c r="Q1097" s="28">
        <v>46113</v>
      </c>
      <c r="R1097" s="29">
        <v>46112.4252777778</v>
      </c>
      <c r="S1097" s="21" t="s">
        <v>1068</v>
      </c>
      <c r="T1097" s="21"/>
      <c r="U1097" s="21" t="s">
        <v>1065</v>
      </c>
      <c r="V1097" s="29">
        <v>46112.4252199074</v>
      </c>
      <c r="W1097">
        <f>VLOOKUP(H1097,物料編碼!A:B,2,0)</f>
        <v>1300109002</v>
      </c>
      <c r="X1097">
        <v>1300109</v>
      </c>
      <c r="Y1097" t="str">
        <f>VLOOKUP(X1097,物料編碼!D:G,4,0)</f>
        <v>面精肉</v>
      </c>
      <c r="Z1097" t="str">
        <f>VLOOKUP(C1097,客戶屬性1!A:C,2,0)</f>
        <v>明兴食品有限公司(元朗)</v>
      </c>
      <c r="AA1097">
        <f>IF(COUNTIF($O$1:O1097,O1097)=1,L1097,0)</f>
        <v>4075</v>
      </c>
    </row>
    <row r="1098" customHeight="1" spans="1:27">
      <c r="A1098" s="21" t="s">
        <v>2083</v>
      </c>
      <c r="B1098" s="21" t="s">
        <v>45</v>
      </c>
      <c r="C1098" s="21" t="s">
        <v>72</v>
      </c>
      <c r="D1098" s="21" t="s">
        <v>73</v>
      </c>
      <c r="E1098" s="21" t="s">
        <v>74</v>
      </c>
      <c r="F1098" s="21" t="s">
        <v>49</v>
      </c>
      <c r="G1098" s="21" t="s">
        <v>50</v>
      </c>
      <c r="H1098" s="21" t="s">
        <v>75</v>
      </c>
      <c r="I1098" s="26">
        <v>1</v>
      </c>
      <c r="J1098" s="26">
        <v>15</v>
      </c>
      <c r="K1098" s="21" t="s">
        <v>52</v>
      </c>
      <c r="L1098" s="27">
        <v>195</v>
      </c>
      <c r="M1098" s="21"/>
      <c r="N1098" s="21"/>
      <c r="O1098" s="21" t="s">
        <v>2084</v>
      </c>
      <c r="P1098" s="21" t="s">
        <v>54</v>
      </c>
      <c r="Q1098" s="28">
        <v>46112</v>
      </c>
      <c r="R1098" s="29">
        <v>46112.3951851852</v>
      </c>
      <c r="S1098" s="21" t="s">
        <v>77</v>
      </c>
      <c r="T1098" s="21"/>
      <c r="U1098" s="21" t="s">
        <v>74</v>
      </c>
      <c r="V1098" s="29">
        <v>46112.3951273148</v>
      </c>
      <c r="W1098">
        <f>VLOOKUP(H1098,物料編碼!A:B,2,0)</f>
        <v>1300603040</v>
      </c>
      <c r="X1098">
        <v>1300603</v>
      </c>
      <c r="Y1098" t="str">
        <f>VLOOKUP(X1098,物料編碼!D:G,4,0)</f>
        <v>帶骨全腿</v>
      </c>
      <c r="Z1098" t="str">
        <f>VLOOKUP(C1098,客戶屬性1!A:C,2,0)</f>
        <v>恒辉贸易公司</v>
      </c>
      <c r="AA1098">
        <f>IF(COUNTIF($O$1:O1098,O1098)=1,L1098,0)</f>
        <v>195</v>
      </c>
    </row>
    <row r="1099" customHeight="1" spans="1:27">
      <c r="A1099" s="21" t="s">
        <v>2085</v>
      </c>
      <c r="B1099" s="21" t="s">
        <v>45</v>
      </c>
      <c r="C1099" s="21" t="s">
        <v>158</v>
      </c>
      <c r="D1099" s="21" t="s">
        <v>159</v>
      </c>
      <c r="E1099" s="21" t="s">
        <v>160</v>
      </c>
      <c r="F1099" s="21" t="s">
        <v>49</v>
      </c>
      <c r="G1099" s="21" t="s">
        <v>68</v>
      </c>
      <c r="H1099" s="21" t="s">
        <v>117</v>
      </c>
      <c r="I1099" s="26">
        <v>10</v>
      </c>
      <c r="J1099" s="26">
        <v>150</v>
      </c>
      <c r="K1099" s="21" t="s">
        <v>52</v>
      </c>
      <c r="L1099" s="27">
        <v>2217</v>
      </c>
      <c r="M1099" s="21"/>
      <c r="N1099" s="21"/>
      <c r="O1099" s="21" t="s">
        <v>2086</v>
      </c>
      <c r="P1099" s="21" t="s">
        <v>54</v>
      </c>
      <c r="Q1099" s="28">
        <v>46113</v>
      </c>
      <c r="R1099" s="29">
        <v>46112.3747106481</v>
      </c>
      <c r="S1099" s="21" t="s">
        <v>163</v>
      </c>
      <c r="T1099" s="21"/>
      <c r="U1099" s="21" t="s">
        <v>164</v>
      </c>
      <c r="V1099" s="29">
        <v>46112.3746527778</v>
      </c>
      <c r="W1099">
        <f>VLOOKUP(H1099,物料編碼!A:B,2,0)</f>
        <v>1300607015</v>
      </c>
      <c r="X1099">
        <v>1300607</v>
      </c>
      <c r="Y1099" t="str">
        <f>VLOOKUP(X1099,物料編碼!D:G,4,0)</f>
        <v>帶皮腿扒</v>
      </c>
      <c r="Z1099" t="str">
        <f>VLOOKUP(C1099,客戶屬性1!A:C,2,0)</f>
        <v>先进食品国际有限公司</v>
      </c>
      <c r="AA1099">
        <f>IF(COUNTIF($O$1:O1099,O1099)=1,L1099,0)</f>
        <v>2217</v>
      </c>
    </row>
    <row r="1100" customHeight="1" spans="1:27">
      <c r="A1100" s="21" t="s">
        <v>2087</v>
      </c>
      <c r="B1100" s="21" t="s">
        <v>45</v>
      </c>
      <c r="C1100" s="21" t="s">
        <v>235</v>
      </c>
      <c r="D1100" s="21" t="s">
        <v>236</v>
      </c>
      <c r="E1100" s="21" t="s">
        <v>237</v>
      </c>
      <c r="F1100" s="21" t="s">
        <v>49</v>
      </c>
      <c r="G1100" s="21" t="s">
        <v>238</v>
      </c>
      <c r="H1100" s="21" t="s">
        <v>117</v>
      </c>
      <c r="I1100" s="26">
        <v>10</v>
      </c>
      <c r="J1100" s="26">
        <v>150</v>
      </c>
      <c r="K1100" s="21" t="s">
        <v>52</v>
      </c>
      <c r="L1100" s="27">
        <v>2217</v>
      </c>
      <c r="M1100" s="21"/>
      <c r="N1100" s="21"/>
      <c r="O1100" s="21" t="s">
        <v>2088</v>
      </c>
      <c r="P1100" s="21" t="s">
        <v>54</v>
      </c>
      <c r="Q1100" s="28">
        <v>46112</v>
      </c>
      <c r="R1100" s="29">
        <v>46111.6631365741</v>
      </c>
      <c r="S1100" s="21" t="s">
        <v>241</v>
      </c>
      <c r="T1100" s="21"/>
      <c r="U1100" s="21" t="s">
        <v>237</v>
      </c>
      <c r="V1100" s="29">
        <v>46111.6630787037</v>
      </c>
      <c r="W1100">
        <f>VLOOKUP(H1100,物料編碼!A:B,2,0)</f>
        <v>1300607015</v>
      </c>
      <c r="X1100">
        <v>1300607</v>
      </c>
      <c r="Y1100" t="str">
        <f>VLOOKUP(X1100,物料編碼!D:G,4,0)</f>
        <v>帶皮腿扒</v>
      </c>
      <c r="Z1100" t="str">
        <f>VLOOKUP(C1100,客戶屬性1!A:C,2,0)</f>
        <v>联合林记食品有限公司</v>
      </c>
      <c r="AA1100">
        <f>IF(COUNTIF($O$1:O1100,O1100)=1,L1100,0)</f>
        <v>2217</v>
      </c>
    </row>
    <row r="1101" customHeight="1" spans="1:27">
      <c r="A1101" s="21" t="s">
        <v>2089</v>
      </c>
      <c r="B1101" s="21" t="s">
        <v>45</v>
      </c>
      <c r="C1101" s="21" t="s">
        <v>235</v>
      </c>
      <c r="D1101" s="21" t="s">
        <v>236</v>
      </c>
      <c r="E1101" s="21" t="s">
        <v>237</v>
      </c>
      <c r="F1101" s="21" t="s">
        <v>49</v>
      </c>
      <c r="G1101" s="21" t="s">
        <v>238</v>
      </c>
      <c r="H1101" s="21" t="s">
        <v>190</v>
      </c>
      <c r="I1101" s="26">
        <v>8</v>
      </c>
      <c r="J1101" s="26">
        <v>96</v>
      </c>
      <c r="K1101" s="21" t="s">
        <v>52</v>
      </c>
      <c r="L1101" s="27">
        <v>1516.8</v>
      </c>
      <c r="M1101" s="21"/>
      <c r="N1101" s="21"/>
      <c r="O1101" s="21" t="s">
        <v>2090</v>
      </c>
      <c r="P1101" s="21" t="s">
        <v>54</v>
      </c>
      <c r="Q1101" s="28">
        <v>46112</v>
      </c>
      <c r="R1101" s="29">
        <v>46111.6372106482</v>
      </c>
      <c r="S1101" s="21" t="s">
        <v>241</v>
      </c>
      <c r="T1101" s="21"/>
      <c r="U1101" s="21" t="s">
        <v>237</v>
      </c>
      <c r="V1101" s="29">
        <v>46111.6371759259</v>
      </c>
      <c r="W1101">
        <f>VLOOKUP(H1101,物料編碼!A:B,2,0)</f>
        <v>1300609001</v>
      </c>
      <c r="X1101">
        <v>1300609</v>
      </c>
      <c r="Y1101" t="str">
        <f>VLOOKUP(X1101,物料編碼!D:G,4,0)</f>
        <v>去皮上腿肉</v>
      </c>
      <c r="Z1101" t="str">
        <f>VLOOKUP(C1101,客戶屬性1!A:C,2,0)</f>
        <v>联合林记食品有限公司</v>
      </c>
      <c r="AA1101">
        <f>IF(COUNTIF($O$1:O1101,O1101)=1,L1101,0)</f>
        <v>1516.8</v>
      </c>
    </row>
    <row r="1102" customHeight="1" spans="1:27">
      <c r="A1102" s="21" t="s">
        <v>2091</v>
      </c>
      <c r="B1102" s="21" t="s">
        <v>45</v>
      </c>
      <c r="C1102" s="21" t="s">
        <v>141</v>
      </c>
      <c r="D1102" s="21" t="s">
        <v>142</v>
      </c>
      <c r="E1102" s="21" t="s">
        <v>142</v>
      </c>
      <c r="F1102" s="21" t="s">
        <v>143</v>
      </c>
      <c r="G1102" s="21" t="s">
        <v>100</v>
      </c>
      <c r="H1102" s="21" t="s">
        <v>117</v>
      </c>
      <c r="I1102" s="26">
        <v>3</v>
      </c>
      <c r="J1102" s="26">
        <v>45</v>
      </c>
      <c r="K1102" s="21" t="s">
        <v>52</v>
      </c>
      <c r="L1102" s="27">
        <v>1585.1</v>
      </c>
      <c r="M1102" s="21"/>
      <c r="N1102" s="21"/>
      <c r="O1102" s="21" t="s">
        <v>2092</v>
      </c>
      <c r="P1102" s="21" t="s">
        <v>54</v>
      </c>
      <c r="Q1102" s="28">
        <v>46112</v>
      </c>
      <c r="R1102" s="29">
        <v>46111.4979398148</v>
      </c>
      <c r="S1102" s="21" t="s">
        <v>145</v>
      </c>
      <c r="T1102" s="21"/>
      <c r="U1102" s="21" t="s">
        <v>142</v>
      </c>
      <c r="V1102" s="29">
        <v>46111.4978819444</v>
      </c>
      <c r="W1102">
        <f>VLOOKUP(H1102,物料編碼!A:B,2,0)</f>
        <v>1300607015</v>
      </c>
      <c r="X1102">
        <v>1300607</v>
      </c>
      <c r="Y1102" t="str">
        <f>VLOOKUP(X1102,物料編碼!D:G,4,0)</f>
        <v>帶皮腿扒</v>
      </c>
      <c r="Z1102" t="str">
        <f>VLOOKUP(C1102,客戶屬性1!A:C,2,0)</f>
        <v>新昌冻肉</v>
      </c>
      <c r="AA1102">
        <f>IF(COUNTIF($O$1:O1102,O1102)=1,L1102,0)</f>
        <v>1585.1</v>
      </c>
    </row>
    <row r="1103" customHeight="1" spans="1:27">
      <c r="A1103" s="21" t="s">
        <v>2091</v>
      </c>
      <c r="B1103" s="21" t="s">
        <v>45</v>
      </c>
      <c r="C1103" s="21" t="s">
        <v>141</v>
      </c>
      <c r="D1103" s="21" t="s">
        <v>142</v>
      </c>
      <c r="E1103" s="21" t="s">
        <v>142</v>
      </c>
      <c r="F1103" s="21" t="s">
        <v>143</v>
      </c>
      <c r="G1103" s="21" t="s">
        <v>100</v>
      </c>
      <c r="H1103" s="21" t="s">
        <v>60</v>
      </c>
      <c r="I1103" s="26">
        <v>1</v>
      </c>
      <c r="J1103" s="26">
        <v>25</v>
      </c>
      <c r="K1103" s="21" t="s">
        <v>52</v>
      </c>
      <c r="L1103" s="27">
        <v>1585.1</v>
      </c>
      <c r="M1103" s="21"/>
      <c r="N1103" s="21"/>
      <c r="O1103" s="21" t="s">
        <v>2092</v>
      </c>
      <c r="P1103" s="21" t="s">
        <v>54</v>
      </c>
      <c r="Q1103" s="28">
        <v>46112</v>
      </c>
      <c r="R1103" s="29">
        <v>46111.4979398148</v>
      </c>
      <c r="S1103" s="21" t="s">
        <v>145</v>
      </c>
      <c r="T1103" s="21"/>
      <c r="U1103" s="21" t="s">
        <v>142</v>
      </c>
      <c r="V1103" s="29">
        <v>46111.4978819444</v>
      </c>
      <c r="W1103">
        <f>VLOOKUP(H1103,物料編碼!A:B,2,0)</f>
        <v>1300101043</v>
      </c>
      <c r="X1103">
        <v>1300101</v>
      </c>
      <c r="Y1103" t="str">
        <f>VLOOKUP(X1103,物料編碼!D:G,4,0)</f>
        <v>一號肉</v>
      </c>
      <c r="Z1103" t="str">
        <f>VLOOKUP(C1103,客戶屬性1!A:C,2,0)</f>
        <v>新昌冻肉</v>
      </c>
      <c r="AA1103">
        <f>IF(COUNTIF($O$1:O1103,O1103)=1,L1103,0)</f>
        <v>0</v>
      </c>
    </row>
    <row r="1104" customHeight="1" spans="1:27">
      <c r="A1104" s="21" t="s">
        <v>2093</v>
      </c>
      <c r="B1104" s="21" t="s">
        <v>45</v>
      </c>
      <c r="C1104" s="21" t="s">
        <v>235</v>
      </c>
      <c r="D1104" s="21" t="s">
        <v>236</v>
      </c>
      <c r="E1104" s="21" t="s">
        <v>237</v>
      </c>
      <c r="F1104" s="21" t="s">
        <v>49</v>
      </c>
      <c r="G1104" s="21" t="s">
        <v>238</v>
      </c>
      <c r="H1104" s="21" t="s">
        <v>190</v>
      </c>
      <c r="I1104" s="26">
        <v>16</v>
      </c>
      <c r="J1104" s="26">
        <v>192</v>
      </c>
      <c r="K1104" s="21" t="s">
        <v>52</v>
      </c>
      <c r="L1104" s="27">
        <v>3033.6</v>
      </c>
      <c r="M1104" s="21"/>
      <c r="N1104" s="21"/>
      <c r="O1104" s="21" t="s">
        <v>2094</v>
      </c>
      <c r="P1104" s="21" t="s">
        <v>54</v>
      </c>
      <c r="Q1104" s="28">
        <v>46111</v>
      </c>
      <c r="R1104" s="29">
        <v>46111.4540393519</v>
      </c>
      <c r="S1104" s="21" t="s">
        <v>241</v>
      </c>
      <c r="T1104" s="21"/>
      <c r="U1104" s="21" t="s">
        <v>237</v>
      </c>
      <c r="V1104" s="29">
        <v>46111.4539930556</v>
      </c>
      <c r="W1104">
        <f>VLOOKUP(H1104,物料編碼!A:B,2,0)</f>
        <v>1300609001</v>
      </c>
      <c r="X1104">
        <v>1300609</v>
      </c>
      <c r="Y1104" t="str">
        <f>VLOOKUP(X1104,物料編碼!D:G,4,0)</f>
        <v>去皮上腿肉</v>
      </c>
      <c r="Z1104" t="str">
        <f>VLOOKUP(C1104,客戶屬性1!A:C,2,0)</f>
        <v>联合林记食品有限公司</v>
      </c>
      <c r="AA1104">
        <f>IF(COUNTIF($O$1:O1104,O1104)=1,L1104,0)</f>
        <v>3033.6</v>
      </c>
    </row>
    <row r="1105" customHeight="1" spans="1:27">
      <c r="A1105" s="21" t="s">
        <v>2095</v>
      </c>
      <c r="B1105" s="21" t="s">
        <v>45</v>
      </c>
      <c r="C1105" s="21" t="s">
        <v>1072</v>
      </c>
      <c r="D1105" s="21" t="s">
        <v>1073</v>
      </c>
      <c r="E1105" s="21" t="s">
        <v>1074</v>
      </c>
      <c r="F1105" s="21" t="s">
        <v>49</v>
      </c>
      <c r="G1105" s="21" t="s">
        <v>238</v>
      </c>
      <c r="H1105" s="21" t="s">
        <v>117</v>
      </c>
      <c r="I1105" s="26">
        <v>20</v>
      </c>
      <c r="J1105" s="26">
        <v>300</v>
      </c>
      <c r="K1105" s="21" t="s">
        <v>52</v>
      </c>
      <c r="L1105" s="27">
        <v>4434</v>
      </c>
      <c r="M1105" s="21"/>
      <c r="N1105" s="21"/>
      <c r="O1105" s="21" t="s">
        <v>2096</v>
      </c>
      <c r="P1105" s="21" t="s">
        <v>54</v>
      </c>
      <c r="Q1105" s="28">
        <v>46111</v>
      </c>
      <c r="R1105" s="29">
        <v>46111.4431481482</v>
      </c>
      <c r="S1105" s="21" t="s">
        <v>1076</v>
      </c>
      <c r="T1105" s="21"/>
      <c r="U1105" s="21" t="s">
        <v>1077</v>
      </c>
      <c r="V1105" s="29">
        <v>46111.4431018519</v>
      </c>
      <c r="W1105">
        <f>VLOOKUP(H1105,物料編碼!A:B,2,0)</f>
        <v>1300607015</v>
      </c>
      <c r="X1105">
        <v>1300607</v>
      </c>
      <c r="Y1105" t="str">
        <f>VLOOKUP(X1105,物料編碼!D:G,4,0)</f>
        <v>帶皮腿扒</v>
      </c>
      <c r="Z1105" t="str">
        <f>VLOOKUP(C1105,客戶屬性1!A:C,2,0)</f>
        <v>昭楠贸易有限公司</v>
      </c>
      <c r="AA1105">
        <f>IF(COUNTIF($O$1:O1105,O1105)=1,L1105,0)</f>
        <v>4434</v>
      </c>
    </row>
    <row r="1106" customHeight="1" spans="1:27">
      <c r="A1106" s="21" t="s">
        <v>2097</v>
      </c>
      <c r="B1106" s="21" t="s">
        <v>45</v>
      </c>
      <c r="C1106" s="21" t="s">
        <v>1072</v>
      </c>
      <c r="D1106" s="21" t="s">
        <v>1073</v>
      </c>
      <c r="E1106" s="21" t="s">
        <v>1074</v>
      </c>
      <c r="F1106" s="21" t="s">
        <v>49</v>
      </c>
      <c r="G1106" s="21" t="s">
        <v>238</v>
      </c>
      <c r="H1106" s="21" t="s">
        <v>190</v>
      </c>
      <c r="I1106" s="26">
        <v>20</v>
      </c>
      <c r="J1106" s="26">
        <v>240</v>
      </c>
      <c r="K1106" s="21" t="s">
        <v>52</v>
      </c>
      <c r="L1106" s="27">
        <v>3792</v>
      </c>
      <c r="M1106" s="21"/>
      <c r="N1106" s="21"/>
      <c r="O1106" s="21" t="s">
        <v>2098</v>
      </c>
      <c r="P1106" s="21" t="s">
        <v>54</v>
      </c>
      <c r="Q1106" s="28">
        <v>46111</v>
      </c>
      <c r="R1106" s="29">
        <v>46111.4419560185</v>
      </c>
      <c r="S1106" s="21" t="s">
        <v>1076</v>
      </c>
      <c r="T1106" s="21"/>
      <c r="U1106" s="21" t="s">
        <v>1077</v>
      </c>
      <c r="V1106" s="29">
        <v>46111.4419097222</v>
      </c>
      <c r="W1106">
        <f>VLOOKUP(H1106,物料編碼!A:B,2,0)</f>
        <v>1300609001</v>
      </c>
      <c r="X1106">
        <v>1300609</v>
      </c>
      <c r="Y1106" t="str">
        <f>VLOOKUP(X1106,物料編碼!D:G,4,0)</f>
        <v>去皮上腿肉</v>
      </c>
      <c r="Z1106" t="str">
        <f>VLOOKUP(C1106,客戶屬性1!A:C,2,0)</f>
        <v>昭楠贸易有限公司</v>
      </c>
      <c r="AA1106">
        <f>IF(COUNTIF($O$1:O1106,O1106)=1,L1106,0)</f>
        <v>3792</v>
      </c>
    </row>
    <row r="1107" customHeight="1" spans="1:27">
      <c r="A1107" s="21" t="s">
        <v>2099</v>
      </c>
      <c r="B1107" s="21" t="s">
        <v>45</v>
      </c>
      <c r="C1107" s="21" t="s">
        <v>158</v>
      </c>
      <c r="D1107" s="21" t="s">
        <v>159</v>
      </c>
      <c r="E1107" s="21" t="s">
        <v>160</v>
      </c>
      <c r="F1107" s="21" t="s">
        <v>49</v>
      </c>
      <c r="G1107" s="21" t="s">
        <v>68</v>
      </c>
      <c r="H1107" s="21" t="s">
        <v>117</v>
      </c>
      <c r="I1107" s="26">
        <v>10</v>
      </c>
      <c r="J1107" s="26">
        <v>150</v>
      </c>
      <c r="K1107" s="21" t="s">
        <v>52</v>
      </c>
      <c r="L1107" s="27">
        <v>2217</v>
      </c>
      <c r="M1107" s="21"/>
      <c r="N1107" s="21"/>
      <c r="O1107" s="21" t="s">
        <v>2100</v>
      </c>
      <c r="P1107" s="21" t="s">
        <v>54</v>
      </c>
      <c r="Q1107" s="28">
        <v>46112</v>
      </c>
      <c r="R1107" s="29">
        <v>46111.3888425926</v>
      </c>
      <c r="S1107" s="21" t="s">
        <v>163</v>
      </c>
      <c r="T1107" s="21"/>
      <c r="U1107" s="21" t="s">
        <v>164</v>
      </c>
      <c r="V1107" s="29">
        <v>46111.3887731481</v>
      </c>
      <c r="W1107">
        <f>VLOOKUP(H1107,物料編碼!A:B,2,0)</f>
        <v>1300607015</v>
      </c>
      <c r="X1107">
        <v>1300607</v>
      </c>
      <c r="Y1107" t="str">
        <f>VLOOKUP(X1107,物料編碼!D:G,4,0)</f>
        <v>帶皮腿扒</v>
      </c>
      <c r="Z1107" t="str">
        <f>VLOOKUP(C1107,客戶屬性1!A:C,2,0)</f>
        <v>先进食品国际有限公司</v>
      </c>
      <c r="AA1107">
        <f>IF(COUNTIF($O$1:O1107,O1107)=1,L1107,0)</f>
        <v>2217</v>
      </c>
    </row>
    <row r="1108" customHeight="1" spans="1:27">
      <c r="A1108" s="21" t="s">
        <v>2101</v>
      </c>
      <c r="B1108" s="21" t="s">
        <v>45</v>
      </c>
      <c r="C1108" s="21" t="s">
        <v>538</v>
      </c>
      <c r="D1108" s="21" t="s">
        <v>539</v>
      </c>
      <c r="E1108" s="21" t="s">
        <v>540</v>
      </c>
      <c r="F1108" s="21" t="s">
        <v>49</v>
      </c>
      <c r="G1108" s="21" t="s">
        <v>541</v>
      </c>
      <c r="H1108" s="21" t="s">
        <v>63</v>
      </c>
      <c r="I1108" s="26">
        <v>2</v>
      </c>
      <c r="J1108" s="26">
        <v>50</v>
      </c>
      <c r="K1108" s="21" t="s">
        <v>52</v>
      </c>
      <c r="L1108" s="27">
        <v>1630</v>
      </c>
      <c r="M1108" s="21"/>
      <c r="N1108" s="21"/>
      <c r="O1108" s="21" t="s">
        <v>2102</v>
      </c>
      <c r="P1108" s="21" t="s">
        <v>54</v>
      </c>
      <c r="Q1108" s="28">
        <v>46109</v>
      </c>
      <c r="R1108" s="29">
        <v>46109.4514467593</v>
      </c>
      <c r="S1108" s="21" t="s">
        <v>543</v>
      </c>
      <c r="T1108" s="21"/>
      <c r="U1108" s="21" t="s">
        <v>539</v>
      </c>
      <c r="V1108" s="29">
        <v>46109.4513888889</v>
      </c>
      <c r="W1108">
        <f>VLOOKUP(H1108,物料編碼!A:B,2,0)</f>
        <v>1300109002</v>
      </c>
      <c r="X1108">
        <v>1300109</v>
      </c>
      <c r="Y1108" t="str">
        <f>VLOOKUP(X1108,物料編碼!D:G,4,0)</f>
        <v>面精肉</v>
      </c>
      <c r="Z1108" t="str">
        <f>VLOOKUP(C1108,客戶屬性1!A:C,2,0)</f>
        <v>诚信冻肉有限公司</v>
      </c>
      <c r="AA1108">
        <f>IF(COUNTIF($O$1:O1108,O1108)=1,L1108,0)</f>
        <v>1630</v>
      </c>
    </row>
    <row r="1109" customHeight="1" spans="1:27">
      <c r="A1109" s="21" t="s">
        <v>2103</v>
      </c>
      <c r="B1109" s="21" t="s">
        <v>45</v>
      </c>
      <c r="C1109" s="21" t="s">
        <v>235</v>
      </c>
      <c r="D1109" s="21" t="s">
        <v>236</v>
      </c>
      <c r="E1109" s="21" t="s">
        <v>237</v>
      </c>
      <c r="F1109" s="21" t="s">
        <v>49</v>
      </c>
      <c r="G1109" s="21" t="s">
        <v>238</v>
      </c>
      <c r="H1109" s="21" t="s">
        <v>117</v>
      </c>
      <c r="I1109" s="26">
        <v>2</v>
      </c>
      <c r="J1109" s="26">
        <v>30</v>
      </c>
      <c r="K1109" s="21" t="s">
        <v>52</v>
      </c>
      <c r="L1109" s="27">
        <v>1498.2</v>
      </c>
      <c r="M1109" s="21"/>
      <c r="N1109" s="21"/>
      <c r="O1109" s="21" t="s">
        <v>2104</v>
      </c>
      <c r="P1109" s="21" t="s">
        <v>54</v>
      </c>
      <c r="Q1109" s="28">
        <v>46109</v>
      </c>
      <c r="R1109" s="29">
        <v>46109.4212962963</v>
      </c>
      <c r="S1109" s="21" t="s">
        <v>241</v>
      </c>
      <c r="T1109" s="21"/>
      <c r="U1109" s="21" t="s">
        <v>237</v>
      </c>
      <c r="V1109" s="29">
        <v>46109.42125</v>
      </c>
      <c r="W1109">
        <f>VLOOKUP(H1109,物料編碼!A:B,2,0)</f>
        <v>1300607015</v>
      </c>
      <c r="X1109">
        <v>1300607</v>
      </c>
      <c r="Y1109" t="str">
        <f>VLOOKUP(X1109,物料編碼!D:G,4,0)</f>
        <v>帶皮腿扒</v>
      </c>
      <c r="Z1109" t="str">
        <f>VLOOKUP(C1109,客戶屬性1!A:C,2,0)</f>
        <v>联合林记食品有限公司</v>
      </c>
      <c r="AA1109">
        <f>IF(COUNTIF($O$1:O1109,O1109)=1,L1109,0)</f>
        <v>1498.2</v>
      </c>
    </row>
    <row r="1110" customHeight="1" spans="1:27">
      <c r="A1110" s="21" t="s">
        <v>2103</v>
      </c>
      <c r="B1110" s="21" t="s">
        <v>45</v>
      </c>
      <c r="C1110" s="21" t="s">
        <v>235</v>
      </c>
      <c r="D1110" s="21" t="s">
        <v>236</v>
      </c>
      <c r="E1110" s="21" t="s">
        <v>237</v>
      </c>
      <c r="F1110" s="21" t="s">
        <v>49</v>
      </c>
      <c r="G1110" s="21" t="s">
        <v>238</v>
      </c>
      <c r="H1110" s="21" t="s">
        <v>190</v>
      </c>
      <c r="I1110" s="26">
        <v>3</v>
      </c>
      <c r="J1110" s="26">
        <v>36</v>
      </c>
      <c r="K1110" s="21" t="s">
        <v>52</v>
      </c>
      <c r="L1110" s="27">
        <v>1498.2</v>
      </c>
      <c r="M1110" s="21"/>
      <c r="N1110" s="21"/>
      <c r="O1110" s="21" t="s">
        <v>2104</v>
      </c>
      <c r="P1110" s="21" t="s">
        <v>54</v>
      </c>
      <c r="Q1110" s="28">
        <v>46109</v>
      </c>
      <c r="R1110" s="29">
        <v>46109.4212962963</v>
      </c>
      <c r="S1110" s="21" t="s">
        <v>241</v>
      </c>
      <c r="T1110" s="21"/>
      <c r="U1110" s="21" t="s">
        <v>237</v>
      </c>
      <c r="V1110" s="29">
        <v>46109.42125</v>
      </c>
      <c r="W1110">
        <f>VLOOKUP(H1110,物料編碼!A:B,2,0)</f>
        <v>1300609001</v>
      </c>
      <c r="X1110">
        <v>1300609</v>
      </c>
      <c r="Y1110" t="str">
        <f>VLOOKUP(X1110,物料編碼!D:G,4,0)</f>
        <v>去皮上腿肉</v>
      </c>
      <c r="Z1110" t="str">
        <f>VLOOKUP(C1110,客戶屬性1!A:C,2,0)</f>
        <v>联合林记食品有限公司</v>
      </c>
      <c r="AA1110">
        <f>IF(COUNTIF($O$1:O1110,O1110)=1,L1110,0)</f>
        <v>0</v>
      </c>
    </row>
    <row r="1111" customHeight="1" spans="1:27">
      <c r="A1111" s="21" t="s">
        <v>2103</v>
      </c>
      <c r="B1111" s="21" t="s">
        <v>45</v>
      </c>
      <c r="C1111" s="21" t="s">
        <v>235</v>
      </c>
      <c r="D1111" s="21" t="s">
        <v>236</v>
      </c>
      <c r="E1111" s="21" t="s">
        <v>237</v>
      </c>
      <c r="F1111" s="21" t="s">
        <v>49</v>
      </c>
      <c r="G1111" s="21" t="s">
        <v>238</v>
      </c>
      <c r="H1111" s="21" t="s">
        <v>677</v>
      </c>
      <c r="I1111" s="26">
        <v>2</v>
      </c>
      <c r="J1111" s="26">
        <v>30</v>
      </c>
      <c r="K1111" s="21" t="s">
        <v>52</v>
      </c>
      <c r="L1111" s="27">
        <v>1498.2</v>
      </c>
      <c r="M1111" s="21"/>
      <c r="N1111" s="21"/>
      <c r="O1111" s="21" t="s">
        <v>2104</v>
      </c>
      <c r="P1111" s="21" t="s">
        <v>54</v>
      </c>
      <c r="Q1111" s="28">
        <v>46109</v>
      </c>
      <c r="R1111" s="29">
        <v>46109.4212962963</v>
      </c>
      <c r="S1111" s="21" t="s">
        <v>241</v>
      </c>
      <c r="T1111" s="21"/>
      <c r="U1111" s="21" t="s">
        <v>237</v>
      </c>
      <c r="V1111" s="29">
        <v>46109.42125</v>
      </c>
      <c r="W1111">
        <f>VLOOKUP(H1111,物料編碼!A:B,2,0)</f>
        <v>1300603095</v>
      </c>
      <c r="X1111">
        <v>1300603</v>
      </c>
      <c r="Y1111" t="str">
        <f>VLOOKUP(X1111,物料編碼!D:G,4,0)</f>
        <v>帶骨全腿</v>
      </c>
      <c r="Z1111" t="str">
        <f>VLOOKUP(C1111,客戶屬性1!A:C,2,0)</f>
        <v>联合林记食品有限公司</v>
      </c>
      <c r="AA1111">
        <f>IF(COUNTIF($O$1:O1111,O1111)=1,L1111,0)</f>
        <v>0</v>
      </c>
    </row>
    <row r="1112" customHeight="1" spans="1:27">
      <c r="A1112" s="21" t="s">
        <v>2105</v>
      </c>
      <c r="B1112" s="21" t="s">
        <v>45</v>
      </c>
      <c r="C1112" s="21" t="s">
        <v>2106</v>
      </c>
      <c r="D1112" s="21" t="s">
        <v>2107</v>
      </c>
      <c r="E1112" s="21" t="s">
        <v>2108</v>
      </c>
      <c r="F1112" s="21" t="s">
        <v>49</v>
      </c>
      <c r="G1112" s="21" t="s">
        <v>50</v>
      </c>
      <c r="H1112" s="21" t="s">
        <v>190</v>
      </c>
      <c r="I1112" s="26">
        <v>4</v>
      </c>
      <c r="J1112" s="26">
        <v>48</v>
      </c>
      <c r="K1112" s="21" t="s">
        <v>52</v>
      </c>
      <c r="L1112" s="27">
        <v>753.6</v>
      </c>
      <c r="M1112" s="21"/>
      <c r="N1112" s="21"/>
      <c r="O1112" s="21" t="s">
        <v>2109</v>
      </c>
      <c r="P1112" s="21" t="s">
        <v>54</v>
      </c>
      <c r="Q1112" s="28">
        <v>46109</v>
      </c>
      <c r="R1112" s="29">
        <v>46109.3891319444</v>
      </c>
      <c r="S1112" s="21" t="s">
        <v>2110</v>
      </c>
      <c r="T1112" s="21"/>
      <c r="U1112" s="21" t="s">
        <v>2108</v>
      </c>
      <c r="V1112" s="29">
        <v>46109.3890740741</v>
      </c>
      <c r="W1112">
        <f>VLOOKUP(H1112,物料編碼!A:B,2,0)</f>
        <v>1300609001</v>
      </c>
      <c r="X1112">
        <v>1300609</v>
      </c>
      <c r="Y1112" t="str">
        <f>VLOOKUP(X1112,物料編碼!D:G,4,0)</f>
        <v>去皮上腿肉</v>
      </c>
      <c r="Z1112" t="str">
        <f>VLOOKUP(C1112,客戶屬性1!A:C,2,0)</f>
        <v>瑞兴肉食有限公司</v>
      </c>
      <c r="AA1112">
        <f>IF(COUNTIF($O$1:O1112,O1112)=1,L1112,0)</f>
        <v>753.6</v>
      </c>
    </row>
    <row r="1113" customHeight="1" spans="1:27">
      <c r="A1113" s="21" t="s">
        <v>2111</v>
      </c>
      <c r="B1113" s="21" t="s">
        <v>45</v>
      </c>
      <c r="C1113" s="21" t="s">
        <v>158</v>
      </c>
      <c r="D1113" s="21" t="s">
        <v>159</v>
      </c>
      <c r="E1113" s="21" t="s">
        <v>160</v>
      </c>
      <c r="F1113" s="21" t="s">
        <v>49</v>
      </c>
      <c r="G1113" s="21" t="s">
        <v>68</v>
      </c>
      <c r="H1113" s="21" t="s">
        <v>117</v>
      </c>
      <c r="I1113" s="26">
        <v>10</v>
      </c>
      <c r="J1113" s="26">
        <v>150</v>
      </c>
      <c r="K1113" s="21" t="s">
        <v>52</v>
      </c>
      <c r="L1113" s="27">
        <v>2217</v>
      </c>
      <c r="M1113" s="21"/>
      <c r="N1113" s="21"/>
      <c r="O1113" s="21" t="s">
        <v>2112</v>
      </c>
      <c r="P1113" s="21" t="s">
        <v>54</v>
      </c>
      <c r="Q1113" s="28">
        <v>46111</v>
      </c>
      <c r="R1113" s="29">
        <v>46109.3750578704</v>
      </c>
      <c r="S1113" s="21" t="s">
        <v>163</v>
      </c>
      <c r="T1113" s="21"/>
      <c r="U1113" s="21" t="s">
        <v>164</v>
      </c>
      <c r="V1113" s="29">
        <v>46109.3750115741</v>
      </c>
      <c r="W1113">
        <f>VLOOKUP(H1113,物料編碼!A:B,2,0)</f>
        <v>1300607015</v>
      </c>
      <c r="X1113">
        <v>1300607</v>
      </c>
      <c r="Y1113" t="str">
        <f>VLOOKUP(X1113,物料編碼!D:G,4,0)</f>
        <v>帶皮腿扒</v>
      </c>
      <c r="Z1113" t="str">
        <f>VLOOKUP(C1113,客戶屬性1!A:C,2,0)</f>
        <v>先进食品国际有限公司</v>
      </c>
      <c r="AA1113">
        <f>IF(COUNTIF($O$1:O1113,O1113)=1,L1113,0)</f>
        <v>2217</v>
      </c>
    </row>
    <row r="1114" customHeight="1" spans="1:27">
      <c r="A1114" s="21" t="s">
        <v>2113</v>
      </c>
      <c r="B1114" s="21" t="s">
        <v>45</v>
      </c>
      <c r="C1114" s="21" t="s">
        <v>171</v>
      </c>
      <c r="D1114" s="21" t="s">
        <v>172</v>
      </c>
      <c r="E1114" s="21" t="s">
        <v>173</v>
      </c>
      <c r="F1114" s="21" t="s">
        <v>49</v>
      </c>
      <c r="G1114" s="21" t="s">
        <v>174</v>
      </c>
      <c r="H1114" s="21" t="s">
        <v>117</v>
      </c>
      <c r="I1114" s="26">
        <v>20</v>
      </c>
      <c r="J1114" s="26">
        <v>300</v>
      </c>
      <c r="K1114" s="21" t="s">
        <v>52</v>
      </c>
      <c r="L1114" s="27">
        <v>4434</v>
      </c>
      <c r="M1114" s="21"/>
      <c r="N1114" s="21"/>
      <c r="O1114" s="21" t="s">
        <v>2114</v>
      </c>
      <c r="P1114" s="21" t="s">
        <v>54</v>
      </c>
      <c r="Q1114" s="28">
        <v>46109</v>
      </c>
      <c r="R1114" s="29">
        <v>46109.3686226852</v>
      </c>
      <c r="S1114" s="21" t="s">
        <v>177</v>
      </c>
      <c r="T1114" s="21"/>
      <c r="U1114" s="21" t="s">
        <v>172</v>
      </c>
      <c r="V1114" s="29">
        <v>46109.3685763889</v>
      </c>
      <c r="W1114">
        <f>VLOOKUP(H1114,物料編碼!A:B,2,0)</f>
        <v>1300607015</v>
      </c>
      <c r="X1114">
        <v>1300607</v>
      </c>
      <c r="Y1114" t="str">
        <f>VLOOKUP(X1114,物料編碼!D:G,4,0)</f>
        <v>帶皮腿扒</v>
      </c>
      <c r="Z1114" t="str">
        <f>VLOOKUP(C1114,客戶屬性1!A:C,2,0)</f>
        <v>豪气有限公司</v>
      </c>
      <c r="AA1114">
        <f>IF(COUNTIF($O$1:O1114,O1114)=1,L1114,0)</f>
        <v>4434</v>
      </c>
    </row>
    <row r="1115" customHeight="1" spans="1:27">
      <c r="A1115" s="21" t="s">
        <v>2115</v>
      </c>
      <c r="B1115" s="21" t="s">
        <v>45</v>
      </c>
      <c r="C1115" s="21" t="s">
        <v>216</v>
      </c>
      <c r="D1115" s="21" t="s">
        <v>217</v>
      </c>
      <c r="E1115" s="21" t="s">
        <v>218</v>
      </c>
      <c r="F1115" s="21" t="s">
        <v>49</v>
      </c>
      <c r="G1115" s="21" t="s">
        <v>68</v>
      </c>
      <c r="H1115" s="21" t="s">
        <v>161</v>
      </c>
      <c r="I1115" s="26">
        <v>1</v>
      </c>
      <c r="J1115" s="26">
        <v>20</v>
      </c>
      <c r="K1115" s="21" t="s">
        <v>52</v>
      </c>
      <c r="L1115" s="27">
        <v>1860</v>
      </c>
      <c r="M1115" s="21"/>
      <c r="N1115" s="21"/>
      <c r="O1115" s="21" t="s">
        <v>2116</v>
      </c>
      <c r="P1115" s="21" t="s">
        <v>54</v>
      </c>
      <c r="Q1115" s="28">
        <v>46109</v>
      </c>
      <c r="R1115" s="29">
        <v>46108.7397337963</v>
      </c>
      <c r="S1115" s="21" t="s">
        <v>2117</v>
      </c>
      <c r="T1115" s="21"/>
      <c r="U1115" s="21" t="s">
        <v>217</v>
      </c>
      <c r="V1115" s="29">
        <v>46108.7396759259</v>
      </c>
      <c r="W1115">
        <f>VLOOKUP(H1115,物料編碼!A:B,2,0)</f>
        <v>1300501020</v>
      </c>
      <c r="X1115">
        <v>1300501</v>
      </c>
      <c r="Y1115" t="str">
        <f>VLOOKUP(X1115,物料編碼!D:G,4,0)</f>
        <v>羊排</v>
      </c>
      <c r="Z1115" t="str">
        <f>VLOOKUP(C1115,客戶屬性1!A:C,2,0)</f>
        <v>天恒食品有限公司</v>
      </c>
      <c r="AA1115">
        <f>IF(COUNTIF($O$1:O1115,O1115)=1,L1115,0)</f>
        <v>1860</v>
      </c>
    </row>
    <row r="1116" customHeight="1" spans="1:27">
      <c r="A1116" s="21" t="s">
        <v>2118</v>
      </c>
      <c r="B1116" s="21" t="s">
        <v>45</v>
      </c>
      <c r="C1116" s="21" t="s">
        <v>235</v>
      </c>
      <c r="D1116" s="21" t="s">
        <v>236</v>
      </c>
      <c r="E1116" s="21" t="s">
        <v>237</v>
      </c>
      <c r="F1116" s="21" t="s">
        <v>49</v>
      </c>
      <c r="G1116" s="21" t="s">
        <v>238</v>
      </c>
      <c r="H1116" s="21" t="s">
        <v>75</v>
      </c>
      <c r="I1116" s="26">
        <v>2</v>
      </c>
      <c r="J1116" s="26">
        <v>30</v>
      </c>
      <c r="K1116" s="21" t="s">
        <v>52</v>
      </c>
      <c r="L1116" s="27">
        <v>383.7</v>
      </c>
      <c r="M1116" s="21"/>
      <c r="N1116" s="21"/>
      <c r="O1116" s="21" t="s">
        <v>2119</v>
      </c>
      <c r="P1116" s="21" t="s">
        <v>54</v>
      </c>
      <c r="Q1116" s="28">
        <v>46109</v>
      </c>
      <c r="R1116" s="29">
        <v>46108.7280092593</v>
      </c>
      <c r="S1116" s="21" t="s">
        <v>241</v>
      </c>
      <c r="T1116" s="21"/>
      <c r="U1116" s="21" t="s">
        <v>237</v>
      </c>
      <c r="V1116" s="29">
        <v>46108.7279513889</v>
      </c>
      <c r="W1116">
        <f>VLOOKUP(H1116,物料編碼!A:B,2,0)</f>
        <v>1300603040</v>
      </c>
      <c r="X1116">
        <v>1300603</v>
      </c>
      <c r="Y1116" t="str">
        <f>VLOOKUP(X1116,物料編碼!D:G,4,0)</f>
        <v>帶骨全腿</v>
      </c>
      <c r="Z1116" t="str">
        <f>VLOOKUP(C1116,客戶屬性1!A:C,2,0)</f>
        <v>联合林记食品有限公司</v>
      </c>
      <c r="AA1116">
        <f>IF(COUNTIF($O$1:O1116,O1116)=1,L1116,0)</f>
        <v>383.7</v>
      </c>
    </row>
    <row r="1117" customHeight="1" spans="1:27">
      <c r="A1117" s="21" t="s">
        <v>2120</v>
      </c>
      <c r="B1117" s="21" t="s">
        <v>45</v>
      </c>
      <c r="C1117" s="21" t="s">
        <v>216</v>
      </c>
      <c r="D1117" s="21" t="s">
        <v>217</v>
      </c>
      <c r="E1117" s="21" t="s">
        <v>218</v>
      </c>
      <c r="F1117" s="21" t="s">
        <v>49</v>
      </c>
      <c r="G1117" s="21" t="s">
        <v>68</v>
      </c>
      <c r="H1117" s="21" t="s">
        <v>161</v>
      </c>
      <c r="I1117" s="26">
        <v>1</v>
      </c>
      <c r="J1117" s="26">
        <v>20</v>
      </c>
      <c r="K1117" s="21" t="s">
        <v>52</v>
      </c>
      <c r="L1117" s="27">
        <v>1860</v>
      </c>
      <c r="M1117" s="21"/>
      <c r="N1117" s="21"/>
      <c r="O1117" s="21" t="s">
        <v>2121</v>
      </c>
      <c r="P1117" s="21" t="s">
        <v>183</v>
      </c>
      <c r="Q1117" s="28">
        <v>46109</v>
      </c>
      <c r="R1117" s="29">
        <v>46108.6745717593</v>
      </c>
      <c r="S1117" s="21" t="s">
        <v>221</v>
      </c>
      <c r="T1117" s="21"/>
      <c r="U1117" s="21" t="s">
        <v>222</v>
      </c>
      <c r="V1117" s="29">
        <v>46108.674525463</v>
      </c>
      <c r="W1117">
        <f>VLOOKUP(H1117,物料編碼!A:B,2,0)</f>
        <v>1300501020</v>
      </c>
      <c r="X1117">
        <v>1300501</v>
      </c>
      <c r="Y1117" t="str">
        <f>VLOOKUP(X1117,物料編碼!D:G,4,0)</f>
        <v>羊排</v>
      </c>
      <c r="Z1117" t="str">
        <f>VLOOKUP(C1117,客戶屬性1!A:C,2,0)</f>
        <v>天恒食品有限公司</v>
      </c>
      <c r="AA1117">
        <f>IF(COUNTIF($O$1:O1117,O1117)=1,L1117,0)</f>
        <v>1860</v>
      </c>
    </row>
    <row r="1118" customHeight="1" spans="1:27">
      <c r="A1118" s="21" t="s">
        <v>2122</v>
      </c>
      <c r="B1118" s="21" t="s">
        <v>45</v>
      </c>
      <c r="C1118" s="21" t="s">
        <v>2106</v>
      </c>
      <c r="D1118" s="21" t="s">
        <v>2107</v>
      </c>
      <c r="E1118" s="21" t="s">
        <v>2108</v>
      </c>
      <c r="F1118" s="21" t="s">
        <v>49</v>
      </c>
      <c r="G1118" s="21" t="s">
        <v>50</v>
      </c>
      <c r="H1118" s="21" t="s">
        <v>190</v>
      </c>
      <c r="I1118" s="26">
        <v>5</v>
      </c>
      <c r="J1118" s="26">
        <v>60</v>
      </c>
      <c r="K1118" s="21" t="s">
        <v>52</v>
      </c>
      <c r="L1118" s="27">
        <v>942</v>
      </c>
      <c r="M1118" s="21"/>
      <c r="N1118" s="21"/>
      <c r="O1118" s="21" t="s">
        <v>2123</v>
      </c>
      <c r="P1118" s="21" t="s">
        <v>54</v>
      </c>
      <c r="Q1118" s="28">
        <v>46109</v>
      </c>
      <c r="R1118" s="29">
        <v>46108.6126041667</v>
      </c>
      <c r="S1118" s="21" t="s">
        <v>2110</v>
      </c>
      <c r="T1118" s="21"/>
      <c r="U1118" s="21" t="s">
        <v>2108</v>
      </c>
      <c r="V1118" s="29">
        <v>46108.6125462963</v>
      </c>
      <c r="W1118">
        <f>VLOOKUP(H1118,物料編碼!A:B,2,0)</f>
        <v>1300609001</v>
      </c>
      <c r="X1118">
        <v>1300609</v>
      </c>
      <c r="Y1118" t="str">
        <f>VLOOKUP(X1118,物料編碼!D:G,4,0)</f>
        <v>去皮上腿肉</v>
      </c>
      <c r="Z1118" t="str">
        <f>VLOOKUP(C1118,客戶屬性1!A:C,2,0)</f>
        <v>瑞兴肉食有限公司</v>
      </c>
      <c r="AA1118">
        <f>IF(COUNTIF($O$1:O1118,O1118)=1,L1118,0)</f>
        <v>942</v>
      </c>
    </row>
    <row r="1119" customHeight="1" spans="1:27">
      <c r="A1119" s="21" t="s">
        <v>2124</v>
      </c>
      <c r="B1119" s="21" t="s">
        <v>45</v>
      </c>
      <c r="C1119" s="21" t="s">
        <v>235</v>
      </c>
      <c r="D1119" s="21" t="s">
        <v>236</v>
      </c>
      <c r="E1119" s="21" t="s">
        <v>237</v>
      </c>
      <c r="F1119" s="21" t="s">
        <v>49</v>
      </c>
      <c r="G1119" s="21" t="s">
        <v>238</v>
      </c>
      <c r="H1119" s="21" t="s">
        <v>190</v>
      </c>
      <c r="I1119" s="26">
        <v>10</v>
      </c>
      <c r="J1119" s="26">
        <v>120</v>
      </c>
      <c r="K1119" s="21" t="s">
        <v>52</v>
      </c>
      <c r="L1119" s="27">
        <v>1884</v>
      </c>
      <c r="M1119" s="21"/>
      <c r="N1119" s="21"/>
      <c r="O1119" s="21" t="s">
        <v>2125</v>
      </c>
      <c r="P1119" s="21" t="s">
        <v>54</v>
      </c>
      <c r="Q1119" s="28">
        <v>46109</v>
      </c>
      <c r="R1119" s="29">
        <v>46108.5502314815</v>
      </c>
      <c r="S1119" s="21" t="s">
        <v>241</v>
      </c>
      <c r="T1119" s="21"/>
      <c r="U1119" s="21" t="s">
        <v>237</v>
      </c>
      <c r="V1119" s="29">
        <v>46108.5501736111</v>
      </c>
      <c r="W1119">
        <f>VLOOKUP(H1119,物料編碼!A:B,2,0)</f>
        <v>1300609001</v>
      </c>
      <c r="X1119">
        <v>1300609</v>
      </c>
      <c r="Y1119" t="str">
        <f>VLOOKUP(X1119,物料編碼!D:G,4,0)</f>
        <v>去皮上腿肉</v>
      </c>
      <c r="Z1119" t="str">
        <f>VLOOKUP(C1119,客戶屬性1!A:C,2,0)</f>
        <v>联合林记食品有限公司</v>
      </c>
      <c r="AA1119">
        <f>IF(COUNTIF($O$1:O1119,O1119)=1,L1119,0)</f>
        <v>1884</v>
      </c>
    </row>
    <row r="1120" customHeight="1" spans="1:27">
      <c r="A1120" s="21" t="s">
        <v>2126</v>
      </c>
      <c r="B1120" s="21" t="s">
        <v>45</v>
      </c>
      <c r="C1120" s="21" t="s">
        <v>141</v>
      </c>
      <c r="D1120" s="21" t="s">
        <v>142</v>
      </c>
      <c r="E1120" s="21" t="s">
        <v>142</v>
      </c>
      <c r="F1120" s="21" t="s">
        <v>143</v>
      </c>
      <c r="G1120" s="21" t="s">
        <v>100</v>
      </c>
      <c r="H1120" s="21" t="s">
        <v>63</v>
      </c>
      <c r="I1120" s="26">
        <v>1</v>
      </c>
      <c r="J1120" s="26">
        <v>25</v>
      </c>
      <c r="K1120" s="21" t="s">
        <v>52</v>
      </c>
      <c r="L1120" s="27">
        <v>1510</v>
      </c>
      <c r="M1120" s="21"/>
      <c r="N1120" s="21"/>
      <c r="O1120" s="21" t="s">
        <v>2127</v>
      </c>
      <c r="P1120" s="21" t="s">
        <v>54</v>
      </c>
      <c r="Q1120" s="28">
        <v>46111</v>
      </c>
      <c r="R1120" s="29">
        <v>46108.5206365741</v>
      </c>
      <c r="S1120" s="21" t="s">
        <v>145</v>
      </c>
      <c r="T1120" s="21"/>
      <c r="U1120" s="21" t="s">
        <v>142</v>
      </c>
      <c r="V1120" s="29">
        <v>46108.5206018519</v>
      </c>
      <c r="W1120">
        <f>VLOOKUP(H1120,物料編碼!A:B,2,0)</f>
        <v>1300109002</v>
      </c>
      <c r="X1120">
        <v>1300109</v>
      </c>
      <c r="Y1120" t="str">
        <f>VLOOKUP(X1120,物料編碼!D:G,4,0)</f>
        <v>面精肉</v>
      </c>
      <c r="Z1120" t="str">
        <f>VLOOKUP(C1120,客戶屬性1!A:C,2,0)</f>
        <v>新昌冻肉</v>
      </c>
      <c r="AA1120">
        <f>IF(COUNTIF($O$1:O1120,O1120)=1,L1120,0)</f>
        <v>1510</v>
      </c>
    </row>
    <row r="1121" customHeight="1" spans="1:27">
      <c r="A1121" s="21" t="s">
        <v>2126</v>
      </c>
      <c r="B1121" s="21" t="s">
        <v>45</v>
      </c>
      <c r="C1121" s="21" t="s">
        <v>141</v>
      </c>
      <c r="D1121" s="21" t="s">
        <v>142</v>
      </c>
      <c r="E1121" s="21" t="s">
        <v>142</v>
      </c>
      <c r="F1121" s="21" t="s">
        <v>143</v>
      </c>
      <c r="G1121" s="21" t="s">
        <v>100</v>
      </c>
      <c r="H1121" s="21" t="s">
        <v>117</v>
      </c>
      <c r="I1121" s="26">
        <v>3</v>
      </c>
      <c r="J1121" s="26">
        <v>45</v>
      </c>
      <c r="K1121" s="21" t="s">
        <v>52</v>
      </c>
      <c r="L1121" s="27">
        <v>1510</v>
      </c>
      <c r="M1121" s="21"/>
      <c r="N1121" s="21"/>
      <c r="O1121" s="21" t="s">
        <v>2127</v>
      </c>
      <c r="P1121" s="21" t="s">
        <v>54</v>
      </c>
      <c r="Q1121" s="28">
        <v>46111</v>
      </c>
      <c r="R1121" s="29">
        <v>46108.5206365741</v>
      </c>
      <c r="S1121" s="21" t="s">
        <v>145</v>
      </c>
      <c r="T1121" s="21"/>
      <c r="U1121" s="21" t="s">
        <v>142</v>
      </c>
      <c r="V1121" s="29">
        <v>46108.5206018519</v>
      </c>
      <c r="W1121">
        <f>VLOOKUP(H1121,物料編碼!A:B,2,0)</f>
        <v>1300607015</v>
      </c>
      <c r="X1121">
        <v>1300607</v>
      </c>
      <c r="Y1121" t="str">
        <f>VLOOKUP(X1121,物料編碼!D:G,4,0)</f>
        <v>帶皮腿扒</v>
      </c>
      <c r="Z1121" t="str">
        <f>VLOOKUP(C1121,客戶屬性1!A:C,2,0)</f>
        <v>新昌冻肉</v>
      </c>
      <c r="AA1121">
        <f>IF(COUNTIF($O$1:O1121,O1121)=1,L1121,0)</f>
        <v>0</v>
      </c>
    </row>
    <row r="1122" customHeight="1" spans="1:27">
      <c r="A1122" s="21" t="s">
        <v>2128</v>
      </c>
      <c r="B1122" s="21" t="s">
        <v>45</v>
      </c>
      <c r="C1122" s="21" t="s">
        <v>141</v>
      </c>
      <c r="D1122" s="21" t="s">
        <v>142</v>
      </c>
      <c r="E1122" s="21" t="s">
        <v>142</v>
      </c>
      <c r="F1122" s="21" t="s">
        <v>143</v>
      </c>
      <c r="G1122" s="21" t="s">
        <v>100</v>
      </c>
      <c r="H1122" s="21" t="s">
        <v>60</v>
      </c>
      <c r="I1122" s="26">
        <v>1</v>
      </c>
      <c r="J1122" s="26">
        <v>25</v>
      </c>
      <c r="K1122" s="21" t="s">
        <v>52</v>
      </c>
      <c r="L1122" s="27">
        <v>2140</v>
      </c>
      <c r="M1122" s="21"/>
      <c r="N1122" s="21"/>
      <c r="O1122" s="21" t="s">
        <v>2129</v>
      </c>
      <c r="P1122" s="21" t="s">
        <v>54</v>
      </c>
      <c r="Q1122" s="28">
        <v>46109</v>
      </c>
      <c r="R1122" s="29">
        <v>46108.5034490741</v>
      </c>
      <c r="S1122" s="21" t="s">
        <v>145</v>
      </c>
      <c r="T1122" s="21"/>
      <c r="U1122" s="21" t="s">
        <v>142</v>
      </c>
      <c r="V1122" s="29">
        <v>46108.5034143518</v>
      </c>
      <c r="W1122">
        <f>VLOOKUP(H1122,物料編碼!A:B,2,0)</f>
        <v>1300101043</v>
      </c>
      <c r="X1122">
        <v>1300101</v>
      </c>
      <c r="Y1122" t="str">
        <f>VLOOKUP(X1122,物料編碼!D:G,4,0)</f>
        <v>一號肉</v>
      </c>
      <c r="Z1122" t="str">
        <f>VLOOKUP(C1122,客戶屬性1!A:C,2,0)</f>
        <v>新昌冻肉</v>
      </c>
      <c r="AA1122">
        <f>IF(COUNTIF($O$1:O1122,O1122)=1,L1122,0)</f>
        <v>2140</v>
      </c>
    </row>
    <row r="1123" customHeight="1" spans="1:27">
      <c r="A1123" s="21" t="s">
        <v>2128</v>
      </c>
      <c r="B1123" s="21" t="s">
        <v>45</v>
      </c>
      <c r="C1123" s="21" t="s">
        <v>141</v>
      </c>
      <c r="D1123" s="21" t="s">
        <v>142</v>
      </c>
      <c r="E1123" s="21" t="s">
        <v>142</v>
      </c>
      <c r="F1123" s="21" t="s">
        <v>143</v>
      </c>
      <c r="G1123" s="21" t="s">
        <v>100</v>
      </c>
      <c r="H1123" s="21" t="s">
        <v>298</v>
      </c>
      <c r="I1123" s="26">
        <v>1</v>
      </c>
      <c r="J1123" s="26">
        <v>10</v>
      </c>
      <c r="K1123" s="21" t="s">
        <v>52</v>
      </c>
      <c r="L1123" s="27">
        <v>2140</v>
      </c>
      <c r="M1123" s="21"/>
      <c r="N1123" s="21"/>
      <c r="O1123" s="21" t="s">
        <v>2129</v>
      </c>
      <c r="P1123" s="21" t="s">
        <v>54</v>
      </c>
      <c r="Q1123" s="28">
        <v>46109</v>
      </c>
      <c r="R1123" s="29">
        <v>46108.5034490741</v>
      </c>
      <c r="S1123" s="21" t="s">
        <v>145</v>
      </c>
      <c r="T1123" s="21"/>
      <c r="U1123" s="21" t="s">
        <v>142</v>
      </c>
      <c r="V1123" s="29">
        <v>46108.5034143518</v>
      </c>
      <c r="W1123">
        <f>VLOOKUP(H1123,物料編碼!A:B,2,0)</f>
        <v>1300111003</v>
      </c>
      <c r="X1123">
        <v>1300111</v>
      </c>
      <c r="Y1123" t="str">
        <f>VLOOKUP(X1123,物料編碼!D:G,4,0)</f>
        <v>寸骨</v>
      </c>
      <c r="Z1123" t="str">
        <f>VLOOKUP(C1123,客戶屬性1!A:C,2,0)</f>
        <v>新昌冻肉</v>
      </c>
      <c r="AA1123">
        <f>IF(COUNTIF($O$1:O1123,O1123)=1,L1123,0)</f>
        <v>0</v>
      </c>
    </row>
    <row r="1124" customHeight="1" spans="1:27">
      <c r="A1124" s="21" t="s">
        <v>2128</v>
      </c>
      <c r="B1124" s="21" t="s">
        <v>45</v>
      </c>
      <c r="C1124" s="21" t="s">
        <v>141</v>
      </c>
      <c r="D1124" s="21" t="s">
        <v>142</v>
      </c>
      <c r="E1124" s="21" t="s">
        <v>142</v>
      </c>
      <c r="F1124" s="21" t="s">
        <v>143</v>
      </c>
      <c r="G1124" s="21" t="s">
        <v>100</v>
      </c>
      <c r="H1124" s="21" t="s">
        <v>117</v>
      </c>
      <c r="I1124" s="26">
        <v>3</v>
      </c>
      <c r="J1124" s="26">
        <v>45</v>
      </c>
      <c r="K1124" s="21" t="s">
        <v>52</v>
      </c>
      <c r="L1124" s="27">
        <v>2140</v>
      </c>
      <c r="M1124" s="21"/>
      <c r="N1124" s="21"/>
      <c r="O1124" s="21" t="s">
        <v>2129</v>
      </c>
      <c r="P1124" s="21" t="s">
        <v>54</v>
      </c>
      <c r="Q1124" s="28">
        <v>46109</v>
      </c>
      <c r="R1124" s="29">
        <v>46108.5034490741</v>
      </c>
      <c r="S1124" s="21" t="s">
        <v>145</v>
      </c>
      <c r="T1124" s="21"/>
      <c r="U1124" s="21" t="s">
        <v>142</v>
      </c>
      <c r="V1124" s="29">
        <v>46108.5034143518</v>
      </c>
      <c r="W1124">
        <f>VLOOKUP(H1124,物料編碼!A:B,2,0)</f>
        <v>1300607015</v>
      </c>
      <c r="X1124">
        <v>1300607</v>
      </c>
      <c r="Y1124" t="str">
        <f>VLOOKUP(X1124,物料編碼!D:G,4,0)</f>
        <v>帶皮腿扒</v>
      </c>
      <c r="Z1124" t="str">
        <f>VLOOKUP(C1124,客戶屬性1!A:C,2,0)</f>
        <v>新昌冻肉</v>
      </c>
      <c r="AA1124">
        <f>IF(COUNTIF($O$1:O1124,O1124)=1,L1124,0)</f>
        <v>0</v>
      </c>
    </row>
    <row r="1125" customHeight="1" spans="1:27">
      <c r="A1125" s="21" t="s">
        <v>2130</v>
      </c>
      <c r="B1125" s="21" t="s">
        <v>45</v>
      </c>
      <c r="C1125" s="21" t="s">
        <v>2106</v>
      </c>
      <c r="D1125" s="21" t="s">
        <v>2107</v>
      </c>
      <c r="E1125" s="21" t="s">
        <v>2108</v>
      </c>
      <c r="F1125" s="21" t="s">
        <v>49</v>
      </c>
      <c r="G1125" s="21" t="s">
        <v>50</v>
      </c>
      <c r="H1125" s="21" t="s">
        <v>117</v>
      </c>
      <c r="I1125" s="26">
        <v>3</v>
      </c>
      <c r="J1125" s="26">
        <v>45</v>
      </c>
      <c r="K1125" s="21" t="s">
        <v>52</v>
      </c>
      <c r="L1125" s="27">
        <v>665.1</v>
      </c>
      <c r="M1125" s="21"/>
      <c r="N1125" s="21"/>
      <c r="O1125" s="21" t="s">
        <v>2131</v>
      </c>
      <c r="P1125" s="21" t="s">
        <v>54</v>
      </c>
      <c r="Q1125" s="28">
        <v>46109</v>
      </c>
      <c r="R1125" s="29">
        <v>46108.4946180556</v>
      </c>
      <c r="S1125" s="21" t="s">
        <v>2110</v>
      </c>
      <c r="T1125" s="21"/>
      <c r="U1125" s="21" t="s">
        <v>2108</v>
      </c>
      <c r="V1125" s="29">
        <v>46108.4945601852</v>
      </c>
      <c r="W1125">
        <f>VLOOKUP(H1125,物料編碼!A:B,2,0)</f>
        <v>1300607015</v>
      </c>
      <c r="X1125">
        <v>1300607</v>
      </c>
      <c r="Y1125" t="str">
        <f>VLOOKUP(X1125,物料編碼!D:G,4,0)</f>
        <v>帶皮腿扒</v>
      </c>
      <c r="Z1125" t="str">
        <f>VLOOKUP(C1125,客戶屬性1!A:C,2,0)</f>
        <v>瑞兴肉食有限公司</v>
      </c>
      <c r="AA1125">
        <f>IF(COUNTIF($O$1:O1125,O1125)=1,L1125,0)</f>
        <v>665.1</v>
      </c>
    </row>
    <row r="1126" customHeight="1" spans="1:27">
      <c r="A1126" s="21" t="s">
        <v>2132</v>
      </c>
      <c r="B1126" s="21" t="s">
        <v>45</v>
      </c>
      <c r="C1126" s="21" t="s">
        <v>2036</v>
      </c>
      <c r="D1126" s="21" t="s">
        <v>2037</v>
      </c>
      <c r="E1126" s="21" t="s">
        <v>2038</v>
      </c>
      <c r="F1126" s="21" t="s">
        <v>49</v>
      </c>
      <c r="G1126" s="21" t="s">
        <v>89</v>
      </c>
      <c r="H1126" s="21" t="s">
        <v>63</v>
      </c>
      <c r="I1126" s="26">
        <v>1</v>
      </c>
      <c r="J1126" s="26">
        <v>25</v>
      </c>
      <c r="K1126" s="21" t="s">
        <v>52</v>
      </c>
      <c r="L1126" s="27">
        <v>815</v>
      </c>
      <c r="M1126" s="21"/>
      <c r="N1126" s="21"/>
      <c r="O1126" s="21" t="s">
        <v>2133</v>
      </c>
      <c r="P1126" s="21" t="s">
        <v>54</v>
      </c>
      <c r="Q1126" s="28">
        <v>46111</v>
      </c>
      <c r="R1126" s="29">
        <v>46108.4910763889</v>
      </c>
      <c r="S1126" s="21" t="s">
        <v>2040</v>
      </c>
      <c r="T1126" s="21"/>
      <c r="U1126" s="21" t="s">
        <v>2041</v>
      </c>
      <c r="V1126" s="29">
        <v>46108.4910300926</v>
      </c>
      <c r="W1126">
        <f>VLOOKUP(H1126,物料編碼!A:B,2,0)</f>
        <v>1300109002</v>
      </c>
      <c r="X1126">
        <v>1300109</v>
      </c>
      <c r="Y1126" t="str">
        <f>VLOOKUP(X1126,物料編碼!D:G,4,0)</f>
        <v>面精肉</v>
      </c>
      <c r="Z1126" t="str">
        <f>VLOOKUP(C1126,客戶屬性1!A:C,2,0)</f>
        <v>施培记冻肉超级市场有限公司</v>
      </c>
      <c r="AA1126">
        <f>IF(COUNTIF($O$1:O1126,O1126)=1,L1126,0)</f>
        <v>815</v>
      </c>
    </row>
    <row r="1127" customHeight="1" spans="1:27">
      <c r="A1127" s="21" t="s">
        <v>2134</v>
      </c>
      <c r="B1127" s="21" t="s">
        <v>45</v>
      </c>
      <c r="C1127" s="21" t="s">
        <v>1064</v>
      </c>
      <c r="D1127" s="21" t="s">
        <v>1065</v>
      </c>
      <c r="E1127" s="21" t="s">
        <v>1066</v>
      </c>
      <c r="F1127" s="21" t="s">
        <v>49</v>
      </c>
      <c r="G1127" s="21" t="s">
        <v>89</v>
      </c>
      <c r="H1127" s="21" t="s">
        <v>63</v>
      </c>
      <c r="I1127" s="26">
        <v>5</v>
      </c>
      <c r="J1127" s="26">
        <v>125</v>
      </c>
      <c r="K1127" s="21" t="s">
        <v>52</v>
      </c>
      <c r="L1127" s="27">
        <v>4075</v>
      </c>
      <c r="M1127" s="21"/>
      <c r="N1127" s="21"/>
      <c r="O1127" s="21" t="s">
        <v>2135</v>
      </c>
      <c r="P1127" s="21" t="s">
        <v>54</v>
      </c>
      <c r="Q1127" s="28">
        <v>46111</v>
      </c>
      <c r="R1127" s="29">
        <v>46108.4580092593</v>
      </c>
      <c r="S1127" s="21" t="s">
        <v>1068</v>
      </c>
      <c r="T1127" s="21"/>
      <c r="U1127" s="21" t="s">
        <v>1065</v>
      </c>
      <c r="V1127" s="29">
        <v>46108.457962963</v>
      </c>
      <c r="W1127">
        <f>VLOOKUP(H1127,物料編碼!A:B,2,0)</f>
        <v>1300109002</v>
      </c>
      <c r="X1127">
        <v>1300109</v>
      </c>
      <c r="Y1127" t="str">
        <f>VLOOKUP(X1127,物料編碼!D:G,4,0)</f>
        <v>面精肉</v>
      </c>
      <c r="Z1127" t="str">
        <f>VLOOKUP(C1127,客戶屬性1!A:C,2,0)</f>
        <v>明兴食品有限公司(元朗)</v>
      </c>
      <c r="AA1127">
        <f>IF(COUNTIF($O$1:O1127,O1127)=1,L1127,0)</f>
        <v>4075</v>
      </c>
    </row>
    <row r="1128" customHeight="1" spans="1:27">
      <c r="A1128" s="21" t="s">
        <v>2136</v>
      </c>
      <c r="B1128" s="21" t="s">
        <v>45</v>
      </c>
      <c r="C1128" s="21" t="s">
        <v>235</v>
      </c>
      <c r="D1128" s="21" t="s">
        <v>236</v>
      </c>
      <c r="E1128" s="21" t="s">
        <v>237</v>
      </c>
      <c r="F1128" s="21" t="s">
        <v>49</v>
      </c>
      <c r="G1128" s="21" t="s">
        <v>238</v>
      </c>
      <c r="H1128" s="21" t="s">
        <v>117</v>
      </c>
      <c r="I1128" s="26">
        <v>5</v>
      </c>
      <c r="J1128" s="26">
        <v>75</v>
      </c>
      <c r="K1128" s="21" t="s">
        <v>52</v>
      </c>
      <c r="L1128" s="27">
        <v>1108.5</v>
      </c>
      <c r="M1128" s="21"/>
      <c r="N1128" s="21"/>
      <c r="O1128" s="21" t="s">
        <v>2137</v>
      </c>
      <c r="P1128" s="21" t="s">
        <v>54</v>
      </c>
      <c r="Q1128" s="28">
        <v>46108</v>
      </c>
      <c r="R1128" s="29">
        <v>46108.4532060185</v>
      </c>
      <c r="S1128" s="21" t="s">
        <v>241</v>
      </c>
      <c r="T1128" s="21"/>
      <c r="U1128" s="21" t="s">
        <v>237</v>
      </c>
      <c r="V1128" s="29">
        <v>46108.4531597222</v>
      </c>
      <c r="W1128">
        <f>VLOOKUP(H1128,物料編碼!A:B,2,0)</f>
        <v>1300607015</v>
      </c>
      <c r="X1128">
        <v>1300607</v>
      </c>
      <c r="Y1128" t="str">
        <f>VLOOKUP(X1128,物料編碼!D:G,4,0)</f>
        <v>帶皮腿扒</v>
      </c>
      <c r="Z1128" t="str">
        <f>VLOOKUP(C1128,客戶屬性1!A:C,2,0)</f>
        <v>联合林记食品有限公司</v>
      </c>
      <c r="AA1128">
        <f>IF(COUNTIF($O$1:O1128,O1128)=1,L1128,0)</f>
        <v>1108.5</v>
      </c>
    </row>
    <row r="1129" customHeight="1" spans="1:27">
      <c r="A1129" s="21" t="s">
        <v>2138</v>
      </c>
      <c r="B1129" s="21" t="s">
        <v>45</v>
      </c>
      <c r="C1129" s="21" t="s">
        <v>158</v>
      </c>
      <c r="D1129" s="21" t="s">
        <v>159</v>
      </c>
      <c r="E1129" s="21" t="s">
        <v>160</v>
      </c>
      <c r="F1129" s="21" t="s">
        <v>49</v>
      </c>
      <c r="G1129" s="21" t="s">
        <v>68</v>
      </c>
      <c r="H1129" s="21" t="s">
        <v>117</v>
      </c>
      <c r="I1129" s="26">
        <v>5</v>
      </c>
      <c r="J1129" s="26">
        <v>75</v>
      </c>
      <c r="K1129" s="21" t="s">
        <v>52</v>
      </c>
      <c r="L1129" s="27">
        <v>1108.5</v>
      </c>
      <c r="M1129" s="21"/>
      <c r="N1129" s="21"/>
      <c r="O1129" s="21" t="s">
        <v>2139</v>
      </c>
      <c r="P1129" s="21" t="s">
        <v>54</v>
      </c>
      <c r="Q1129" s="28">
        <v>46109</v>
      </c>
      <c r="R1129" s="29">
        <v>46108.4197106482</v>
      </c>
      <c r="S1129" s="21" t="s">
        <v>163</v>
      </c>
      <c r="T1129" s="21"/>
      <c r="U1129" s="21" t="s">
        <v>164</v>
      </c>
      <c r="V1129" s="29">
        <v>46108.4196643519</v>
      </c>
      <c r="W1129">
        <f>VLOOKUP(H1129,物料編碼!A:B,2,0)</f>
        <v>1300607015</v>
      </c>
      <c r="X1129">
        <v>1300607</v>
      </c>
      <c r="Y1129" t="str">
        <f>VLOOKUP(X1129,物料編碼!D:G,4,0)</f>
        <v>帶皮腿扒</v>
      </c>
      <c r="Z1129" t="str">
        <f>VLOOKUP(C1129,客戶屬性1!A:C,2,0)</f>
        <v>先进食品国际有限公司</v>
      </c>
      <c r="AA1129">
        <f>IF(COUNTIF($O$1:O1129,O1129)=1,L1129,0)</f>
        <v>1108.5</v>
      </c>
    </row>
    <row r="1130" customHeight="1" spans="1:27">
      <c r="A1130" s="21" t="s">
        <v>2140</v>
      </c>
      <c r="B1130" s="21" t="s">
        <v>45</v>
      </c>
      <c r="C1130" s="21" t="s">
        <v>1064</v>
      </c>
      <c r="D1130" s="21" t="s">
        <v>1065</v>
      </c>
      <c r="E1130" s="21" t="s">
        <v>1066</v>
      </c>
      <c r="F1130" s="21" t="s">
        <v>49</v>
      </c>
      <c r="G1130" s="21" t="s">
        <v>89</v>
      </c>
      <c r="H1130" s="21" t="s">
        <v>63</v>
      </c>
      <c r="I1130" s="26">
        <v>5</v>
      </c>
      <c r="J1130" s="26">
        <v>125</v>
      </c>
      <c r="K1130" s="21" t="s">
        <v>52</v>
      </c>
      <c r="L1130" s="27">
        <v>4075</v>
      </c>
      <c r="M1130" s="21"/>
      <c r="N1130" s="21"/>
      <c r="O1130" s="21" t="s">
        <v>2141</v>
      </c>
      <c r="P1130" s="21" t="s">
        <v>54</v>
      </c>
      <c r="Q1130" s="28">
        <v>46109</v>
      </c>
      <c r="R1130" s="29">
        <v>46108.4029050926</v>
      </c>
      <c r="S1130" s="21" t="s">
        <v>1068</v>
      </c>
      <c r="T1130" s="21"/>
      <c r="U1130" s="21" t="s">
        <v>1065</v>
      </c>
      <c r="V1130" s="29">
        <v>46108.4028587963</v>
      </c>
      <c r="W1130">
        <f>VLOOKUP(H1130,物料編碼!A:B,2,0)</f>
        <v>1300109002</v>
      </c>
      <c r="X1130">
        <v>1300109</v>
      </c>
      <c r="Y1130" t="str">
        <f>VLOOKUP(X1130,物料編碼!D:G,4,0)</f>
        <v>面精肉</v>
      </c>
      <c r="Z1130" t="str">
        <f>VLOOKUP(C1130,客戶屬性1!A:C,2,0)</f>
        <v>明兴食品有限公司(元朗)</v>
      </c>
      <c r="AA1130">
        <f>IF(COUNTIF($O$1:O1130,O1130)=1,L1130,0)</f>
        <v>4075</v>
      </c>
    </row>
    <row r="1131" customHeight="1" spans="1:27">
      <c r="A1131" s="21" t="s">
        <v>2142</v>
      </c>
      <c r="B1131" s="21" t="s">
        <v>45</v>
      </c>
      <c r="C1131" s="21" t="s">
        <v>158</v>
      </c>
      <c r="D1131" s="21" t="s">
        <v>159</v>
      </c>
      <c r="E1131" s="21" t="s">
        <v>160</v>
      </c>
      <c r="F1131" s="21" t="s">
        <v>49</v>
      </c>
      <c r="G1131" s="21" t="s">
        <v>68</v>
      </c>
      <c r="H1131" s="21" t="s">
        <v>117</v>
      </c>
      <c r="I1131" s="26">
        <v>15</v>
      </c>
      <c r="J1131" s="26">
        <v>225</v>
      </c>
      <c r="K1131" s="21" t="s">
        <v>52</v>
      </c>
      <c r="L1131" s="27">
        <v>3325.5</v>
      </c>
      <c r="M1131" s="21"/>
      <c r="N1131" s="21"/>
      <c r="O1131" s="21" t="s">
        <v>2143</v>
      </c>
      <c r="P1131" s="21" t="s">
        <v>54</v>
      </c>
      <c r="Q1131" s="28">
        <v>46109</v>
      </c>
      <c r="R1131" s="29">
        <v>46108.3968634259</v>
      </c>
      <c r="S1131" s="21" t="s">
        <v>163</v>
      </c>
      <c r="T1131" s="21"/>
      <c r="U1131" s="21" t="s">
        <v>164</v>
      </c>
      <c r="V1131" s="29">
        <v>46108.3968171296</v>
      </c>
      <c r="W1131">
        <f>VLOOKUP(H1131,物料編碼!A:B,2,0)</f>
        <v>1300607015</v>
      </c>
      <c r="X1131">
        <v>1300607</v>
      </c>
      <c r="Y1131" t="str">
        <f>VLOOKUP(X1131,物料編碼!D:G,4,0)</f>
        <v>帶皮腿扒</v>
      </c>
      <c r="Z1131" t="str">
        <f>VLOOKUP(C1131,客戶屬性1!A:C,2,0)</f>
        <v>先进食品国际有限公司</v>
      </c>
      <c r="AA1131">
        <f>IF(COUNTIF($O$1:O1131,O1131)=1,L1131,0)</f>
        <v>3325.5</v>
      </c>
    </row>
    <row r="1132" customHeight="1" spans="1:27">
      <c r="A1132" s="21" t="s">
        <v>2144</v>
      </c>
      <c r="B1132" s="21" t="s">
        <v>45</v>
      </c>
      <c r="C1132" s="21" t="s">
        <v>2106</v>
      </c>
      <c r="D1132" s="21" t="s">
        <v>2107</v>
      </c>
      <c r="E1132" s="21" t="s">
        <v>2108</v>
      </c>
      <c r="F1132" s="21" t="s">
        <v>49</v>
      </c>
      <c r="G1132" s="21" t="s">
        <v>50</v>
      </c>
      <c r="H1132" s="21" t="s">
        <v>63</v>
      </c>
      <c r="I1132" s="26">
        <v>3</v>
      </c>
      <c r="J1132" s="26">
        <v>75</v>
      </c>
      <c r="K1132" s="21" t="s">
        <v>52</v>
      </c>
      <c r="L1132" s="27">
        <v>2445</v>
      </c>
      <c r="M1132" s="21"/>
      <c r="N1132" s="21"/>
      <c r="O1132" s="21" t="s">
        <v>2145</v>
      </c>
      <c r="P1132" s="21" t="s">
        <v>54</v>
      </c>
      <c r="Q1132" s="28">
        <v>46109</v>
      </c>
      <c r="R1132" s="29">
        <v>46108.3912384259</v>
      </c>
      <c r="S1132" s="21" t="s">
        <v>2110</v>
      </c>
      <c r="T1132" s="21"/>
      <c r="U1132" s="21" t="s">
        <v>2108</v>
      </c>
      <c r="V1132" s="29">
        <v>46108.3911921296</v>
      </c>
      <c r="W1132">
        <f>VLOOKUP(H1132,物料編碼!A:B,2,0)</f>
        <v>1300109002</v>
      </c>
      <c r="X1132">
        <v>1300109</v>
      </c>
      <c r="Y1132" t="str">
        <f>VLOOKUP(X1132,物料編碼!D:G,4,0)</f>
        <v>面精肉</v>
      </c>
      <c r="Z1132" t="str">
        <f>VLOOKUP(C1132,客戶屬性1!A:C,2,0)</f>
        <v>瑞兴肉食有限公司</v>
      </c>
      <c r="AA1132">
        <f>IF(COUNTIF($O$1:O1132,O1132)=1,L1132,0)</f>
        <v>2445</v>
      </c>
    </row>
    <row r="1133" customHeight="1" spans="1:27">
      <c r="A1133" s="21" t="s">
        <v>2146</v>
      </c>
      <c r="B1133" s="21" t="s">
        <v>45</v>
      </c>
      <c r="C1133" s="21" t="s">
        <v>235</v>
      </c>
      <c r="D1133" s="21" t="s">
        <v>236</v>
      </c>
      <c r="E1133" s="21" t="s">
        <v>237</v>
      </c>
      <c r="F1133" s="21" t="s">
        <v>49</v>
      </c>
      <c r="G1133" s="21" t="s">
        <v>238</v>
      </c>
      <c r="H1133" s="21" t="s">
        <v>190</v>
      </c>
      <c r="I1133" s="26">
        <v>5</v>
      </c>
      <c r="J1133" s="26">
        <v>60</v>
      </c>
      <c r="K1133" s="21" t="s">
        <v>52</v>
      </c>
      <c r="L1133" s="27">
        <v>942</v>
      </c>
      <c r="M1133" s="21"/>
      <c r="N1133" s="21"/>
      <c r="O1133" s="21" t="s">
        <v>2147</v>
      </c>
      <c r="P1133" s="21" t="s">
        <v>54</v>
      </c>
      <c r="Q1133" s="28">
        <v>46108</v>
      </c>
      <c r="R1133" s="29">
        <v>46107.6659375</v>
      </c>
      <c r="S1133" s="21" t="s">
        <v>241</v>
      </c>
      <c r="T1133" s="21"/>
      <c r="U1133" s="21" t="s">
        <v>237</v>
      </c>
      <c r="V1133" s="29">
        <v>46107.6658912037</v>
      </c>
      <c r="W1133">
        <f>VLOOKUP(H1133,物料編碼!A:B,2,0)</f>
        <v>1300609001</v>
      </c>
      <c r="X1133">
        <v>1300609</v>
      </c>
      <c r="Y1133" t="str">
        <f>VLOOKUP(X1133,物料編碼!D:G,4,0)</f>
        <v>去皮上腿肉</v>
      </c>
      <c r="Z1133" t="str">
        <f>VLOOKUP(C1133,客戶屬性1!A:C,2,0)</f>
        <v>联合林记食品有限公司</v>
      </c>
      <c r="AA1133">
        <f>IF(COUNTIF($O$1:O1133,O1133)=1,L1133,0)</f>
        <v>942</v>
      </c>
    </row>
    <row r="1134" customHeight="1" spans="1:27">
      <c r="A1134" s="21" t="s">
        <v>2148</v>
      </c>
      <c r="B1134" s="21" t="s">
        <v>45</v>
      </c>
      <c r="C1134" s="21" t="s">
        <v>1072</v>
      </c>
      <c r="D1134" s="21" t="s">
        <v>1073</v>
      </c>
      <c r="E1134" s="21" t="s">
        <v>1074</v>
      </c>
      <c r="F1134" s="21" t="s">
        <v>49</v>
      </c>
      <c r="G1134" s="21" t="s">
        <v>238</v>
      </c>
      <c r="H1134" s="21" t="s">
        <v>190</v>
      </c>
      <c r="I1134" s="26">
        <v>20</v>
      </c>
      <c r="J1134" s="26">
        <v>240</v>
      </c>
      <c r="K1134" s="21" t="s">
        <v>52</v>
      </c>
      <c r="L1134" s="27">
        <v>3768</v>
      </c>
      <c r="M1134" s="21"/>
      <c r="N1134" s="21"/>
      <c r="O1134" s="21" t="s">
        <v>2149</v>
      </c>
      <c r="P1134" s="21" t="s">
        <v>54</v>
      </c>
      <c r="Q1134" s="28">
        <v>46108</v>
      </c>
      <c r="R1134" s="29">
        <v>46107.5868171296</v>
      </c>
      <c r="S1134" s="21" t="s">
        <v>1076</v>
      </c>
      <c r="T1134" s="21"/>
      <c r="U1134" s="21" t="s">
        <v>1077</v>
      </c>
      <c r="V1134" s="29">
        <v>46107.5867708333</v>
      </c>
      <c r="W1134">
        <f>VLOOKUP(H1134,物料編碼!A:B,2,0)</f>
        <v>1300609001</v>
      </c>
      <c r="X1134">
        <v>1300609</v>
      </c>
      <c r="Y1134" t="str">
        <f>VLOOKUP(X1134,物料編碼!D:G,4,0)</f>
        <v>去皮上腿肉</v>
      </c>
      <c r="Z1134" t="str">
        <f>VLOOKUP(C1134,客戶屬性1!A:C,2,0)</f>
        <v>昭楠贸易有限公司</v>
      </c>
      <c r="AA1134">
        <f>IF(COUNTIF($O$1:O1134,O1134)=1,L1134,0)</f>
        <v>3768</v>
      </c>
    </row>
    <row r="1135" customHeight="1" spans="1:27">
      <c r="A1135" s="21" t="s">
        <v>2150</v>
      </c>
      <c r="B1135" s="21" t="s">
        <v>45</v>
      </c>
      <c r="C1135" s="21" t="s">
        <v>2106</v>
      </c>
      <c r="D1135" s="21" t="s">
        <v>2107</v>
      </c>
      <c r="E1135" s="21" t="s">
        <v>2108</v>
      </c>
      <c r="F1135" s="21" t="s">
        <v>49</v>
      </c>
      <c r="G1135" s="21" t="s">
        <v>50</v>
      </c>
      <c r="H1135" s="21" t="s">
        <v>190</v>
      </c>
      <c r="I1135" s="26">
        <v>4</v>
      </c>
      <c r="J1135" s="26">
        <v>48</v>
      </c>
      <c r="K1135" s="21" t="s">
        <v>52</v>
      </c>
      <c r="L1135" s="27">
        <v>1588.6</v>
      </c>
      <c r="M1135" s="21"/>
      <c r="N1135" s="21"/>
      <c r="O1135" s="21" t="s">
        <v>2151</v>
      </c>
      <c r="P1135" s="21" t="s">
        <v>54</v>
      </c>
      <c r="Q1135" s="28">
        <v>46108</v>
      </c>
      <c r="R1135" s="29">
        <v>46107.5068981481</v>
      </c>
      <c r="S1135" s="21" t="s">
        <v>2110</v>
      </c>
      <c r="T1135" s="21"/>
      <c r="U1135" s="21" t="s">
        <v>2108</v>
      </c>
      <c r="V1135" s="29">
        <v>46107.5068518519</v>
      </c>
      <c r="W1135">
        <f>VLOOKUP(H1135,物料編碼!A:B,2,0)</f>
        <v>1300609001</v>
      </c>
      <c r="X1135">
        <v>1300609</v>
      </c>
      <c r="Y1135" t="str">
        <f>VLOOKUP(X1135,物料編碼!D:G,4,0)</f>
        <v>去皮上腿肉</v>
      </c>
      <c r="Z1135" t="str">
        <f>VLOOKUP(C1135,客戶屬性1!A:C,2,0)</f>
        <v>瑞兴肉食有限公司</v>
      </c>
      <c r="AA1135">
        <f>IF(COUNTIF($O$1:O1135,O1135)=1,L1135,0)</f>
        <v>1588.6</v>
      </c>
    </row>
    <row r="1136" customHeight="1" spans="1:27">
      <c r="A1136" s="21" t="s">
        <v>2150</v>
      </c>
      <c r="B1136" s="21" t="s">
        <v>45</v>
      </c>
      <c r="C1136" s="21" t="s">
        <v>2106</v>
      </c>
      <c r="D1136" s="21" t="s">
        <v>2107</v>
      </c>
      <c r="E1136" s="21" t="s">
        <v>2108</v>
      </c>
      <c r="F1136" s="21" t="s">
        <v>49</v>
      </c>
      <c r="G1136" s="21" t="s">
        <v>50</v>
      </c>
      <c r="H1136" s="21" t="s">
        <v>63</v>
      </c>
      <c r="I1136" s="26">
        <v>1</v>
      </c>
      <c r="J1136" s="26">
        <v>25</v>
      </c>
      <c r="K1136" s="21" t="s">
        <v>52</v>
      </c>
      <c r="L1136" s="27">
        <v>1588.6</v>
      </c>
      <c r="M1136" s="21"/>
      <c r="N1136" s="21"/>
      <c r="O1136" s="21" t="s">
        <v>2151</v>
      </c>
      <c r="P1136" s="21" t="s">
        <v>54</v>
      </c>
      <c r="Q1136" s="28">
        <v>46108</v>
      </c>
      <c r="R1136" s="29">
        <v>46107.5068981481</v>
      </c>
      <c r="S1136" s="21" t="s">
        <v>2110</v>
      </c>
      <c r="T1136" s="21"/>
      <c r="U1136" s="21" t="s">
        <v>2108</v>
      </c>
      <c r="V1136" s="29">
        <v>46107.5068518519</v>
      </c>
      <c r="W1136">
        <f>VLOOKUP(H1136,物料編碼!A:B,2,0)</f>
        <v>1300109002</v>
      </c>
      <c r="X1136">
        <v>1300109</v>
      </c>
      <c r="Y1136" t="str">
        <f>VLOOKUP(X1136,物料編碼!D:G,4,0)</f>
        <v>面精肉</v>
      </c>
      <c r="Z1136" t="str">
        <f>VLOOKUP(C1136,客戶屬性1!A:C,2,0)</f>
        <v>瑞兴肉食有限公司</v>
      </c>
      <c r="AA1136">
        <f>IF(COUNTIF($O$1:O1136,O1136)=1,L1136,0)</f>
        <v>0</v>
      </c>
    </row>
    <row r="1137" customHeight="1" spans="1:27">
      <c r="A1137" s="21" t="s">
        <v>2152</v>
      </c>
      <c r="B1137" s="21" t="s">
        <v>45</v>
      </c>
      <c r="C1137" s="21" t="s">
        <v>2106</v>
      </c>
      <c r="D1137" s="21" t="s">
        <v>2107</v>
      </c>
      <c r="E1137" s="21" t="s">
        <v>2108</v>
      </c>
      <c r="F1137" s="21" t="s">
        <v>49</v>
      </c>
      <c r="G1137" s="21" t="s">
        <v>50</v>
      </c>
      <c r="H1137" s="21" t="s">
        <v>63</v>
      </c>
      <c r="I1137" s="26">
        <v>5</v>
      </c>
      <c r="J1137" s="26">
        <v>125</v>
      </c>
      <c r="K1137" s="21" t="s">
        <v>52</v>
      </c>
      <c r="L1137" s="27">
        <v>4175</v>
      </c>
      <c r="M1137" s="21"/>
      <c r="N1137" s="21"/>
      <c r="O1137" s="21" t="s">
        <v>2153</v>
      </c>
      <c r="P1137" s="21" t="s">
        <v>54</v>
      </c>
      <c r="Q1137" s="28">
        <v>46108</v>
      </c>
      <c r="R1137" s="29">
        <v>46107.5058217593</v>
      </c>
      <c r="S1137" s="21" t="s">
        <v>2110</v>
      </c>
      <c r="T1137" s="21"/>
      <c r="U1137" s="21" t="s">
        <v>2108</v>
      </c>
      <c r="V1137" s="29">
        <v>46107.505775463</v>
      </c>
      <c r="W1137">
        <f>VLOOKUP(H1137,物料編碼!A:B,2,0)</f>
        <v>1300109002</v>
      </c>
      <c r="X1137">
        <v>1300109</v>
      </c>
      <c r="Y1137" t="str">
        <f>VLOOKUP(X1137,物料編碼!D:G,4,0)</f>
        <v>面精肉</v>
      </c>
      <c r="Z1137" t="str">
        <f>VLOOKUP(C1137,客戶屬性1!A:C,2,0)</f>
        <v>瑞兴肉食有限公司</v>
      </c>
      <c r="AA1137">
        <f>IF(COUNTIF($O$1:O1137,O1137)=1,L1137,0)</f>
        <v>4175</v>
      </c>
    </row>
    <row r="1138" customHeight="1" spans="1:27">
      <c r="A1138" s="21" t="s">
        <v>2154</v>
      </c>
      <c r="B1138" s="21" t="s">
        <v>45</v>
      </c>
      <c r="C1138" s="21" t="s">
        <v>72</v>
      </c>
      <c r="D1138" s="21" t="s">
        <v>73</v>
      </c>
      <c r="E1138" s="21" t="s">
        <v>74</v>
      </c>
      <c r="F1138" s="21" t="s">
        <v>49</v>
      </c>
      <c r="G1138" s="21" t="s">
        <v>50</v>
      </c>
      <c r="H1138" s="21" t="s">
        <v>75</v>
      </c>
      <c r="I1138" s="26">
        <v>1</v>
      </c>
      <c r="J1138" s="26">
        <v>15</v>
      </c>
      <c r="K1138" s="21" t="s">
        <v>52</v>
      </c>
      <c r="L1138" s="27">
        <v>195</v>
      </c>
      <c r="M1138" s="21"/>
      <c r="N1138" s="21"/>
      <c r="O1138" s="21" t="s">
        <v>2155</v>
      </c>
      <c r="P1138" s="21" t="s">
        <v>54</v>
      </c>
      <c r="Q1138" s="28">
        <v>46108</v>
      </c>
      <c r="R1138" s="29">
        <v>46107.4843518519</v>
      </c>
      <c r="S1138" s="21" t="s">
        <v>77</v>
      </c>
      <c r="T1138" s="21"/>
      <c r="U1138" s="21" t="s">
        <v>74</v>
      </c>
      <c r="V1138" s="29">
        <v>46107.4843171296</v>
      </c>
      <c r="W1138">
        <f>VLOOKUP(H1138,物料編碼!A:B,2,0)</f>
        <v>1300603040</v>
      </c>
      <c r="X1138">
        <v>1300603</v>
      </c>
      <c r="Y1138" t="str">
        <f>VLOOKUP(X1138,物料編碼!D:G,4,0)</f>
        <v>帶骨全腿</v>
      </c>
      <c r="Z1138" t="str">
        <f>VLOOKUP(C1138,客戶屬性1!A:C,2,0)</f>
        <v>恒辉贸易公司</v>
      </c>
      <c r="AA1138">
        <f>IF(COUNTIF($O$1:O1138,O1138)=1,L1138,0)</f>
        <v>195</v>
      </c>
    </row>
    <row r="1139" customHeight="1" spans="1:27">
      <c r="A1139" s="21" t="s">
        <v>2156</v>
      </c>
      <c r="B1139" s="21" t="s">
        <v>45</v>
      </c>
      <c r="C1139" s="21" t="s">
        <v>114</v>
      </c>
      <c r="D1139" s="21" t="s">
        <v>115</v>
      </c>
      <c r="E1139" s="21" t="s">
        <v>116</v>
      </c>
      <c r="F1139" s="21" t="s">
        <v>49</v>
      </c>
      <c r="G1139" s="21" t="s">
        <v>100</v>
      </c>
      <c r="H1139" s="21" t="s">
        <v>117</v>
      </c>
      <c r="I1139" s="26">
        <v>1</v>
      </c>
      <c r="J1139" s="26">
        <v>15</v>
      </c>
      <c r="K1139" s="21" t="s">
        <v>52</v>
      </c>
      <c r="L1139" s="27">
        <v>221.7</v>
      </c>
      <c r="M1139" s="21"/>
      <c r="N1139" s="21"/>
      <c r="O1139" s="21" t="s">
        <v>2157</v>
      </c>
      <c r="P1139" s="21" t="s">
        <v>54</v>
      </c>
      <c r="Q1139" s="28">
        <v>46108</v>
      </c>
      <c r="R1139" s="29">
        <v>46107.4737268519</v>
      </c>
      <c r="S1139" s="21" t="s">
        <v>119</v>
      </c>
      <c r="T1139" s="21"/>
      <c r="U1139" s="21" t="s">
        <v>115</v>
      </c>
      <c r="V1139" s="29">
        <v>46107.4736805556</v>
      </c>
      <c r="W1139">
        <f>VLOOKUP(H1139,物料編碼!A:B,2,0)</f>
        <v>1300607015</v>
      </c>
      <c r="X1139">
        <v>1300607</v>
      </c>
      <c r="Y1139" t="str">
        <f>VLOOKUP(X1139,物料編碼!D:G,4,0)</f>
        <v>帶皮腿扒</v>
      </c>
      <c r="Z1139" t="str">
        <f>VLOOKUP(C1139,客戶屬性1!A:C,2,0)</f>
        <v>骏利贸易公司</v>
      </c>
      <c r="AA1139">
        <f>IF(COUNTIF($O$1:O1139,O1139)=1,L1139,0)</f>
        <v>221.7</v>
      </c>
    </row>
    <row r="1140" customHeight="1" spans="1:27">
      <c r="A1140" s="21" t="s">
        <v>2158</v>
      </c>
      <c r="B1140" s="21" t="s">
        <v>45</v>
      </c>
      <c r="C1140" s="21" t="s">
        <v>383</v>
      </c>
      <c r="D1140" s="21" t="s">
        <v>384</v>
      </c>
      <c r="E1140" s="21" t="s">
        <v>385</v>
      </c>
      <c r="F1140" s="21" t="s">
        <v>49</v>
      </c>
      <c r="G1140" s="21" t="s">
        <v>50</v>
      </c>
      <c r="H1140" s="21" t="s">
        <v>63</v>
      </c>
      <c r="I1140" s="26">
        <v>1</v>
      </c>
      <c r="J1140" s="26">
        <v>25</v>
      </c>
      <c r="K1140" s="21" t="s">
        <v>52</v>
      </c>
      <c r="L1140" s="27">
        <v>815</v>
      </c>
      <c r="M1140" s="21"/>
      <c r="N1140" s="21"/>
      <c r="O1140" s="21" t="s">
        <v>2159</v>
      </c>
      <c r="P1140" s="21" t="s">
        <v>54</v>
      </c>
      <c r="Q1140" s="28">
        <v>46107</v>
      </c>
      <c r="R1140" s="29">
        <v>46107.4421180556</v>
      </c>
      <c r="S1140" s="21" t="s">
        <v>387</v>
      </c>
      <c r="T1140" s="21"/>
      <c r="U1140" s="21" t="s">
        <v>384</v>
      </c>
      <c r="V1140" s="29">
        <v>46107.4420717593</v>
      </c>
      <c r="W1140">
        <f>VLOOKUP(H1140,物料編碼!A:B,2,0)</f>
        <v>1300109002</v>
      </c>
      <c r="X1140">
        <v>1300109</v>
      </c>
      <c r="Y1140" t="str">
        <f>VLOOKUP(X1140,物料編碼!D:G,4,0)</f>
        <v>面精肉</v>
      </c>
      <c r="Z1140" t="str">
        <f>VLOOKUP(C1140,客戶屬性1!A:C,2,0)</f>
        <v>新协兴冻肉食品公司</v>
      </c>
      <c r="AA1140">
        <f>IF(COUNTIF($O$1:O1140,O1140)=1,L1140,0)</f>
        <v>815</v>
      </c>
    </row>
    <row r="1141" customHeight="1" spans="1:27">
      <c r="A1141" s="21" t="s">
        <v>2160</v>
      </c>
      <c r="B1141" s="21" t="s">
        <v>45</v>
      </c>
      <c r="C1141" s="21" t="s">
        <v>2036</v>
      </c>
      <c r="D1141" s="21" t="s">
        <v>2037</v>
      </c>
      <c r="E1141" s="21" t="s">
        <v>2038</v>
      </c>
      <c r="F1141" s="21" t="s">
        <v>49</v>
      </c>
      <c r="G1141" s="21" t="s">
        <v>89</v>
      </c>
      <c r="H1141" s="21" t="s">
        <v>63</v>
      </c>
      <c r="I1141" s="26">
        <v>1</v>
      </c>
      <c r="J1141" s="26">
        <v>25</v>
      </c>
      <c r="K1141" s="21" t="s">
        <v>52</v>
      </c>
      <c r="L1141" s="27">
        <v>815</v>
      </c>
      <c r="M1141" s="21"/>
      <c r="N1141" s="21"/>
      <c r="O1141" s="21" t="s">
        <v>2161</v>
      </c>
      <c r="P1141" s="21" t="s">
        <v>54</v>
      </c>
      <c r="Q1141" s="28">
        <v>46108</v>
      </c>
      <c r="R1141" s="29">
        <v>46107.4259143519</v>
      </c>
      <c r="S1141" s="21" t="s">
        <v>2040</v>
      </c>
      <c r="T1141" s="21"/>
      <c r="U1141" s="21" t="s">
        <v>2041</v>
      </c>
      <c r="V1141" s="29">
        <v>46107.4258564815</v>
      </c>
      <c r="W1141">
        <f>VLOOKUP(H1141,物料編碼!A:B,2,0)</f>
        <v>1300109002</v>
      </c>
      <c r="X1141">
        <v>1300109</v>
      </c>
      <c r="Y1141" t="str">
        <f>VLOOKUP(X1141,物料編碼!D:G,4,0)</f>
        <v>面精肉</v>
      </c>
      <c r="Z1141" t="str">
        <f>VLOOKUP(C1141,客戶屬性1!A:C,2,0)</f>
        <v>施培记冻肉超级市场有限公司</v>
      </c>
      <c r="AA1141">
        <f>IF(COUNTIF($O$1:O1141,O1141)=1,L1141,0)</f>
        <v>815</v>
      </c>
    </row>
    <row r="1142" customHeight="1" spans="1:27">
      <c r="A1142" s="21" t="s">
        <v>2162</v>
      </c>
      <c r="B1142" s="21" t="s">
        <v>45</v>
      </c>
      <c r="C1142" s="21" t="s">
        <v>235</v>
      </c>
      <c r="D1142" s="21" t="s">
        <v>236</v>
      </c>
      <c r="E1142" s="21" t="s">
        <v>237</v>
      </c>
      <c r="F1142" s="21" t="s">
        <v>49</v>
      </c>
      <c r="G1142" s="21" t="s">
        <v>238</v>
      </c>
      <c r="H1142" s="21" t="s">
        <v>117</v>
      </c>
      <c r="I1142" s="26">
        <v>5</v>
      </c>
      <c r="J1142" s="26">
        <v>75</v>
      </c>
      <c r="K1142" s="21" t="s">
        <v>52</v>
      </c>
      <c r="L1142" s="27">
        <v>1108.5</v>
      </c>
      <c r="M1142" s="21"/>
      <c r="N1142" s="21"/>
      <c r="O1142" s="21" t="s">
        <v>2163</v>
      </c>
      <c r="P1142" s="21" t="s">
        <v>54</v>
      </c>
      <c r="Q1142" s="28">
        <v>46107</v>
      </c>
      <c r="R1142" s="29">
        <v>46107.3863425926</v>
      </c>
      <c r="S1142" s="21" t="s">
        <v>241</v>
      </c>
      <c r="T1142" s="21"/>
      <c r="U1142" s="21" t="s">
        <v>237</v>
      </c>
      <c r="V1142" s="29">
        <v>46107.3862847222</v>
      </c>
      <c r="W1142">
        <f>VLOOKUP(H1142,物料編碼!A:B,2,0)</f>
        <v>1300607015</v>
      </c>
      <c r="X1142">
        <v>1300607</v>
      </c>
      <c r="Y1142" t="str">
        <f>VLOOKUP(X1142,物料編碼!D:G,4,0)</f>
        <v>帶皮腿扒</v>
      </c>
      <c r="Z1142" t="str">
        <f>VLOOKUP(C1142,客戶屬性1!A:C,2,0)</f>
        <v>联合林记食品有限公司</v>
      </c>
      <c r="AA1142">
        <f>IF(COUNTIF($O$1:O1142,O1142)=1,L1142,0)</f>
        <v>1108.5</v>
      </c>
    </row>
    <row r="1143" customHeight="1" spans="1:27">
      <c r="A1143" s="21" t="s">
        <v>2164</v>
      </c>
      <c r="B1143" s="21" t="s">
        <v>45</v>
      </c>
      <c r="C1143" s="21" t="s">
        <v>858</v>
      </c>
      <c r="D1143" s="21" t="s">
        <v>859</v>
      </c>
      <c r="E1143" s="21" t="s">
        <v>860</v>
      </c>
      <c r="F1143" s="21" t="s">
        <v>49</v>
      </c>
      <c r="G1143" s="21" t="s">
        <v>136</v>
      </c>
      <c r="H1143" s="21" t="s">
        <v>117</v>
      </c>
      <c r="I1143" s="26">
        <v>6</v>
      </c>
      <c r="J1143" s="26">
        <v>90</v>
      </c>
      <c r="K1143" s="21" t="s">
        <v>52</v>
      </c>
      <c r="L1143" s="27">
        <v>1330.2</v>
      </c>
      <c r="M1143" s="21"/>
      <c r="N1143" s="21"/>
      <c r="O1143" s="21" t="s">
        <v>2165</v>
      </c>
      <c r="P1143" s="21" t="s">
        <v>54</v>
      </c>
      <c r="Q1143" s="28">
        <v>46107</v>
      </c>
      <c r="R1143" s="29">
        <v>46107.3850694444</v>
      </c>
      <c r="S1143" s="21" t="s">
        <v>863</v>
      </c>
      <c r="T1143" s="21"/>
      <c r="U1143" s="21" t="s">
        <v>859</v>
      </c>
      <c r="V1143" s="29">
        <v>46107.3850115741</v>
      </c>
      <c r="W1143">
        <f>VLOOKUP(H1143,物料編碼!A:B,2,0)</f>
        <v>1300607015</v>
      </c>
      <c r="X1143">
        <v>1300607</v>
      </c>
      <c r="Y1143" t="str">
        <f>VLOOKUP(X1143,物料編碼!D:G,4,0)</f>
        <v>帶皮腿扒</v>
      </c>
      <c r="Z1143" t="str">
        <f>VLOOKUP(C1143,客戶屬性1!A:C,2,0)</f>
        <v>福伟集团有限公司</v>
      </c>
      <c r="AA1143">
        <f>IF(COUNTIF($O$1:O1143,O1143)=1,L1143,0)</f>
        <v>1330.2</v>
      </c>
    </row>
    <row r="1144" customHeight="1" spans="1:27">
      <c r="A1144" s="21" t="s">
        <v>2166</v>
      </c>
      <c r="B1144" s="21" t="s">
        <v>45</v>
      </c>
      <c r="C1144" s="21" t="s">
        <v>1072</v>
      </c>
      <c r="D1144" s="21" t="s">
        <v>1073</v>
      </c>
      <c r="E1144" s="21" t="s">
        <v>1074</v>
      </c>
      <c r="F1144" s="21" t="s">
        <v>49</v>
      </c>
      <c r="G1144" s="21" t="s">
        <v>238</v>
      </c>
      <c r="H1144" s="21" t="s">
        <v>117</v>
      </c>
      <c r="I1144" s="26">
        <v>20</v>
      </c>
      <c r="J1144" s="26">
        <v>300</v>
      </c>
      <c r="K1144" s="21" t="s">
        <v>52</v>
      </c>
      <c r="L1144" s="27">
        <v>4434</v>
      </c>
      <c r="M1144" s="21"/>
      <c r="N1144" s="21"/>
      <c r="O1144" s="21" t="s">
        <v>2167</v>
      </c>
      <c r="P1144" s="21" t="s">
        <v>54</v>
      </c>
      <c r="Q1144" s="28">
        <v>46107</v>
      </c>
      <c r="R1144" s="29">
        <v>46107.3551041667</v>
      </c>
      <c r="S1144" s="21" t="s">
        <v>1076</v>
      </c>
      <c r="T1144" s="21"/>
      <c r="U1144" s="21" t="s">
        <v>1077</v>
      </c>
      <c r="V1144" s="29">
        <v>46107.3550578704</v>
      </c>
      <c r="W1144">
        <f>VLOOKUP(H1144,物料編碼!A:B,2,0)</f>
        <v>1300607015</v>
      </c>
      <c r="X1144">
        <v>1300607</v>
      </c>
      <c r="Y1144" t="str">
        <f>VLOOKUP(X1144,物料編碼!D:G,4,0)</f>
        <v>帶皮腿扒</v>
      </c>
      <c r="Z1144" t="str">
        <f>VLOOKUP(C1144,客戶屬性1!A:C,2,0)</f>
        <v>昭楠贸易有限公司</v>
      </c>
      <c r="AA1144">
        <f>IF(COUNTIF($O$1:O1144,O1144)=1,L1144,0)</f>
        <v>4434</v>
      </c>
    </row>
    <row r="1145" customHeight="1" spans="1:27">
      <c r="A1145" s="21" t="s">
        <v>2168</v>
      </c>
      <c r="B1145" s="21" t="s">
        <v>45</v>
      </c>
      <c r="C1145" s="21" t="s">
        <v>235</v>
      </c>
      <c r="D1145" s="21" t="s">
        <v>236</v>
      </c>
      <c r="E1145" s="21" t="s">
        <v>237</v>
      </c>
      <c r="F1145" s="21" t="s">
        <v>49</v>
      </c>
      <c r="G1145" s="21" t="s">
        <v>238</v>
      </c>
      <c r="H1145" s="21" t="s">
        <v>75</v>
      </c>
      <c r="I1145" s="26">
        <v>5</v>
      </c>
      <c r="J1145" s="26">
        <v>75</v>
      </c>
      <c r="K1145" s="21" t="s">
        <v>52</v>
      </c>
      <c r="L1145" s="27">
        <v>959.25</v>
      </c>
      <c r="M1145" s="21"/>
      <c r="N1145" s="21"/>
      <c r="O1145" s="21" t="s">
        <v>2169</v>
      </c>
      <c r="P1145" s="21" t="s">
        <v>54</v>
      </c>
      <c r="Q1145" s="28">
        <v>46107</v>
      </c>
      <c r="R1145" s="29">
        <v>46106.8262037037</v>
      </c>
      <c r="S1145" s="21" t="s">
        <v>241</v>
      </c>
      <c r="T1145" s="21"/>
      <c r="U1145" s="21" t="s">
        <v>237</v>
      </c>
      <c r="V1145" s="29">
        <v>46106.8261458333</v>
      </c>
      <c r="W1145">
        <f>VLOOKUP(H1145,物料編碼!A:B,2,0)</f>
        <v>1300603040</v>
      </c>
      <c r="X1145">
        <v>1300603</v>
      </c>
      <c r="Y1145" t="str">
        <f>VLOOKUP(X1145,物料編碼!D:G,4,0)</f>
        <v>帶骨全腿</v>
      </c>
      <c r="Z1145" t="str">
        <f>VLOOKUP(C1145,客戶屬性1!A:C,2,0)</f>
        <v>联合林记食品有限公司</v>
      </c>
      <c r="AA1145">
        <f>IF(COUNTIF($O$1:O1145,O1145)=1,L1145,0)</f>
        <v>959.25</v>
      </c>
    </row>
    <row r="1146" customHeight="1" spans="1:27">
      <c r="A1146" s="21" t="s">
        <v>2170</v>
      </c>
      <c r="B1146" s="21" t="s">
        <v>45</v>
      </c>
      <c r="C1146" s="21" t="s">
        <v>235</v>
      </c>
      <c r="D1146" s="21" t="s">
        <v>236</v>
      </c>
      <c r="E1146" s="21" t="s">
        <v>237</v>
      </c>
      <c r="F1146" s="21" t="s">
        <v>49</v>
      </c>
      <c r="G1146" s="21" t="s">
        <v>238</v>
      </c>
      <c r="H1146" s="21" t="s">
        <v>190</v>
      </c>
      <c r="I1146" s="26">
        <v>8</v>
      </c>
      <c r="J1146" s="26">
        <v>96</v>
      </c>
      <c r="K1146" s="21" t="s">
        <v>52</v>
      </c>
      <c r="L1146" s="27">
        <v>1507.2</v>
      </c>
      <c r="M1146" s="21"/>
      <c r="N1146" s="21"/>
      <c r="O1146" s="21" t="s">
        <v>2171</v>
      </c>
      <c r="P1146" s="21" t="s">
        <v>54</v>
      </c>
      <c r="Q1146" s="28">
        <v>46107</v>
      </c>
      <c r="R1146" s="29">
        <v>46106.5075347222</v>
      </c>
      <c r="S1146" s="21" t="s">
        <v>241</v>
      </c>
      <c r="T1146" s="21"/>
      <c r="U1146" s="21" t="s">
        <v>237</v>
      </c>
      <c r="V1146" s="29">
        <v>46106.5074884259</v>
      </c>
      <c r="W1146">
        <f>VLOOKUP(H1146,物料編碼!A:B,2,0)</f>
        <v>1300609001</v>
      </c>
      <c r="X1146">
        <v>1300609</v>
      </c>
      <c r="Y1146" t="str">
        <f>VLOOKUP(X1146,物料編碼!D:G,4,0)</f>
        <v>去皮上腿肉</v>
      </c>
      <c r="Z1146" t="str">
        <f>VLOOKUP(C1146,客戶屬性1!A:C,2,0)</f>
        <v>联合林记食品有限公司</v>
      </c>
      <c r="AA1146">
        <f>IF(COUNTIF($O$1:O1146,O1146)=1,L1146,0)</f>
        <v>1507.2</v>
      </c>
    </row>
    <row r="1147" customHeight="1" spans="1:27">
      <c r="A1147" s="21" t="s">
        <v>2172</v>
      </c>
      <c r="B1147" s="21" t="s">
        <v>45</v>
      </c>
      <c r="C1147" s="21" t="s">
        <v>1072</v>
      </c>
      <c r="D1147" s="21" t="s">
        <v>1073</v>
      </c>
      <c r="E1147" s="21" t="s">
        <v>1074</v>
      </c>
      <c r="F1147" s="21" t="s">
        <v>49</v>
      </c>
      <c r="G1147" s="21" t="s">
        <v>238</v>
      </c>
      <c r="H1147" s="21" t="s">
        <v>117</v>
      </c>
      <c r="I1147" s="26">
        <v>20</v>
      </c>
      <c r="J1147" s="26">
        <v>300</v>
      </c>
      <c r="K1147" s="21" t="s">
        <v>52</v>
      </c>
      <c r="L1147" s="27">
        <v>4434</v>
      </c>
      <c r="M1147" s="21"/>
      <c r="N1147" s="21"/>
      <c r="O1147" s="21" t="s">
        <v>2173</v>
      </c>
      <c r="P1147" s="21" t="s">
        <v>183</v>
      </c>
      <c r="Q1147" s="28">
        <v>46107</v>
      </c>
      <c r="R1147" s="29">
        <v>46106.4920486111</v>
      </c>
      <c r="S1147" s="21" t="s">
        <v>1076</v>
      </c>
      <c r="T1147" s="21"/>
      <c r="U1147" s="21" t="s">
        <v>1077</v>
      </c>
      <c r="V1147" s="29">
        <v>46106.4920023148</v>
      </c>
      <c r="W1147">
        <f>VLOOKUP(H1147,物料編碼!A:B,2,0)</f>
        <v>1300607015</v>
      </c>
      <c r="X1147">
        <v>1300607</v>
      </c>
      <c r="Y1147" t="str">
        <f>VLOOKUP(X1147,物料編碼!D:G,4,0)</f>
        <v>帶皮腿扒</v>
      </c>
      <c r="Z1147" t="str">
        <f>VLOOKUP(C1147,客戶屬性1!A:C,2,0)</f>
        <v>昭楠贸易有限公司</v>
      </c>
      <c r="AA1147">
        <f>IF(COUNTIF($O$1:O1147,O1147)=1,L1147,0)</f>
        <v>4434</v>
      </c>
    </row>
    <row r="1148" customHeight="1" spans="1:27">
      <c r="A1148" s="21" t="s">
        <v>2174</v>
      </c>
      <c r="B1148" s="21" t="s">
        <v>45</v>
      </c>
      <c r="C1148" s="21" t="s">
        <v>2106</v>
      </c>
      <c r="D1148" s="21" t="s">
        <v>2107</v>
      </c>
      <c r="E1148" s="21" t="s">
        <v>2108</v>
      </c>
      <c r="F1148" s="21" t="s">
        <v>49</v>
      </c>
      <c r="G1148" s="21" t="s">
        <v>50</v>
      </c>
      <c r="H1148" s="21" t="s">
        <v>190</v>
      </c>
      <c r="I1148" s="26">
        <v>4</v>
      </c>
      <c r="J1148" s="26">
        <v>48</v>
      </c>
      <c r="K1148" s="21" t="s">
        <v>52</v>
      </c>
      <c r="L1148" s="27">
        <v>758.4</v>
      </c>
      <c r="M1148" s="21"/>
      <c r="N1148" s="21"/>
      <c r="O1148" s="21" t="s">
        <v>2175</v>
      </c>
      <c r="P1148" s="21" t="s">
        <v>54</v>
      </c>
      <c r="Q1148" s="28">
        <v>46106</v>
      </c>
      <c r="R1148" s="29">
        <v>46106.430162037</v>
      </c>
      <c r="S1148" s="21" t="s">
        <v>2110</v>
      </c>
      <c r="T1148" s="21"/>
      <c r="U1148" s="21" t="s">
        <v>2108</v>
      </c>
      <c r="V1148" s="29">
        <v>46106.4301157407</v>
      </c>
      <c r="W1148">
        <f>VLOOKUP(H1148,物料編碼!A:B,2,0)</f>
        <v>1300609001</v>
      </c>
      <c r="X1148">
        <v>1300609</v>
      </c>
      <c r="Y1148" t="str">
        <f>VLOOKUP(X1148,物料編碼!D:G,4,0)</f>
        <v>去皮上腿肉</v>
      </c>
      <c r="Z1148" t="str">
        <f>VLOOKUP(C1148,客戶屬性1!A:C,2,0)</f>
        <v>瑞兴肉食有限公司</v>
      </c>
      <c r="AA1148">
        <f>IF(COUNTIF($O$1:O1148,O1148)=1,L1148,0)</f>
        <v>758.4</v>
      </c>
    </row>
    <row r="1149" customHeight="1" spans="1:27">
      <c r="A1149" s="21" t="s">
        <v>2176</v>
      </c>
      <c r="B1149" s="21" t="s">
        <v>45</v>
      </c>
      <c r="C1149" s="21" t="s">
        <v>133</v>
      </c>
      <c r="D1149" s="21" t="s">
        <v>134</v>
      </c>
      <c r="E1149" s="21" t="s">
        <v>135</v>
      </c>
      <c r="F1149" s="21" t="s">
        <v>49</v>
      </c>
      <c r="G1149" s="21" t="s">
        <v>136</v>
      </c>
      <c r="H1149" s="21" t="s">
        <v>117</v>
      </c>
      <c r="I1149" s="26">
        <v>20</v>
      </c>
      <c r="J1149" s="26">
        <v>300</v>
      </c>
      <c r="K1149" s="21" t="s">
        <v>52</v>
      </c>
      <c r="L1149" s="27">
        <v>4500</v>
      </c>
      <c r="M1149" s="21"/>
      <c r="N1149" s="21"/>
      <c r="O1149" s="21"/>
      <c r="P1149" s="21" t="s">
        <v>369</v>
      </c>
      <c r="Q1149" s="28">
        <v>46106</v>
      </c>
      <c r="R1149" s="29">
        <v>46106.4251041667</v>
      </c>
      <c r="S1149" s="21" t="s">
        <v>139</v>
      </c>
      <c r="T1149" s="21"/>
      <c r="U1149" s="21" t="s">
        <v>134</v>
      </c>
      <c r="V1149" s="29">
        <v>46106.4250578704</v>
      </c>
      <c r="W1149">
        <f>VLOOKUP(H1149,物料編碼!A:B,2,0)</f>
        <v>1300607015</v>
      </c>
      <c r="X1149">
        <v>1300607</v>
      </c>
      <c r="Y1149" t="str">
        <f>VLOOKUP(X1149,物料編碼!D:G,4,0)</f>
        <v>帶皮腿扒</v>
      </c>
      <c r="Z1149" t="str">
        <f>VLOOKUP(C1149,客戶屬性1!A:C,2,0)</f>
        <v>恒昌冻肉食品有限公司</v>
      </c>
      <c r="AA1149">
        <f>IF(COUNTIF($O$1:O1149,O1149)=1,L1149,0)</f>
        <v>0</v>
      </c>
    </row>
    <row r="1150" customHeight="1" spans="1:27">
      <c r="A1150" s="21" t="s">
        <v>2177</v>
      </c>
      <c r="B1150" s="21" t="s">
        <v>45</v>
      </c>
      <c r="C1150" s="21" t="s">
        <v>126</v>
      </c>
      <c r="D1150" s="21" t="s">
        <v>127</v>
      </c>
      <c r="E1150" s="21" t="s">
        <v>128</v>
      </c>
      <c r="F1150" s="21" t="s">
        <v>49</v>
      </c>
      <c r="G1150" s="21" t="s">
        <v>129</v>
      </c>
      <c r="H1150" s="21" t="s">
        <v>117</v>
      </c>
      <c r="I1150" s="26">
        <v>20</v>
      </c>
      <c r="J1150" s="26">
        <v>300</v>
      </c>
      <c r="K1150" s="21" t="s">
        <v>52</v>
      </c>
      <c r="L1150" s="27">
        <v>9240</v>
      </c>
      <c r="M1150" s="21"/>
      <c r="N1150" s="21"/>
      <c r="O1150" s="21" t="s">
        <v>2178</v>
      </c>
      <c r="P1150" s="21" t="s">
        <v>54</v>
      </c>
      <c r="Q1150" s="28">
        <v>46106</v>
      </c>
      <c r="R1150" s="29">
        <v>46106.4024537037</v>
      </c>
      <c r="S1150" s="21" t="s">
        <v>131</v>
      </c>
      <c r="T1150" s="21"/>
      <c r="U1150" s="21" t="s">
        <v>127</v>
      </c>
      <c r="V1150" s="29">
        <v>46106.4024074074</v>
      </c>
      <c r="W1150">
        <f>VLOOKUP(H1150,物料編碼!A:B,2,0)</f>
        <v>1300607015</v>
      </c>
      <c r="X1150">
        <v>1300607</v>
      </c>
      <c r="Y1150" t="str">
        <f>VLOOKUP(X1150,物料編碼!D:G,4,0)</f>
        <v>帶皮腿扒</v>
      </c>
      <c r="Z1150" t="str">
        <f>VLOOKUP(C1150,客戶屬性1!A:C,2,0)</f>
        <v>福源食品有限公司</v>
      </c>
      <c r="AA1150">
        <f>IF(COUNTIF($O$1:O1150,O1150)=1,L1150,0)</f>
        <v>9240</v>
      </c>
    </row>
    <row r="1151" customHeight="1" spans="1:27">
      <c r="A1151" s="21" t="s">
        <v>2177</v>
      </c>
      <c r="B1151" s="21" t="s">
        <v>45</v>
      </c>
      <c r="C1151" s="21" t="s">
        <v>126</v>
      </c>
      <c r="D1151" s="21" t="s">
        <v>127</v>
      </c>
      <c r="E1151" s="21" t="s">
        <v>128</v>
      </c>
      <c r="F1151" s="21" t="s">
        <v>49</v>
      </c>
      <c r="G1151" s="21" t="s">
        <v>129</v>
      </c>
      <c r="H1151" s="21" t="s">
        <v>190</v>
      </c>
      <c r="I1151" s="26">
        <v>25</v>
      </c>
      <c r="J1151" s="26">
        <v>300</v>
      </c>
      <c r="K1151" s="21" t="s">
        <v>52</v>
      </c>
      <c r="L1151" s="27">
        <v>9240</v>
      </c>
      <c r="M1151" s="21"/>
      <c r="N1151" s="21"/>
      <c r="O1151" s="21" t="s">
        <v>2178</v>
      </c>
      <c r="P1151" s="21" t="s">
        <v>54</v>
      </c>
      <c r="Q1151" s="28">
        <v>46106</v>
      </c>
      <c r="R1151" s="29">
        <v>46106.4024537037</v>
      </c>
      <c r="S1151" s="21" t="s">
        <v>131</v>
      </c>
      <c r="T1151" s="21"/>
      <c r="U1151" s="21" t="s">
        <v>127</v>
      </c>
      <c r="V1151" s="29">
        <v>46106.4024074074</v>
      </c>
      <c r="W1151">
        <f>VLOOKUP(H1151,物料編碼!A:B,2,0)</f>
        <v>1300609001</v>
      </c>
      <c r="X1151">
        <v>1300609</v>
      </c>
      <c r="Y1151" t="str">
        <f>VLOOKUP(X1151,物料編碼!D:G,4,0)</f>
        <v>去皮上腿肉</v>
      </c>
      <c r="Z1151" t="str">
        <f>VLOOKUP(C1151,客戶屬性1!A:C,2,0)</f>
        <v>福源食品有限公司</v>
      </c>
      <c r="AA1151">
        <f>IF(COUNTIF($O$1:O1151,O1151)=1,L1151,0)</f>
        <v>0</v>
      </c>
    </row>
    <row r="1152" customHeight="1" spans="1:27">
      <c r="A1152" s="21" t="s">
        <v>2179</v>
      </c>
      <c r="B1152" s="21" t="s">
        <v>45</v>
      </c>
      <c r="C1152" s="21" t="s">
        <v>858</v>
      </c>
      <c r="D1152" s="21" t="s">
        <v>859</v>
      </c>
      <c r="E1152" s="21" t="s">
        <v>860</v>
      </c>
      <c r="F1152" s="21" t="s">
        <v>49</v>
      </c>
      <c r="G1152" s="21" t="s">
        <v>136</v>
      </c>
      <c r="H1152" s="21" t="s">
        <v>75</v>
      </c>
      <c r="I1152" s="26">
        <v>4</v>
      </c>
      <c r="J1152" s="26">
        <v>60</v>
      </c>
      <c r="K1152" s="21" t="s">
        <v>52</v>
      </c>
      <c r="L1152" s="27">
        <v>767.4</v>
      </c>
      <c r="M1152" s="21"/>
      <c r="N1152" s="21"/>
      <c r="O1152" s="21" t="s">
        <v>2180</v>
      </c>
      <c r="P1152" s="21" t="s">
        <v>54</v>
      </c>
      <c r="Q1152" s="28">
        <v>46106</v>
      </c>
      <c r="R1152" s="29">
        <v>46105.7335069444</v>
      </c>
      <c r="S1152" s="21" t="s">
        <v>863</v>
      </c>
      <c r="T1152" s="21"/>
      <c r="U1152" s="21" t="s">
        <v>859</v>
      </c>
      <c r="V1152" s="29">
        <v>46105.7334490741</v>
      </c>
      <c r="W1152">
        <f>VLOOKUP(H1152,物料編碼!A:B,2,0)</f>
        <v>1300603040</v>
      </c>
      <c r="X1152">
        <v>1300603</v>
      </c>
      <c r="Y1152" t="str">
        <f>VLOOKUP(X1152,物料編碼!D:G,4,0)</f>
        <v>帶骨全腿</v>
      </c>
      <c r="Z1152" t="str">
        <f>VLOOKUP(C1152,客戶屬性1!A:C,2,0)</f>
        <v>福伟集团有限公司</v>
      </c>
      <c r="AA1152">
        <f>IF(COUNTIF($O$1:O1152,O1152)=1,L1152,0)</f>
        <v>767.4</v>
      </c>
    </row>
    <row r="1153" customHeight="1" spans="1:27">
      <c r="A1153" s="21" t="s">
        <v>2181</v>
      </c>
      <c r="B1153" s="21" t="s">
        <v>45</v>
      </c>
      <c r="C1153" s="21" t="s">
        <v>126</v>
      </c>
      <c r="D1153" s="21" t="s">
        <v>127</v>
      </c>
      <c r="E1153" s="21" t="s">
        <v>128</v>
      </c>
      <c r="F1153" s="21" t="s">
        <v>49</v>
      </c>
      <c r="G1153" s="21" t="s">
        <v>129</v>
      </c>
      <c r="H1153" s="21" t="s">
        <v>75</v>
      </c>
      <c r="I1153" s="26">
        <v>20</v>
      </c>
      <c r="J1153" s="26">
        <v>300</v>
      </c>
      <c r="K1153" s="21" t="s">
        <v>52</v>
      </c>
      <c r="L1153" s="27">
        <v>3837</v>
      </c>
      <c r="M1153" s="21"/>
      <c r="N1153" s="21"/>
      <c r="O1153" s="21" t="s">
        <v>2182</v>
      </c>
      <c r="P1153" s="21" t="s">
        <v>54</v>
      </c>
      <c r="Q1153" s="28">
        <v>46106</v>
      </c>
      <c r="R1153" s="29">
        <v>46105.666875</v>
      </c>
      <c r="S1153" s="21" t="s">
        <v>131</v>
      </c>
      <c r="T1153" s="21"/>
      <c r="U1153" s="21" t="s">
        <v>127</v>
      </c>
      <c r="V1153" s="29">
        <v>46105.6668287037</v>
      </c>
      <c r="W1153">
        <f>VLOOKUP(H1153,物料編碼!A:B,2,0)</f>
        <v>1300603040</v>
      </c>
      <c r="X1153">
        <v>1300603</v>
      </c>
      <c r="Y1153" t="str">
        <f>VLOOKUP(X1153,物料編碼!D:G,4,0)</f>
        <v>帶骨全腿</v>
      </c>
      <c r="Z1153" t="str">
        <f>VLOOKUP(C1153,客戶屬性1!A:C,2,0)</f>
        <v>福源食品有限公司</v>
      </c>
      <c r="AA1153">
        <f>IF(COUNTIF($O$1:O1153,O1153)=1,L1153,0)</f>
        <v>3837</v>
      </c>
    </row>
    <row r="1154" customHeight="1" spans="1:27">
      <c r="A1154" s="21" t="s">
        <v>2183</v>
      </c>
      <c r="B1154" s="21" t="s">
        <v>45</v>
      </c>
      <c r="C1154" s="21" t="s">
        <v>235</v>
      </c>
      <c r="D1154" s="21" t="s">
        <v>236</v>
      </c>
      <c r="E1154" s="21" t="s">
        <v>237</v>
      </c>
      <c r="F1154" s="21" t="s">
        <v>49</v>
      </c>
      <c r="G1154" s="21" t="s">
        <v>238</v>
      </c>
      <c r="H1154" s="21" t="s">
        <v>190</v>
      </c>
      <c r="I1154" s="26">
        <v>12</v>
      </c>
      <c r="J1154" s="26">
        <v>144</v>
      </c>
      <c r="K1154" s="21" t="s">
        <v>52</v>
      </c>
      <c r="L1154" s="27">
        <v>2260.8</v>
      </c>
      <c r="M1154" s="21"/>
      <c r="N1154" s="21"/>
      <c r="O1154" s="21" t="s">
        <v>2184</v>
      </c>
      <c r="P1154" s="21" t="s">
        <v>54</v>
      </c>
      <c r="Q1154" s="28">
        <v>46106</v>
      </c>
      <c r="R1154" s="29">
        <v>46105.5043981482</v>
      </c>
      <c r="S1154" s="21" t="s">
        <v>241</v>
      </c>
      <c r="T1154" s="21"/>
      <c r="U1154" s="21" t="s">
        <v>237</v>
      </c>
      <c r="V1154" s="29">
        <v>46105.5043518519</v>
      </c>
      <c r="W1154">
        <f>VLOOKUP(H1154,物料編碼!A:B,2,0)</f>
        <v>1300609001</v>
      </c>
      <c r="X1154">
        <v>1300609</v>
      </c>
      <c r="Y1154" t="str">
        <f>VLOOKUP(X1154,物料編碼!D:G,4,0)</f>
        <v>去皮上腿肉</v>
      </c>
      <c r="Z1154" t="str">
        <f>VLOOKUP(C1154,客戶屬性1!A:C,2,0)</f>
        <v>联合林记食品有限公司</v>
      </c>
      <c r="AA1154">
        <f>IF(COUNTIF($O$1:O1154,O1154)=1,L1154,0)</f>
        <v>2260.8</v>
      </c>
    </row>
    <row r="1155" customHeight="1" spans="1:27">
      <c r="A1155" s="21" t="s">
        <v>2185</v>
      </c>
      <c r="B1155" s="21" t="s">
        <v>45</v>
      </c>
      <c r="C1155" s="21" t="s">
        <v>141</v>
      </c>
      <c r="D1155" s="21" t="s">
        <v>142</v>
      </c>
      <c r="E1155" s="21" t="s">
        <v>142</v>
      </c>
      <c r="F1155" s="21" t="s">
        <v>143</v>
      </c>
      <c r="G1155" s="21" t="s">
        <v>100</v>
      </c>
      <c r="H1155" s="21" t="s">
        <v>117</v>
      </c>
      <c r="I1155" s="26">
        <v>3</v>
      </c>
      <c r="J1155" s="26">
        <v>45</v>
      </c>
      <c r="K1155" s="21" t="s">
        <v>52</v>
      </c>
      <c r="L1155" s="27">
        <v>2130.1</v>
      </c>
      <c r="M1155" s="21"/>
      <c r="N1155" s="21"/>
      <c r="O1155" s="21" t="s">
        <v>2186</v>
      </c>
      <c r="P1155" s="21" t="s">
        <v>54</v>
      </c>
      <c r="Q1155" s="28">
        <v>46106</v>
      </c>
      <c r="R1155" s="29">
        <v>46105.4973958333</v>
      </c>
      <c r="S1155" s="21" t="s">
        <v>145</v>
      </c>
      <c r="T1155" s="21"/>
      <c r="U1155" s="21" t="s">
        <v>142</v>
      </c>
      <c r="V1155" s="29">
        <v>46105.497337963</v>
      </c>
      <c r="W1155">
        <f>VLOOKUP(H1155,物料編碼!A:B,2,0)</f>
        <v>1300607015</v>
      </c>
      <c r="X1155">
        <v>1300607</v>
      </c>
      <c r="Y1155" t="str">
        <f>VLOOKUP(X1155,物料編碼!D:G,4,0)</f>
        <v>帶皮腿扒</v>
      </c>
      <c r="Z1155" t="str">
        <f>VLOOKUP(C1155,客戶屬性1!A:C,2,0)</f>
        <v>新昌冻肉</v>
      </c>
      <c r="AA1155">
        <f>IF(COUNTIF($O$1:O1155,O1155)=1,L1155,0)</f>
        <v>2130.1</v>
      </c>
    </row>
    <row r="1156" customHeight="1" spans="1:27">
      <c r="A1156" s="21" t="s">
        <v>2185</v>
      </c>
      <c r="B1156" s="21" t="s">
        <v>45</v>
      </c>
      <c r="C1156" s="21" t="s">
        <v>141</v>
      </c>
      <c r="D1156" s="21" t="s">
        <v>142</v>
      </c>
      <c r="E1156" s="21" t="s">
        <v>142</v>
      </c>
      <c r="F1156" s="21" t="s">
        <v>143</v>
      </c>
      <c r="G1156" s="21" t="s">
        <v>100</v>
      </c>
      <c r="H1156" s="21" t="s">
        <v>60</v>
      </c>
      <c r="I1156" s="26">
        <v>1</v>
      </c>
      <c r="J1156" s="26">
        <v>25</v>
      </c>
      <c r="K1156" s="21" t="s">
        <v>52</v>
      </c>
      <c r="L1156" s="27">
        <v>2130.1</v>
      </c>
      <c r="M1156" s="21"/>
      <c r="N1156" s="21"/>
      <c r="O1156" s="21" t="s">
        <v>2186</v>
      </c>
      <c r="P1156" s="21" t="s">
        <v>54</v>
      </c>
      <c r="Q1156" s="28">
        <v>46106</v>
      </c>
      <c r="R1156" s="29">
        <v>46105.4973958333</v>
      </c>
      <c r="S1156" s="21" t="s">
        <v>145</v>
      </c>
      <c r="T1156" s="21"/>
      <c r="U1156" s="21" t="s">
        <v>142</v>
      </c>
      <c r="V1156" s="29">
        <v>46105.497337963</v>
      </c>
      <c r="W1156">
        <f>VLOOKUP(H1156,物料編碼!A:B,2,0)</f>
        <v>1300101043</v>
      </c>
      <c r="X1156">
        <v>1300101</v>
      </c>
      <c r="Y1156" t="str">
        <f>VLOOKUP(X1156,物料編碼!D:G,4,0)</f>
        <v>一號肉</v>
      </c>
      <c r="Z1156" t="str">
        <f>VLOOKUP(C1156,客戶屬性1!A:C,2,0)</f>
        <v>新昌冻肉</v>
      </c>
      <c r="AA1156">
        <f>IF(COUNTIF($O$1:O1156,O1156)=1,L1156,0)</f>
        <v>0</v>
      </c>
    </row>
    <row r="1157" customHeight="1" spans="1:27">
      <c r="A1157" s="21" t="s">
        <v>2185</v>
      </c>
      <c r="B1157" s="21" t="s">
        <v>45</v>
      </c>
      <c r="C1157" s="21" t="s">
        <v>141</v>
      </c>
      <c r="D1157" s="21" t="s">
        <v>142</v>
      </c>
      <c r="E1157" s="21" t="s">
        <v>142</v>
      </c>
      <c r="F1157" s="21" t="s">
        <v>143</v>
      </c>
      <c r="G1157" s="21" t="s">
        <v>100</v>
      </c>
      <c r="H1157" s="21" t="s">
        <v>298</v>
      </c>
      <c r="I1157" s="26">
        <v>1</v>
      </c>
      <c r="J1157" s="26">
        <v>10</v>
      </c>
      <c r="K1157" s="21" t="s">
        <v>52</v>
      </c>
      <c r="L1157" s="27">
        <v>2130.1</v>
      </c>
      <c r="M1157" s="21"/>
      <c r="N1157" s="21"/>
      <c r="O1157" s="21" t="s">
        <v>2186</v>
      </c>
      <c r="P1157" s="21" t="s">
        <v>54</v>
      </c>
      <c r="Q1157" s="28">
        <v>46106</v>
      </c>
      <c r="R1157" s="29">
        <v>46105.4973958333</v>
      </c>
      <c r="S1157" s="21" t="s">
        <v>145</v>
      </c>
      <c r="T1157" s="21"/>
      <c r="U1157" s="21" t="s">
        <v>142</v>
      </c>
      <c r="V1157" s="29">
        <v>46105.497337963</v>
      </c>
      <c r="W1157">
        <f>VLOOKUP(H1157,物料編碼!A:B,2,0)</f>
        <v>1300111003</v>
      </c>
      <c r="X1157">
        <v>1300111</v>
      </c>
      <c r="Y1157" t="str">
        <f>VLOOKUP(X1157,物料編碼!D:G,4,0)</f>
        <v>寸骨</v>
      </c>
      <c r="Z1157" t="str">
        <f>VLOOKUP(C1157,客戶屬性1!A:C,2,0)</f>
        <v>新昌冻肉</v>
      </c>
      <c r="AA1157">
        <f>IF(COUNTIF($O$1:O1157,O1157)=1,L1157,0)</f>
        <v>0</v>
      </c>
    </row>
    <row r="1158" customHeight="1" spans="1:27">
      <c r="A1158" s="21" t="s">
        <v>2187</v>
      </c>
      <c r="B1158" s="21" t="s">
        <v>45</v>
      </c>
      <c r="C1158" s="21" t="s">
        <v>46</v>
      </c>
      <c r="D1158" s="21" t="s">
        <v>47</v>
      </c>
      <c r="E1158" s="21" t="s">
        <v>48</v>
      </c>
      <c r="F1158" s="21" t="s">
        <v>49</v>
      </c>
      <c r="G1158" s="21" t="s">
        <v>50</v>
      </c>
      <c r="H1158" s="21" t="s">
        <v>63</v>
      </c>
      <c r="I1158" s="26">
        <v>1</v>
      </c>
      <c r="J1158" s="26">
        <v>25</v>
      </c>
      <c r="K1158" s="21" t="s">
        <v>52</v>
      </c>
      <c r="L1158" s="27">
        <v>815</v>
      </c>
      <c r="M1158" s="21"/>
      <c r="N1158" s="21"/>
      <c r="O1158" s="21" t="s">
        <v>2188</v>
      </c>
      <c r="P1158" s="21" t="s">
        <v>54</v>
      </c>
      <c r="Q1158" s="28">
        <v>46105</v>
      </c>
      <c r="R1158" s="29">
        <v>46105.4441319444</v>
      </c>
      <c r="S1158" s="21" t="s">
        <v>55</v>
      </c>
      <c r="T1158" s="21"/>
      <c r="U1158" s="21" t="s">
        <v>47</v>
      </c>
      <c r="V1158" s="29">
        <v>46105.4440856481</v>
      </c>
      <c r="W1158">
        <f>VLOOKUP(H1158,物料編碼!A:B,2,0)</f>
        <v>1300109002</v>
      </c>
      <c r="X1158">
        <v>1300109</v>
      </c>
      <c r="Y1158" t="str">
        <f>VLOOKUP(X1158,物料編碼!D:G,4,0)</f>
        <v>面精肉</v>
      </c>
      <c r="Z1158" t="str">
        <f>VLOOKUP(C1158,客戶屬性1!A:C,2,0)</f>
        <v>明记冻肉</v>
      </c>
      <c r="AA1158">
        <f>IF(COUNTIF($O$1:O1158,O1158)=1,L1158,0)</f>
        <v>815</v>
      </c>
    </row>
    <row r="1159" customHeight="1" spans="1:27">
      <c r="A1159" s="21" t="s">
        <v>2189</v>
      </c>
      <c r="B1159" s="21" t="s">
        <v>45</v>
      </c>
      <c r="C1159" s="21" t="s">
        <v>235</v>
      </c>
      <c r="D1159" s="21" t="s">
        <v>236</v>
      </c>
      <c r="E1159" s="21" t="s">
        <v>237</v>
      </c>
      <c r="F1159" s="21" t="s">
        <v>49</v>
      </c>
      <c r="G1159" s="21" t="s">
        <v>238</v>
      </c>
      <c r="H1159" s="21" t="s">
        <v>190</v>
      </c>
      <c r="I1159" s="26">
        <v>3</v>
      </c>
      <c r="J1159" s="26">
        <v>36</v>
      </c>
      <c r="K1159" s="21" t="s">
        <v>52</v>
      </c>
      <c r="L1159" s="27">
        <v>568.8</v>
      </c>
      <c r="M1159" s="21"/>
      <c r="N1159" s="21"/>
      <c r="O1159" s="21" t="s">
        <v>2190</v>
      </c>
      <c r="P1159" s="21" t="s">
        <v>54</v>
      </c>
      <c r="Q1159" s="28">
        <v>46105</v>
      </c>
      <c r="R1159" s="29">
        <v>46105.4158101852</v>
      </c>
      <c r="S1159" s="21" t="s">
        <v>241</v>
      </c>
      <c r="T1159" s="21"/>
      <c r="U1159" s="21" t="s">
        <v>237</v>
      </c>
      <c r="V1159" s="29">
        <v>46105.4157523148</v>
      </c>
      <c r="W1159">
        <f>VLOOKUP(H1159,物料編碼!A:B,2,0)</f>
        <v>1300609001</v>
      </c>
      <c r="X1159">
        <v>1300609</v>
      </c>
      <c r="Y1159" t="str">
        <f>VLOOKUP(X1159,物料編碼!D:G,4,0)</f>
        <v>去皮上腿肉</v>
      </c>
      <c r="Z1159" t="str">
        <f>VLOOKUP(C1159,客戶屬性1!A:C,2,0)</f>
        <v>联合林记食品有限公司</v>
      </c>
      <c r="AA1159">
        <f>IF(COUNTIF($O$1:O1159,O1159)=1,L1159,0)</f>
        <v>568.8</v>
      </c>
    </row>
    <row r="1160" customHeight="1" spans="1:27">
      <c r="A1160" s="21" t="s">
        <v>2191</v>
      </c>
      <c r="B1160" s="21" t="s">
        <v>45</v>
      </c>
      <c r="C1160" s="21" t="s">
        <v>2192</v>
      </c>
      <c r="D1160" s="21" t="s">
        <v>2193</v>
      </c>
      <c r="E1160" s="21" t="s">
        <v>2194</v>
      </c>
      <c r="F1160" s="21" t="s">
        <v>49</v>
      </c>
      <c r="G1160" s="21" t="s">
        <v>89</v>
      </c>
      <c r="H1160" s="21" t="s">
        <v>137</v>
      </c>
      <c r="I1160" s="26">
        <v>2</v>
      </c>
      <c r="J1160" s="26">
        <v>36</v>
      </c>
      <c r="K1160" s="21" t="s">
        <v>52</v>
      </c>
      <c r="L1160" s="27">
        <v>2880</v>
      </c>
      <c r="M1160" s="21"/>
      <c r="N1160" s="21"/>
      <c r="O1160" s="21" t="s">
        <v>2195</v>
      </c>
      <c r="P1160" s="21" t="s">
        <v>54</v>
      </c>
      <c r="Q1160" s="28">
        <v>46105</v>
      </c>
      <c r="R1160" s="29">
        <v>46104.6549652778</v>
      </c>
      <c r="S1160" s="21" t="s">
        <v>2196</v>
      </c>
      <c r="T1160" s="21"/>
      <c r="U1160" s="21" t="s">
        <v>231</v>
      </c>
      <c r="V1160" s="29">
        <v>46104.6549189815</v>
      </c>
      <c r="W1160">
        <f>VLOOKUP(H1160,物料編碼!A:B,2,0)</f>
        <v>1300503009</v>
      </c>
      <c r="X1160">
        <v>1300503</v>
      </c>
      <c r="Y1160" t="str">
        <f>VLOOKUP(X1160,物料編碼!D:G,4,0)</f>
        <v>羊肩卷肉</v>
      </c>
      <c r="Z1160" t="str">
        <f>VLOOKUP(C1160,客戶屬性1!A:C,2,0)</f>
        <v>安强冻肉公司</v>
      </c>
      <c r="AA1160">
        <f>IF(COUNTIF($O$1:O1160,O1160)=1,L1160,0)</f>
        <v>2880</v>
      </c>
    </row>
    <row r="1161" customHeight="1" spans="1:27">
      <c r="A1161" s="21" t="s">
        <v>2197</v>
      </c>
      <c r="B1161" s="21" t="s">
        <v>45</v>
      </c>
      <c r="C1161" s="21" t="s">
        <v>2198</v>
      </c>
      <c r="D1161" s="21" t="s">
        <v>2199</v>
      </c>
      <c r="E1161" s="21" t="s">
        <v>2200</v>
      </c>
      <c r="F1161" s="21" t="s">
        <v>49</v>
      </c>
      <c r="G1161" s="21" t="s">
        <v>238</v>
      </c>
      <c r="H1161" s="21" t="s">
        <v>302</v>
      </c>
      <c r="I1161" s="26">
        <v>1</v>
      </c>
      <c r="J1161" s="26">
        <v>12</v>
      </c>
      <c r="K1161" s="21" t="s">
        <v>52</v>
      </c>
      <c r="L1161" s="27">
        <v>192</v>
      </c>
      <c r="M1161" s="21"/>
      <c r="N1161" s="21"/>
      <c r="O1161" s="21" t="s">
        <v>2201</v>
      </c>
      <c r="P1161" s="21" t="s">
        <v>183</v>
      </c>
      <c r="Q1161" s="28">
        <v>46104</v>
      </c>
      <c r="R1161" s="29">
        <v>46104.603287037</v>
      </c>
      <c r="S1161" s="21" t="s">
        <v>2202</v>
      </c>
      <c r="T1161" s="21"/>
      <c r="U1161" s="21" t="s">
        <v>2199</v>
      </c>
      <c r="V1161" s="29">
        <v>46104.6032407407</v>
      </c>
      <c r="W1161">
        <f>VLOOKUP(H1161,物料編碼!A:B,2,0)</f>
        <v>1300609018</v>
      </c>
      <c r="X1161">
        <v>1300609</v>
      </c>
      <c r="Y1161" t="str">
        <f>VLOOKUP(X1161,物料編碼!D:G,4,0)</f>
        <v>去皮上腿肉</v>
      </c>
      <c r="Z1161" t="str">
        <f>VLOOKUP(C1161,客戶屬性1!A:C,2,0)</f>
        <v>大利冻肉有限公司</v>
      </c>
      <c r="AA1161">
        <f>IF(COUNTIF($O$1:O1161,O1161)=1,L1161,0)</f>
        <v>192</v>
      </c>
    </row>
    <row r="1162" customHeight="1" spans="1:27">
      <c r="A1162" s="21" t="s">
        <v>2203</v>
      </c>
      <c r="B1162" s="21" t="s">
        <v>45</v>
      </c>
      <c r="C1162" s="21" t="s">
        <v>1072</v>
      </c>
      <c r="D1162" s="21" t="s">
        <v>1073</v>
      </c>
      <c r="E1162" s="21" t="s">
        <v>1074</v>
      </c>
      <c r="F1162" s="21" t="s">
        <v>49</v>
      </c>
      <c r="G1162" s="21" t="s">
        <v>238</v>
      </c>
      <c r="H1162" s="21" t="s">
        <v>190</v>
      </c>
      <c r="I1162" s="26">
        <v>20</v>
      </c>
      <c r="J1162" s="26">
        <v>240</v>
      </c>
      <c r="K1162" s="21" t="s">
        <v>52</v>
      </c>
      <c r="L1162" s="27">
        <v>3792</v>
      </c>
      <c r="M1162" s="21"/>
      <c r="N1162" s="21"/>
      <c r="O1162" s="21" t="s">
        <v>2204</v>
      </c>
      <c r="P1162" s="21" t="s">
        <v>54</v>
      </c>
      <c r="Q1162" s="28">
        <v>46105</v>
      </c>
      <c r="R1162" s="29">
        <v>46104.5904050926</v>
      </c>
      <c r="S1162" s="21" t="s">
        <v>1076</v>
      </c>
      <c r="T1162" s="21"/>
      <c r="U1162" s="21" t="s">
        <v>1077</v>
      </c>
      <c r="V1162" s="29">
        <v>46104.5903472222</v>
      </c>
      <c r="W1162">
        <f>VLOOKUP(H1162,物料編碼!A:B,2,0)</f>
        <v>1300609001</v>
      </c>
      <c r="X1162">
        <v>1300609</v>
      </c>
      <c r="Y1162" t="str">
        <f>VLOOKUP(X1162,物料編碼!D:G,4,0)</f>
        <v>去皮上腿肉</v>
      </c>
      <c r="Z1162" t="str">
        <f>VLOOKUP(C1162,客戶屬性1!A:C,2,0)</f>
        <v>昭楠贸易有限公司</v>
      </c>
      <c r="AA1162">
        <f>IF(COUNTIF($O$1:O1162,O1162)=1,L1162,0)</f>
        <v>3792</v>
      </c>
    </row>
    <row r="1163" customHeight="1" spans="1:27">
      <c r="A1163" s="21" t="s">
        <v>2205</v>
      </c>
      <c r="B1163" s="21" t="s">
        <v>45</v>
      </c>
      <c r="C1163" s="21" t="s">
        <v>141</v>
      </c>
      <c r="D1163" s="21" t="s">
        <v>142</v>
      </c>
      <c r="E1163" s="21" t="s">
        <v>142</v>
      </c>
      <c r="F1163" s="21" t="s">
        <v>143</v>
      </c>
      <c r="G1163" s="21" t="s">
        <v>100</v>
      </c>
      <c r="H1163" s="21" t="s">
        <v>63</v>
      </c>
      <c r="I1163" s="26">
        <v>1</v>
      </c>
      <c r="J1163" s="26">
        <v>25</v>
      </c>
      <c r="K1163" s="21" t="s">
        <v>52</v>
      </c>
      <c r="L1163" s="27">
        <v>1510</v>
      </c>
      <c r="M1163" s="21"/>
      <c r="N1163" s="21"/>
      <c r="O1163" s="21" t="s">
        <v>2206</v>
      </c>
      <c r="P1163" s="21" t="s">
        <v>54</v>
      </c>
      <c r="Q1163" s="28">
        <v>46105</v>
      </c>
      <c r="R1163" s="29">
        <v>46104.4671064815</v>
      </c>
      <c r="S1163" s="21" t="s">
        <v>145</v>
      </c>
      <c r="T1163" s="21"/>
      <c r="U1163" s="21" t="s">
        <v>142</v>
      </c>
      <c r="V1163" s="29">
        <v>46104.4670601852</v>
      </c>
      <c r="W1163">
        <f>VLOOKUP(H1163,物料編碼!A:B,2,0)</f>
        <v>1300109002</v>
      </c>
      <c r="X1163">
        <v>1300109</v>
      </c>
      <c r="Y1163" t="str">
        <f>VLOOKUP(X1163,物料編碼!D:G,4,0)</f>
        <v>面精肉</v>
      </c>
      <c r="Z1163" t="str">
        <f>VLOOKUP(C1163,客戶屬性1!A:C,2,0)</f>
        <v>新昌冻肉</v>
      </c>
      <c r="AA1163">
        <f>IF(COUNTIF($O$1:O1163,O1163)=1,L1163,0)</f>
        <v>1510</v>
      </c>
    </row>
    <row r="1164" customHeight="1" spans="1:27">
      <c r="A1164" s="21" t="s">
        <v>2205</v>
      </c>
      <c r="B1164" s="21" t="s">
        <v>45</v>
      </c>
      <c r="C1164" s="21" t="s">
        <v>141</v>
      </c>
      <c r="D1164" s="21" t="s">
        <v>142</v>
      </c>
      <c r="E1164" s="21" t="s">
        <v>142</v>
      </c>
      <c r="F1164" s="21" t="s">
        <v>143</v>
      </c>
      <c r="G1164" s="21" t="s">
        <v>100</v>
      </c>
      <c r="H1164" s="21" t="s">
        <v>117</v>
      </c>
      <c r="I1164" s="26">
        <v>3</v>
      </c>
      <c r="J1164" s="26">
        <v>45</v>
      </c>
      <c r="K1164" s="21" t="s">
        <v>52</v>
      </c>
      <c r="L1164" s="27">
        <v>1510</v>
      </c>
      <c r="M1164" s="21"/>
      <c r="N1164" s="21"/>
      <c r="O1164" s="21" t="s">
        <v>2206</v>
      </c>
      <c r="P1164" s="21" t="s">
        <v>54</v>
      </c>
      <c r="Q1164" s="28">
        <v>46105</v>
      </c>
      <c r="R1164" s="29">
        <v>46104.4671064815</v>
      </c>
      <c r="S1164" s="21" t="s">
        <v>145</v>
      </c>
      <c r="T1164" s="21"/>
      <c r="U1164" s="21" t="s">
        <v>142</v>
      </c>
      <c r="V1164" s="29">
        <v>46104.4670601852</v>
      </c>
      <c r="W1164">
        <f>VLOOKUP(H1164,物料編碼!A:B,2,0)</f>
        <v>1300607015</v>
      </c>
      <c r="X1164">
        <v>1300607</v>
      </c>
      <c r="Y1164" t="str">
        <f>VLOOKUP(X1164,物料編碼!D:G,4,0)</f>
        <v>帶皮腿扒</v>
      </c>
      <c r="Z1164" t="str">
        <f>VLOOKUP(C1164,客戶屬性1!A:C,2,0)</f>
        <v>新昌冻肉</v>
      </c>
      <c r="AA1164">
        <f>IF(COUNTIF($O$1:O1164,O1164)=1,L1164,0)</f>
        <v>0</v>
      </c>
    </row>
    <row r="1165" customHeight="1" spans="1:27">
      <c r="A1165" s="21" t="s">
        <v>2207</v>
      </c>
      <c r="B1165" s="21" t="s">
        <v>45</v>
      </c>
      <c r="C1165" s="21" t="s">
        <v>235</v>
      </c>
      <c r="D1165" s="21" t="s">
        <v>236</v>
      </c>
      <c r="E1165" s="21" t="s">
        <v>237</v>
      </c>
      <c r="F1165" s="21" t="s">
        <v>49</v>
      </c>
      <c r="G1165" s="21" t="s">
        <v>238</v>
      </c>
      <c r="H1165" s="21" t="s">
        <v>190</v>
      </c>
      <c r="I1165" s="26">
        <v>12</v>
      </c>
      <c r="J1165" s="26">
        <v>144</v>
      </c>
      <c r="K1165" s="21" t="s">
        <v>52</v>
      </c>
      <c r="L1165" s="27">
        <v>2275.2</v>
      </c>
      <c r="M1165" s="21"/>
      <c r="N1165" s="21"/>
      <c r="O1165" s="21" t="s">
        <v>2208</v>
      </c>
      <c r="P1165" s="21" t="s">
        <v>54</v>
      </c>
      <c r="Q1165" s="28">
        <v>46104</v>
      </c>
      <c r="R1165" s="29">
        <v>46104.4471296296</v>
      </c>
      <c r="S1165" s="21" t="s">
        <v>241</v>
      </c>
      <c r="T1165" s="21"/>
      <c r="U1165" s="21" t="s">
        <v>237</v>
      </c>
      <c r="V1165" s="29">
        <v>46104.4470833333</v>
      </c>
      <c r="W1165">
        <f>VLOOKUP(H1165,物料編碼!A:B,2,0)</f>
        <v>1300609001</v>
      </c>
      <c r="X1165">
        <v>1300609</v>
      </c>
      <c r="Y1165" t="str">
        <f>VLOOKUP(X1165,物料編碼!D:G,4,0)</f>
        <v>去皮上腿肉</v>
      </c>
      <c r="Z1165" t="str">
        <f>VLOOKUP(C1165,客戶屬性1!A:C,2,0)</f>
        <v>联合林记食品有限公司</v>
      </c>
      <c r="AA1165">
        <f>IF(COUNTIF($O$1:O1165,O1165)=1,L1165,0)</f>
        <v>2275.2</v>
      </c>
    </row>
    <row r="1166" customHeight="1" spans="1:27">
      <c r="A1166" s="21" t="s">
        <v>2209</v>
      </c>
      <c r="B1166" s="21" t="s">
        <v>45</v>
      </c>
      <c r="C1166" s="21" t="s">
        <v>72</v>
      </c>
      <c r="D1166" s="21" t="s">
        <v>73</v>
      </c>
      <c r="E1166" s="21" t="s">
        <v>74</v>
      </c>
      <c r="F1166" s="21" t="s">
        <v>49</v>
      </c>
      <c r="G1166" s="21" t="s">
        <v>50</v>
      </c>
      <c r="H1166" s="21" t="s">
        <v>298</v>
      </c>
      <c r="I1166" s="26">
        <v>1</v>
      </c>
      <c r="J1166" s="26">
        <v>10</v>
      </c>
      <c r="K1166" s="21" t="s">
        <v>52</v>
      </c>
      <c r="L1166" s="27">
        <v>520</v>
      </c>
      <c r="M1166" s="21"/>
      <c r="N1166" s="21"/>
      <c r="O1166" s="21" t="s">
        <v>2210</v>
      </c>
      <c r="P1166" s="21" t="s">
        <v>54</v>
      </c>
      <c r="Q1166" s="28">
        <v>46104</v>
      </c>
      <c r="R1166" s="29">
        <v>46102.5042824074</v>
      </c>
      <c r="S1166" s="21" t="s">
        <v>377</v>
      </c>
      <c r="T1166" s="21"/>
      <c r="U1166" s="21" t="s">
        <v>82</v>
      </c>
      <c r="V1166" s="29">
        <v>46102.504224537</v>
      </c>
      <c r="W1166">
        <f>VLOOKUP(H1166,物料編碼!A:B,2,0)</f>
        <v>1300111003</v>
      </c>
      <c r="X1166">
        <v>1300111</v>
      </c>
      <c r="Y1166" t="str">
        <f>VLOOKUP(X1166,物料編碼!D:G,4,0)</f>
        <v>寸骨</v>
      </c>
      <c r="Z1166" t="str">
        <f>VLOOKUP(C1166,客戶屬性1!A:C,2,0)</f>
        <v>恒辉贸易公司</v>
      </c>
      <c r="AA1166">
        <f>IF(COUNTIF($O$1:O1166,O1166)=1,L1166,0)</f>
        <v>520</v>
      </c>
    </row>
    <row r="1167" customHeight="1" spans="1:27">
      <c r="A1167" s="21" t="s">
        <v>2211</v>
      </c>
      <c r="B1167" s="21" t="s">
        <v>45</v>
      </c>
      <c r="C1167" s="21" t="s">
        <v>383</v>
      </c>
      <c r="D1167" s="21" t="s">
        <v>384</v>
      </c>
      <c r="E1167" s="21" t="s">
        <v>385</v>
      </c>
      <c r="F1167" s="21" t="s">
        <v>49</v>
      </c>
      <c r="G1167" s="21" t="s">
        <v>50</v>
      </c>
      <c r="H1167" s="21" t="s">
        <v>302</v>
      </c>
      <c r="I1167" s="26">
        <v>2</v>
      </c>
      <c r="J1167" s="26">
        <v>24</v>
      </c>
      <c r="K1167" s="21" t="s">
        <v>52</v>
      </c>
      <c r="L1167" s="27">
        <v>381.6</v>
      </c>
      <c r="M1167" s="21"/>
      <c r="N1167" s="21"/>
      <c r="O1167" s="21" t="s">
        <v>2212</v>
      </c>
      <c r="P1167" s="21" t="s">
        <v>54</v>
      </c>
      <c r="Q1167" s="28">
        <v>46102</v>
      </c>
      <c r="R1167" s="29">
        <v>46102.4161342593</v>
      </c>
      <c r="S1167" s="21" t="s">
        <v>387</v>
      </c>
      <c r="T1167" s="21"/>
      <c r="U1167" s="21" t="s">
        <v>384</v>
      </c>
      <c r="V1167" s="29">
        <v>46102.4160763889</v>
      </c>
      <c r="W1167">
        <f>VLOOKUP(H1167,物料編碼!A:B,2,0)</f>
        <v>1300609018</v>
      </c>
      <c r="X1167">
        <v>1300609</v>
      </c>
      <c r="Y1167" t="str">
        <f>VLOOKUP(X1167,物料編碼!D:G,4,0)</f>
        <v>去皮上腿肉</v>
      </c>
      <c r="Z1167" t="str">
        <f>VLOOKUP(C1167,客戶屬性1!A:C,2,0)</f>
        <v>新协兴冻肉食品公司</v>
      </c>
      <c r="AA1167">
        <f>IF(COUNTIF($O$1:O1167,O1167)=1,L1167,0)</f>
        <v>381.6</v>
      </c>
    </row>
    <row r="1168" customHeight="1" spans="1:27">
      <c r="A1168" s="21" t="s">
        <v>2213</v>
      </c>
      <c r="B1168" s="21" t="s">
        <v>45</v>
      </c>
      <c r="C1168" s="21" t="s">
        <v>72</v>
      </c>
      <c r="D1168" s="21" t="s">
        <v>73</v>
      </c>
      <c r="E1168" s="21" t="s">
        <v>74</v>
      </c>
      <c r="F1168" s="21" t="s">
        <v>49</v>
      </c>
      <c r="G1168" s="21" t="s">
        <v>50</v>
      </c>
      <c r="H1168" s="21" t="s">
        <v>190</v>
      </c>
      <c r="I1168" s="26">
        <v>8</v>
      </c>
      <c r="J1168" s="26">
        <v>96</v>
      </c>
      <c r="K1168" s="21" t="s">
        <v>52</v>
      </c>
      <c r="L1168" s="27">
        <v>1516.8</v>
      </c>
      <c r="M1168" s="21"/>
      <c r="N1168" s="21"/>
      <c r="O1168" s="21" t="s">
        <v>2214</v>
      </c>
      <c r="P1168" s="21" t="s">
        <v>54</v>
      </c>
      <c r="Q1168" s="28">
        <v>46102</v>
      </c>
      <c r="R1168" s="29">
        <v>46102.3993865741</v>
      </c>
      <c r="S1168" s="21" t="s">
        <v>77</v>
      </c>
      <c r="T1168" s="21"/>
      <c r="U1168" s="21" t="s">
        <v>74</v>
      </c>
      <c r="V1168" s="29">
        <v>46102.3993171296</v>
      </c>
      <c r="W1168">
        <f>VLOOKUP(H1168,物料編碼!A:B,2,0)</f>
        <v>1300609001</v>
      </c>
      <c r="X1168">
        <v>1300609</v>
      </c>
      <c r="Y1168" t="str">
        <f>VLOOKUP(X1168,物料編碼!D:G,4,0)</f>
        <v>去皮上腿肉</v>
      </c>
      <c r="Z1168" t="str">
        <f>VLOOKUP(C1168,客戶屬性1!A:C,2,0)</f>
        <v>恒辉贸易公司</v>
      </c>
      <c r="AA1168">
        <f>IF(COUNTIF($O$1:O1168,O1168)=1,L1168,0)</f>
        <v>1516.8</v>
      </c>
    </row>
    <row r="1169" customHeight="1" spans="1:27">
      <c r="A1169" s="21" t="s">
        <v>2215</v>
      </c>
      <c r="B1169" s="21" t="s">
        <v>45</v>
      </c>
      <c r="C1169" s="21" t="s">
        <v>1072</v>
      </c>
      <c r="D1169" s="21" t="s">
        <v>1073</v>
      </c>
      <c r="E1169" s="21" t="s">
        <v>1074</v>
      </c>
      <c r="F1169" s="21" t="s">
        <v>49</v>
      </c>
      <c r="G1169" s="21" t="s">
        <v>238</v>
      </c>
      <c r="H1169" s="21" t="s">
        <v>190</v>
      </c>
      <c r="I1169" s="26">
        <v>20</v>
      </c>
      <c r="J1169" s="26">
        <v>240</v>
      </c>
      <c r="K1169" s="21" t="s">
        <v>52</v>
      </c>
      <c r="L1169" s="27">
        <v>3792</v>
      </c>
      <c r="M1169" s="21"/>
      <c r="N1169" s="21"/>
      <c r="O1169" s="21" t="s">
        <v>2216</v>
      </c>
      <c r="P1169" s="21" t="s">
        <v>183</v>
      </c>
      <c r="Q1169" s="28">
        <v>46102</v>
      </c>
      <c r="R1169" s="29">
        <v>46101.5627777778</v>
      </c>
      <c r="S1169" s="21" t="s">
        <v>1076</v>
      </c>
      <c r="T1169" s="21"/>
      <c r="U1169" s="21" t="s">
        <v>1077</v>
      </c>
      <c r="V1169" s="29">
        <v>46101.5626851852</v>
      </c>
      <c r="W1169">
        <f>VLOOKUP(H1169,物料編碼!A:B,2,0)</f>
        <v>1300609001</v>
      </c>
      <c r="X1169">
        <v>1300609</v>
      </c>
      <c r="Y1169" t="str">
        <f>VLOOKUP(X1169,物料編碼!D:G,4,0)</f>
        <v>去皮上腿肉</v>
      </c>
      <c r="Z1169" t="str">
        <f>VLOOKUP(C1169,客戶屬性1!A:C,2,0)</f>
        <v>昭楠贸易有限公司</v>
      </c>
      <c r="AA1169">
        <f>IF(COUNTIF($O$1:O1169,O1169)=1,L1169,0)</f>
        <v>3792</v>
      </c>
    </row>
    <row r="1170" customHeight="1" spans="1:27">
      <c r="A1170" s="21" t="s">
        <v>2217</v>
      </c>
      <c r="B1170" s="21" t="s">
        <v>45</v>
      </c>
      <c r="C1170" s="21" t="s">
        <v>1072</v>
      </c>
      <c r="D1170" s="21" t="s">
        <v>1073</v>
      </c>
      <c r="E1170" s="21" t="s">
        <v>1074</v>
      </c>
      <c r="F1170" s="21" t="s">
        <v>49</v>
      </c>
      <c r="G1170" s="21" t="s">
        <v>238</v>
      </c>
      <c r="H1170" s="21" t="s">
        <v>190</v>
      </c>
      <c r="I1170" s="26">
        <v>20</v>
      </c>
      <c r="J1170" s="26">
        <v>240</v>
      </c>
      <c r="K1170" s="21" t="s">
        <v>52</v>
      </c>
      <c r="L1170" s="27">
        <v>3792</v>
      </c>
      <c r="M1170" s="21"/>
      <c r="N1170" s="21"/>
      <c r="O1170" s="21" t="s">
        <v>2218</v>
      </c>
      <c r="P1170" s="21" t="s">
        <v>54</v>
      </c>
      <c r="Q1170" s="28">
        <v>46102</v>
      </c>
      <c r="R1170" s="29">
        <v>46101.5621875</v>
      </c>
      <c r="S1170" s="21" t="s">
        <v>1076</v>
      </c>
      <c r="T1170" s="21"/>
      <c r="U1170" s="21" t="s">
        <v>1077</v>
      </c>
      <c r="V1170" s="29">
        <v>46101.5618518519</v>
      </c>
      <c r="W1170">
        <f>VLOOKUP(H1170,物料編碼!A:B,2,0)</f>
        <v>1300609001</v>
      </c>
      <c r="X1170">
        <v>1300609</v>
      </c>
      <c r="Y1170" t="str">
        <f>VLOOKUP(X1170,物料編碼!D:G,4,0)</f>
        <v>去皮上腿肉</v>
      </c>
      <c r="Z1170" t="str">
        <f>VLOOKUP(C1170,客戶屬性1!A:C,2,0)</f>
        <v>昭楠贸易有限公司</v>
      </c>
      <c r="AA1170">
        <f>IF(COUNTIF($O$1:O1170,O1170)=1,L1170,0)</f>
        <v>3792</v>
      </c>
    </row>
    <row r="1171" customHeight="1" spans="1:27">
      <c r="A1171" s="21" t="s">
        <v>2219</v>
      </c>
      <c r="B1171" s="21" t="s">
        <v>45</v>
      </c>
      <c r="C1171" s="21" t="s">
        <v>1072</v>
      </c>
      <c r="D1171" s="21" t="s">
        <v>1073</v>
      </c>
      <c r="E1171" s="21" t="s">
        <v>1074</v>
      </c>
      <c r="F1171" s="21" t="s">
        <v>49</v>
      </c>
      <c r="G1171" s="21" t="s">
        <v>238</v>
      </c>
      <c r="H1171" s="21" t="s">
        <v>190</v>
      </c>
      <c r="I1171" s="26">
        <v>20</v>
      </c>
      <c r="J1171" s="26">
        <v>240</v>
      </c>
      <c r="K1171" s="21" t="s">
        <v>52</v>
      </c>
      <c r="L1171" s="27">
        <v>3792</v>
      </c>
      <c r="M1171" s="21"/>
      <c r="N1171" s="21"/>
      <c r="O1171" s="21" t="s">
        <v>2220</v>
      </c>
      <c r="P1171" s="21" t="s">
        <v>183</v>
      </c>
      <c r="Q1171" s="28">
        <v>46102</v>
      </c>
      <c r="R1171" s="29">
        <v>46101.5618518519</v>
      </c>
      <c r="S1171" s="21" t="s">
        <v>1076</v>
      </c>
      <c r="T1171" s="21"/>
      <c r="U1171" s="21" t="s">
        <v>1077</v>
      </c>
      <c r="V1171" s="29">
        <v>46101.5611921296</v>
      </c>
      <c r="W1171">
        <f>VLOOKUP(H1171,物料編碼!A:B,2,0)</f>
        <v>1300609001</v>
      </c>
      <c r="X1171">
        <v>1300609</v>
      </c>
      <c r="Y1171" t="str">
        <f>VLOOKUP(X1171,物料編碼!D:G,4,0)</f>
        <v>去皮上腿肉</v>
      </c>
      <c r="Z1171" t="str">
        <f>VLOOKUP(C1171,客戶屬性1!A:C,2,0)</f>
        <v>昭楠贸易有限公司</v>
      </c>
      <c r="AA1171">
        <f>IF(COUNTIF($O$1:O1171,O1171)=1,L1171,0)</f>
        <v>3792</v>
      </c>
    </row>
    <row r="1172" customHeight="1" spans="1:27">
      <c r="A1172" s="21" t="s">
        <v>2221</v>
      </c>
      <c r="B1172" s="21" t="s">
        <v>45</v>
      </c>
      <c r="C1172" s="21" t="s">
        <v>114</v>
      </c>
      <c r="D1172" s="21" t="s">
        <v>115</v>
      </c>
      <c r="E1172" s="21" t="s">
        <v>116</v>
      </c>
      <c r="F1172" s="21" t="s">
        <v>49</v>
      </c>
      <c r="G1172" s="21" t="s">
        <v>100</v>
      </c>
      <c r="H1172" s="21" t="s">
        <v>117</v>
      </c>
      <c r="I1172" s="26">
        <v>1</v>
      </c>
      <c r="J1172" s="26">
        <v>15</v>
      </c>
      <c r="K1172" s="21" t="s">
        <v>52</v>
      </c>
      <c r="L1172" s="27">
        <v>225</v>
      </c>
      <c r="M1172" s="21"/>
      <c r="N1172" s="21"/>
      <c r="O1172" s="21" t="s">
        <v>2222</v>
      </c>
      <c r="P1172" s="21" t="s">
        <v>54</v>
      </c>
      <c r="Q1172" s="28">
        <v>46104</v>
      </c>
      <c r="R1172" s="29">
        <v>46101.4907291667</v>
      </c>
      <c r="S1172" s="21" t="s">
        <v>119</v>
      </c>
      <c r="T1172" s="21"/>
      <c r="U1172" s="21" t="s">
        <v>115</v>
      </c>
      <c r="V1172" s="29">
        <v>46101.4906944444</v>
      </c>
      <c r="W1172">
        <f>VLOOKUP(H1172,物料編碼!A:B,2,0)</f>
        <v>1300607015</v>
      </c>
      <c r="X1172">
        <v>1300607</v>
      </c>
      <c r="Y1172" t="str">
        <f>VLOOKUP(X1172,物料編碼!D:G,4,0)</f>
        <v>帶皮腿扒</v>
      </c>
      <c r="Z1172" t="str">
        <f>VLOOKUP(C1172,客戶屬性1!A:C,2,0)</f>
        <v>骏利贸易公司</v>
      </c>
      <c r="AA1172">
        <f>IF(COUNTIF($O$1:O1172,O1172)=1,L1172,0)</f>
        <v>225</v>
      </c>
    </row>
    <row r="1173" customHeight="1" spans="1:27">
      <c r="A1173" s="21" t="s">
        <v>2223</v>
      </c>
      <c r="B1173" s="21" t="s">
        <v>45</v>
      </c>
      <c r="C1173" s="21" t="s">
        <v>141</v>
      </c>
      <c r="D1173" s="21" t="s">
        <v>142</v>
      </c>
      <c r="E1173" s="21" t="s">
        <v>142</v>
      </c>
      <c r="F1173" s="21" t="s">
        <v>143</v>
      </c>
      <c r="G1173" s="21" t="s">
        <v>100</v>
      </c>
      <c r="H1173" s="21" t="s">
        <v>298</v>
      </c>
      <c r="I1173" s="26">
        <v>1</v>
      </c>
      <c r="J1173" s="26">
        <v>10</v>
      </c>
      <c r="K1173" s="21" t="s">
        <v>52</v>
      </c>
      <c r="L1173" s="27">
        <v>1195</v>
      </c>
      <c r="M1173" s="21"/>
      <c r="N1173" s="21"/>
      <c r="O1173" s="21" t="s">
        <v>2224</v>
      </c>
      <c r="P1173" s="21" t="s">
        <v>54</v>
      </c>
      <c r="Q1173" s="28">
        <v>46104</v>
      </c>
      <c r="R1173" s="29">
        <v>46101.4677199074</v>
      </c>
      <c r="S1173" s="21" t="s">
        <v>145</v>
      </c>
      <c r="T1173" s="21"/>
      <c r="U1173" s="21" t="s">
        <v>142</v>
      </c>
      <c r="V1173" s="29">
        <v>46101.467662037</v>
      </c>
      <c r="W1173">
        <f>VLOOKUP(H1173,物料編碼!A:B,2,0)</f>
        <v>1300111003</v>
      </c>
      <c r="X1173">
        <v>1300111</v>
      </c>
      <c r="Y1173" t="str">
        <f>VLOOKUP(X1173,物料編碼!D:G,4,0)</f>
        <v>寸骨</v>
      </c>
      <c r="Z1173" t="str">
        <f>VLOOKUP(C1173,客戶屬性1!A:C,2,0)</f>
        <v>新昌冻肉</v>
      </c>
      <c r="AA1173">
        <f>IF(COUNTIF($O$1:O1173,O1173)=1,L1173,0)</f>
        <v>1195</v>
      </c>
    </row>
    <row r="1174" customHeight="1" spans="1:27">
      <c r="A1174" s="21" t="s">
        <v>2223</v>
      </c>
      <c r="B1174" s="21" t="s">
        <v>45</v>
      </c>
      <c r="C1174" s="21" t="s">
        <v>141</v>
      </c>
      <c r="D1174" s="21" t="s">
        <v>142</v>
      </c>
      <c r="E1174" s="21" t="s">
        <v>142</v>
      </c>
      <c r="F1174" s="21" t="s">
        <v>143</v>
      </c>
      <c r="G1174" s="21" t="s">
        <v>100</v>
      </c>
      <c r="H1174" s="21" t="s">
        <v>117</v>
      </c>
      <c r="I1174" s="26">
        <v>3</v>
      </c>
      <c r="J1174" s="26">
        <v>45</v>
      </c>
      <c r="K1174" s="21" t="s">
        <v>52</v>
      </c>
      <c r="L1174" s="27">
        <v>1195</v>
      </c>
      <c r="M1174" s="21"/>
      <c r="N1174" s="21"/>
      <c r="O1174" s="21" t="s">
        <v>2224</v>
      </c>
      <c r="P1174" s="21" t="s">
        <v>54</v>
      </c>
      <c r="Q1174" s="28">
        <v>46104</v>
      </c>
      <c r="R1174" s="29">
        <v>46101.4677199074</v>
      </c>
      <c r="S1174" s="21" t="s">
        <v>145</v>
      </c>
      <c r="T1174" s="21"/>
      <c r="U1174" s="21" t="s">
        <v>142</v>
      </c>
      <c r="V1174" s="29">
        <v>46101.467662037</v>
      </c>
      <c r="W1174">
        <f>VLOOKUP(H1174,物料編碼!A:B,2,0)</f>
        <v>1300607015</v>
      </c>
      <c r="X1174">
        <v>1300607</v>
      </c>
      <c r="Y1174" t="str">
        <f>VLOOKUP(X1174,物料編碼!D:G,4,0)</f>
        <v>帶皮腿扒</v>
      </c>
      <c r="Z1174" t="str">
        <f>VLOOKUP(C1174,客戶屬性1!A:C,2,0)</f>
        <v>新昌冻肉</v>
      </c>
      <c r="AA1174">
        <f>IF(COUNTIF($O$1:O1174,O1174)=1,L1174,0)</f>
        <v>0</v>
      </c>
    </row>
    <row r="1175" customHeight="1" spans="1:27">
      <c r="A1175" s="21" t="s">
        <v>2225</v>
      </c>
      <c r="B1175" s="21" t="s">
        <v>45</v>
      </c>
      <c r="C1175" s="21" t="s">
        <v>141</v>
      </c>
      <c r="D1175" s="21" t="s">
        <v>142</v>
      </c>
      <c r="E1175" s="21" t="s">
        <v>142</v>
      </c>
      <c r="F1175" s="21" t="s">
        <v>143</v>
      </c>
      <c r="G1175" s="21" t="s">
        <v>100</v>
      </c>
      <c r="H1175" s="21" t="s">
        <v>60</v>
      </c>
      <c r="I1175" s="26">
        <v>1</v>
      </c>
      <c r="J1175" s="26">
        <v>25</v>
      </c>
      <c r="K1175" s="21" t="s">
        <v>52</v>
      </c>
      <c r="L1175" s="27">
        <v>1620</v>
      </c>
      <c r="M1175" s="21"/>
      <c r="N1175" s="21"/>
      <c r="O1175" s="21" t="s">
        <v>2226</v>
      </c>
      <c r="P1175" s="21" t="s">
        <v>54</v>
      </c>
      <c r="Q1175" s="28">
        <v>46102</v>
      </c>
      <c r="R1175" s="29">
        <v>46101.4653703704</v>
      </c>
      <c r="S1175" s="21" t="s">
        <v>145</v>
      </c>
      <c r="T1175" s="21"/>
      <c r="U1175" s="21" t="s">
        <v>142</v>
      </c>
      <c r="V1175" s="29">
        <v>46101.4653240741</v>
      </c>
      <c r="W1175">
        <f>VLOOKUP(H1175,物料編碼!A:B,2,0)</f>
        <v>1300101043</v>
      </c>
      <c r="X1175">
        <v>1300101</v>
      </c>
      <c r="Y1175" t="str">
        <f>VLOOKUP(X1175,物料編碼!D:G,4,0)</f>
        <v>一號肉</v>
      </c>
      <c r="Z1175" t="str">
        <f>VLOOKUP(C1175,客戶屬性1!A:C,2,0)</f>
        <v>新昌冻肉</v>
      </c>
      <c r="AA1175">
        <f>IF(COUNTIF($O$1:O1175,O1175)=1,L1175,0)</f>
        <v>1620</v>
      </c>
    </row>
    <row r="1176" customHeight="1" spans="1:27">
      <c r="A1176" s="21" t="s">
        <v>2225</v>
      </c>
      <c r="B1176" s="21" t="s">
        <v>45</v>
      </c>
      <c r="C1176" s="21" t="s">
        <v>141</v>
      </c>
      <c r="D1176" s="21" t="s">
        <v>142</v>
      </c>
      <c r="E1176" s="21" t="s">
        <v>142</v>
      </c>
      <c r="F1176" s="21" t="s">
        <v>143</v>
      </c>
      <c r="G1176" s="21" t="s">
        <v>100</v>
      </c>
      <c r="H1176" s="21" t="s">
        <v>117</v>
      </c>
      <c r="I1176" s="26">
        <v>3</v>
      </c>
      <c r="J1176" s="26">
        <v>45</v>
      </c>
      <c r="K1176" s="21" t="s">
        <v>52</v>
      </c>
      <c r="L1176" s="27">
        <v>1620</v>
      </c>
      <c r="M1176" s="21"/>
      <c r="N1176" s="21"/>
      <c r="O1176" s="21" t="s">
        <v>2226</v>
      </c>
      <c r="P1176" s="21" t="s">
        <v>54</v>
      </c>
      <c r="Q1176" s="28">
        <v>46102</v>
      </c>
      <c r="R1176" s="29">
        <v>46101.4653703704</v>
      </c>
      <c r="S1176" s="21" t="s">
        <v>145</v>
      </c>
      <c r="T1176" s="21"/>
      <c r="U1176" s="21" t="s">
        <v>142</v>
      </c>
      <c r="V1176" s="29">
        <v>46101.4653240741</v>
      </c>
      <c r="W1176">
        <f>VLOOKUP(H1176,物料編碼!A:B,2,0)</f>
        <v>1300607015</v>
      </c>
      <c r="X1176">
        <v>1300607</v>
      </c>
      <c r="Y1176" t="str">
        <f>VLOOKUP(X1176,物料編碼!D:G,4,0)</f>
        <v>帶皮腿扒</v>
      </c>
      <c r="Z1176" t="str">
        <f>VLOOKUP(C1176,客戶屬性1!A:C,2,0)</f>
        <v>新昌冻肉</v>
      </c>
      <c r="AA1176">
        <f>IF(COUNTIF($O$1:O1176,O1176)=1,L1176,0)</f>
        <v>0</v>
      </c>
    </row>
    <row r="1177" customHeight="1" spans="1:27">
      <c r="A1177" s="21" t="s">
        <v>2227</v>
      </c>
      <c r="B1177" s="21" t="s">
        <v>45</v>
      </c>
      <c r="C1177" s="21" t="s">
        <v>97</v>
      </c>
      <c r="D1177" s="21" t="s">
        <v>98</v>
      </c>
      <c r="E1177" s="21" t="s">
        <v>99</v>
      </c>
      <c r="F1177" s="21" t="s">
        <v>49</v>
      </c>
      <c r="G1177" s="21" t="s">
        <v>100</v>
      </c>
      <c r="H1177" s="21" t="s">
        <v>302</v>
      </c>
      <c r="I1177" s="26">
        <v>6</v>
      </c>
      <c r="J1177" s="26">
        <v>72</v>
      </c>
      <c r="K1177" s="21" t="s">
        <v>52</v>
      </c>
      <c r="L1177" s="27">
        <v>1144.8</v>
      </c>
      <c r="M1177" s="21"/>
      <c r="N1177" s="21"/>
      <c r="O1177" s="21" t="s">
        <v>2228</v>
      </c>
      <c r="P1177" s="21" t="s">
        <v>54</v>
      </c>
      <c r="Q1177" s="28">
        <v>46101</v>
      </c>
      <c r="R1177" s="29">
        <v>46101.4100347222</v>
      </c>
      <c r="S1177" s="21" t="s">
        <v>1000</v>
      </c>
      <c r="T1177" s="21"/>
      <c r="U1177" s="21" t="s">
        <v>1001</v>
      </c>
      <c r="V1177" s="29">
        <v>46101.41</v>
      </c>
      <c r="W1177">
        <f>VLOOKUP(H1177,物料編碼!A:B,2,0)</f>
        <v>1300609018</v>
      </c>
      <c r="X1177">
        <v>1300609</v>
      </c>
      <c r="Y1177" t="str">
        <f>VLOOKUP(X1177,物料編碼!D:G,4,0)</f>
        <v>去皮上腿肉</v>
      </c>
      <c r="Z1177" t="str">
        <f>VLOOKUP(C1177,客戶屬性1!A:C,2,0)</f>
        <v>三明有限公司</v>
      </c>
      <c r="AA1177">
        <f>IF(COUNTIF($O$1:O1177,O1177)=1,L1177,0)</f>
        <v>1144.8</v>
      </c>
    </row>
    <row r="1178" customHeight="1" spans="1:27">
      <c r="A1178" s="21" t="s">
        <v>2229</v>
      </c>
      <c r="B1178" s="21" t="s">
        <v>45</v>
      </c>
      <c r="C1178" s="21" t="s">
        <v>457</v>
      </c>
      <c r="D1178" s="21" t="s">
        <v>458</v>
      </c>
      <c r="E1178" s="21" t="s">
        <v>459</v>
      </c>
      <c r="F1178" s="21" t="s">
        <v>49</v>
      </c>
      <c r="G1178" s="21" t="s">
        <v>68</v>
      </c>
      <c r="H1178" s="21" t="s">
        <v>298</v>
      </c>
      <c r="I1178" s="26">
        <v>2</v>
      </c>
      <c r="J1178" s="26">
        <v>20</v>
      </c>
      <c r="K1178" s="21" t="s">
        <v>52</v>
      </c>
      <c r="L1178" s="27">
        <v>970</v>
      </c>
      <c r="M1178" s="21"/>
      <c r="N1178" s="21"/>
      <c r="O1178" s="21" t="s">
        <v>2230</v>
      </c>
      <c r="P1178" s="21" t="s">
        <v>54</v>
      </c>
      <c r="Q1178" s="28">
        <v>46101</v>
      </c>
      <c r="R1178" s="29">
        <v>46100.6696990741</v>
      </c>
      <c r="S1178" s="21" t="s">
        <v>461</v>
      </c>
      <c r="T1178" s="21"/>
      <c r="U1178" s="21" t="s">
        <v>458</v>
      </c>
      <c r="V1178" s="29">
        <v>46100.6696527778</v>
      </c>
      <c r="W1178">
        <f>VLOOKUP(H1178,物料編碼!A:B,2,0)</f>
        <v>1300111003</v>
      </c>
      <c r="X1178">
        <v>1300111</v>
      </c>
      <c r="Y1178" t="str">
        <f>VLOOKUP(X1178,物料編碼!D:G,4,0)</f>
        <v>寸骨</v>
      </c>
      <c r="Z1178" t="str">
        <f>VLOOKUP(C1178,客戶屬性1!A:C,2,0)</f>
        <v>福永行贸易有限公司</v>
      </c>
      <c r="AA1178">
        <f>IF(COUNTIF($O$1:O1178,O1178)=1,L1178,0)</f>
        <v>970</v>
      </c>
    </row>
    <row r="1179" customHeight="1" spans="1:27">
      <c r="A1179" s="21" t="s">
        <v>2231</v>
      </c>
      <c r="B1179" s="21" t="s">
        <v>45</v>
      </c>
      <c r="C1179" s="21" t="s">
        <v>457</v>
      </c>
      <c r="D1179" s="21" t="s">
        <v>458</v>
      </c>
      <c r="E1179" s="21" t="s">
        <v>459</v>
      </c>
      <c r="F1179" s="21" t="s">
        <v>49</v>
      </c>
      <c r="G1179" s="21" t="s">
        <v>68</v>
      </c>
      <c r="H1179" s="21" t="s">
        <v>298</v>
      </c>
      <c r="I1179" s="26">
        <v>1</v>
      </c>
      <c r="J1179" s="26">
        <v>10</v>
      </c>
      <c r="K1179" s="21" t="s">
        <v>52</v>
      </c>
      <c r="L1179" s="27">
        <v>485</v>
      </c>
      <c r="M1179" s="21"/>
      <c r="N1179" s="21"/>
      <c r="O1179" s="21" t="s">
        <v>2232</v>
      </c>
      <c r="P1179" s="21" t="s">
        <v>183</v>
      </c>
      <c r="Q1179" s="28">
        <v>46101</v>
      </c>
      <c r="R1179" s="29">
        <v>46100.6161921296</v>
      </c>
      <c r="S1179" s="21" t="s">
        <v>461</v>
      </c>
      <c r="T1179" s="21"/>
      <c r="U1179" s="21" t="s">
        <v>458</v>
      </c>
      <c r="V1179" s="29">
        <v>46100.6161458333</v>
      </c>
      <c r="W1179">
        <f>VLOOKUP(H1179,物料編碼!A:B,2,0)</f>
        <v>1300111003</v>
      </c>
      <c r="X1179">
        <v>1300111</v>
      </c>
      <c r="Y1179" t="str">
        <f>VLOOKUP(X1179,物料編碼!D:G,4,0)</f>
        <v>寸骨</v>
      </c>
      <c r="Z1179" t="str">
        <f>VLOOKUP(C1179,客戶屬性1!A:C,2,0)</f>
        <v>福永行贸易有限公司</v>
      </c>
      <c r="AA1179">
        <f>IF(COUNTIF($O$1:O1179,O1179)=1,L1179,0)</f>
        <v>485</v>
      </c>
    </row>
    <row r="1180" customHeight="1" spans="1:27">
      <c r="A1180" s="21" t="s">
        <v>2233</v>
      </c>
      <c r="B1180" s="21" t="s">
        <v>45</v>
      </c>
      <c r="C1180" s="21" t="s">
        <v>1072</v>
      </c>
      <c r="D1180" s="21" t="s">
        <v>1073</v>
      </c>
      <c r="E1180" s="21" t="s">
        <v>1074</v>
      </c>
      <c r="F1180" s="21" t="s">
        <v>49</v>
      </c>
      <c r="G1180" s="21" t="s">
        <v>238</v>
      </c>
      <c r="H1180" s="21" t="s">
        <v>190</v>
      </c>
      <c r="I1180" s="26">
        <v>10</v>
      </c>
      <c r="J1180" s="26">
        <v>120</v>
      </c>
      <c r="K1180" s="21" t="s">
        <v>52</v>
      </c>
      <c r="L1180" s="27">
        <v>1896</v>
      </c>
      <c r="M1180" s="21"/>
      <c r="N1180" s="21"/>
      <c r="O1180" s="21" t="s">
        <v>2234</v>
      </c>
      <c r="P1180" s="21" t="s">
        <v>54</v>
      </c>
      <c r="Q1180" s="28">
        <v>46101</v>
      </c>
      <c r="R1180" s="29">
        <v>46100.6027199074</v>
      </c>
      <c r="S1180" s="21" t="s">
        <v>1076</v>
      </c>
      <c r="T1180" s="21"/>
      <c r="U1180" s="21" t="s">
        <v>1077</v>
      </c>
      <c r="V1180" s="29">
        <v>46100.602662037</v>
      </c>
      <c r="W1180">
        <f>VLOOKUP(H1180,物料編碼!A:B,2,0)</f>
        <v>1300609001</v>
      </c>
      <c r="X1180">
        <v>1300609</v>
      </c>
      <c r="Y1180" t="str">
        <f>VLOOKUP(X1180,物料編碼!D:G,4,0)</f>
        <v>去皮上腿肉</v>
      </c>
      <c r="Z1180" t="str">
        <f>VLOOKUP(C1180,客戶屬性1!A:C,2,0)</f>
        <v>昭楠贸易有限公司</v>
      </c>
      <c r="AA1180">
        <f>IF(COUNTIF($O$1:O1180,O1180)=1,L1180,0)</f>
        <v>1896</v>
      </c>
    </row>
    <row r="1181" customHeight="1" spans="1:27">
      <c r="A1181" s="21" t="s">
        <v>2235</v>
      </c>
      <c r="B1181" s="21" t="s">
        <v>45</v>
      </c>
      <c r="C1181" s="21" t="s">
        <v>141</v>
      </c>
      <c r="D1181" s="21" t="s">
        <v>142</v>
      </c>
      <c r="E1181" s="21" t="s">
        <v>142</v>
      </c>
      <c r="F1181" s="21" t="s">
        <v>143</v>
      </c>
      <c r="G1181" s="21" t="s">
        <v>100</v>
      </c>
      <c r="H1181" s="21" t="s">
        <v>63</v>
      </c>
      <c r="I1181" s="26">
        <v>1</v>
      </c>
      <c r="J1181" s="26">
        <v>25</v>
      </c>
      <c r="K1181" s="21" t="s">
        <v>52</v>
      </c>
      <c r="L1181" s="27">
        <v>835</v>
      </c>
      <c r="M1181" s="21"/>
      <c r="N1181" s="21"/>
      <c r="O1181" s="21" t="s">
        <v>2236</v>
      </c>
      <c r="P1181" s="21" t="s">
        <v>54</v>
      </c>
      <c r="Q1181" s="28">
        <v>46101</v>
      </c>
      <c r="R1181" s="29">
        <v>46100.497349537</v>
      </c>
      <c r="S1181" s="21" t="s">
        <v>145</v>
      </c>
      <c r="T1181" s="21"/>
      <c r="U1181" s="21" t="s">
        <v>142</v>
      </c>
      <c r="V1181" s="29">
        <v>46100.4973032407</v>
      </c>
      <c r="W1181">
        <f>VLOOKUP(H1181,物料編碼!A:B,2,0)</f>
        <v>1300109002</v>
      </c>
      <c r="X1181">
        <v>1300109</v>
      </c>
      <c r="Y1181" t="str">
        <f>VLOOKUP(X1181,物料編碼!D:G,4,0)</f>
        <v>面精肉</v>
      </c>
      <c r="Z1181" t="str">
        <f>VLOOKUP(C1181,客戶屬性1!A:C,2,0)</f>
        <v>新昌冻肉</v>
      </c>
      <c r="AA1181">
        <f>IF(COUNTIF($O$1:O1181,O1181)=1,L1181,0)</f>
        <v>835</v>
      </c>
    </row>
    <row r="1182" customHeight="1" spans="1:27">
      <c r="A1182" s="21" t="s">
        <v>2237</v>
      </c>
      <c r="B1182" s="21" t="s">
        <v>45</v>
      </c>
      <c r="C1182" s="21" t="s">
        <v>141</v>
      </c>
      <c r="D1182" s="21" t="s">
        <v>142</v>
      </c>
      <c r="E1182" s="21" t="s">
        <v>142</v>
      </c>
      <c r="F1182" s="21" t="s">
        <v>143</v>
      </c>
      <c r="G1182" s="21" t="s">
        <v>100</v>
      </c>
      <c r="H1182" s="21" t="s">
        <v>117</v>
      </c>
      <c r="I1182" s="26">
        <v>3</v>
      </c>
      <c r="J1182" s="26">
        <v>45</v>
      </c>
      <c r="K1182" s="21" t="s">
        <v>52</v>
      </c>
      <c r="L1182" s="27">
        <v>675</v>
      </c>
      <c r="M1182" s="21"/>
      <c r="N1182" s="21"/>
      <c r="O1182" s="21" t="s">
        <v>2238</v>
      </c>
      <c r="P1182" s="21" t="s">
        <v>54</v>
      </c>
      <c r="Q1182" s="28">
        <v>46101</v>
      </c>
      <c r="R1182" s="29">
        <v>46100.4959027778</v>
      </c>
      <c r="S1182" s="21" t="s">
        <v>145</v>
      </c>
      <c r="T1182" s="21"/>
      <c r="U1182" s="21" t="s">
        <v>142</v>
      </c>
      <c r="V1182" s="29">
        <v>46100.4958449074</v>
      </c>
      <c r="W1182">
        <f>VLOOKUP(H1182,物料編碼!A:B,2,0)</f>
        <v>1300607015</v>
      </c>
      <c r="X1182">
        <v>1300607</v>
      </c>
      <c r="Y1182" t="str">
        <f>VLOOKUP(X1182,物料編碼!D:G,4,0)</f>
        <v>帶皮腿扒</v>
      </c>
      <c r="Z1182" t="str">
        <f>VLOOKUP(C1182,客戶屬性1!A:C,2,0)</f>
        <v>新昌冻肉</v>
      </c>
      <c r="AA1182">
        <f>IF(COUNTIF($O$1:O1182,O1182)=1,L1182,0)</f>
        <v>675</v>
      </c>
    </row>
    <row r="1183" customHeight="1" spans="1:27">
      <c r="A1183" s="21" t="s">
        <v>2239</v>
      </c>
      <c r="B1183" s="21" t="s">
        <v>45</v>
      </c>
      <c r="C1183" s="21" t="s">
        <v>133</v>
      </c>
      <c r="D1183" s="21" t="s">
        <v>134</v>
      </c>
      <c r="E1183" s="21" t="s">
        <v>135</v>
      </c>
      <c r="F1183" s="21" t="s">
        <v>49</v>
      </c>
      <c r="G1183" s="21" t="s">
        <v>136</v>
      </c>
      <c r="H1183" s="21" t="s">
        <v>298</v>
      </c>
      <c r="I1183" s="26">
        <v>2</v>
      </c>
      <c r="J1183" s="26">
        <v>20</v>
      </c>
      <c r="K1183" s="21" t="s">
        <v>52</v>
      </c>
      <c r="L1183" s="27">
        <v>970</v>
      </c>
      <c r="M1183" s="21"/>
      <c r="N1183" s="21"/>
      <c r="O1183" s="21" t="s">
        <v>2240</v>
      </c>
      <c r="P1183" s="21" t="s">
        <v>54</v>
      </c>
      <c r="Q1183" s="28">
        <v>46101</v>
      </c>
      <c r="R1183" s="29">
        <v>46100.4600578704</v>
      </c>
      <c r="S1183" s="21" t="s">
        <v>139</v>
      </c>
      <c r="T1183" s="21"/>
      <c r="U1183" s="21" t="s">
        <v>134</v>
      </c>
      <c r="V1183" s="29">
        <v>46100.46</v>
      </c>
      <c r="W1183">
        <f>VLOOKUP(H1183,物料編碼!A:B,2,0)</f>
        <v>1300111003</v>
      </c>
      <c r="X1183">
        <v>1300111</v>
      </c>
      <c r="Y1183" t="str">
        <f>VLOOKUP(X1183,物料編碼!D:G,4,0)</f>
        <v>寸骨</v>
      </c>
      <c r="Z1183" t="str">
        <f>VLOOKUP(C1183,客戶屬性1!A:C,2,0)</f>
        <v>恒昌冻肉食品有限公司</v>
      </c>
      <c r="AA1183">
        <f>IF(COUNTIF($O$1:O1183,O1183)=1,L1183,0)</f>
        <v>970</v>
      </c>
    </row>
    <row r="1184" customHeight="1" spans="1:27">
      <c r="A1184" s="21" t="s">
        <v>2241</v>
      </c>
      <c r="B1184" s="21" t="s">
        <v>45</v>
      </c>
      <c r="C1184" s="21" t="s">
        <v>767</v>
      </c>
      <c r="D1184" s="21" t="s">
        <v>768</v>
      </c>
      <c r="E1184" s="21" t="s">
        <v>769</v>
      </c>
      <c r="F1184" s="21" t="s">
        <v>49</v>
      </c>
      <c r="G1184" s="21" t="s">
        <v>136</v>
      </c>
      <c r="H1184" s="21" t="s">
        <v>298</v>
      </c>
      <c r="I1184" s="26">
        <v>2</v>
      </c>
      <c r="J1184" s="26">
        <v>20</v>
      </c>
      <c r="K1184" s="21" t="s">
        <v>52</v>
      </c>
      <c r="L1184" s="27">
        <v>970</v>
      </c>
      <c r="M1184" s="21"/>
      <c r="N1184" s="21"/>
      <c r="O1184" s="21" t="s">
        <v>2242</v>
      </c>
      <c r="P1184" s="21" t="s">
        <v>54</v>
      </c>
      <c r="Q1184" s="28">
        <v>46100</v>
      </c>
      <c r="R1184" s="29">
        <v>46100.4108101852</v>
      </c>
      <c r="S1184" s="21" t="s">
        <v>771</v>
      </c>
      <c r="T1184" s="21"/>
      <c r="U1184" s="21" t="s">
        <v>772</v>
      </c>
      <c r="V1184" s="29">
        <v>46100.4107523148</v>
      </c>
      <c r="W1184">
        <f>VLOOKUP(H1184,物料編碼!A:B,2,0)</f>
        <v>1300111003</v>
      </c>
      <c r="X1184">
        <v>1300111</v>
      </c>
      <c r="Y1184" t="str">
        <f>VLOOKUP(X1184,物料編碼!D:G,4,0)</f>
        <v>寸骨</v>
      </c>
      <c r="Z1184" t="str">
        <f>VLOOKUP(C1184,客戶屬性1!A:C,2,0)</f>
        <v>峻星貿易有限公司</v>
      </c>
      <c r="AA1184">
        <f>IF(COUNTIF($O$1:O1184,O1184)=1,L1184,0)</f>
        <v>970</v>
      </c>
    </row>
    <row r="1185" customHeight="1" spans="1:27">
      <c r="A1185" s="21" t="s">
        <v>2243</v>
      </c>
      <c r="B1185" s="21" t="s">
        <v>45</v>
      </c>
      <c r="C1185" s="21" t="s">
        <v>235</v>
      </c>
      <c r="D1185" s="21" t="s">
        <v>236</v>
      </c>
      <c r="E1185" s="21" t="s">
        <v>237</v>
      </c>
      <c r="F1185" s="21" t="s">
        <v>49</v>
      </c>
      <c r="G1185" s="21" t="s">
        <v>238</v>
      </c>
      <c r="H1185" s="21" t="s">
        <v>677</v>
      </c>
      <c r="I1185" s="26">
        <v>6</v>
      </c>
      <c r="J1185" s="26">
        <v>90</v>
      </c>
      <c r="K1185" s="21" t="s">
        <v>52</v>
      </c>
      <c r="L1185" s="27">
        <v>4284</v>
      </c>
      <c r="M1185" s="21"/>
      <c r="N1185" s="21"/>
      <c r="O1185" s="21" t="s">
        <v>2244</v>
      </c>
      <c r="P1185" s="21" t="s">
        <v>54</v>
      </c>
      <c r="Q1185" s="28">
        <v>46100</v>
      </c>
      <c r="R1185" s="29">
        <v>46100.3965625</v>
      </c>
      <c r="S1185" s="21" t="s">
        <v>241</v>
      </c>
      <c r="T1185" s="21"/>
      <c r="U1185" s="21" t="s">
        <v>237</v>
      </c>
      <c r="V1185" s="29">
        <v>46100.3965046296</v>
      </c>
      <c r="W1185">
        <f>VLOOKUP(H1185,物料編碼!A:B,2,0)</f>
        <v>1300603095</v>
      </c>
      <c r="X1185">
        <v>1300603</v>
      </c>
      <c r="Y1185" t="str">
        <f>VLOOKUP(X1185,物料編碼!D:G,4,0)</f>
        <v>帶骨全腿</v>
      </c>
      <c r="Z1185" t="str">
        <f>VLOOKUP(C1185,客戶屬性1!A:C,2,0)</f>
        <v>联合林记食品有限公司</v>
      </c>
      <c r="AA1185">
        <f>IF(COUNTIF($O$1:O1185,O1185)=1,L1185,0)</f>
        <v>4284</v>
      </c>
    </row>
    <row r="1186" customHeight="1" spans="1:27">
      <c r="A1186" s="21" t="s">
        <v>2243</v>
      </c>
      <c r="B1186" s="21" t="s">
        <v>45</v>
      </c>
      <c r="C1186" s="21" t="s">
        <v>235</v>
      </c>
      <c r="D1186" s="21" t="s">
        <v>236</v>
      </c>
      <c r="E1186" s="21" t="s">
        <v>237</v>
      </c>
      <c r="F1186" s="21" t="s">
        <v>49</v>
      </c>
      <c r="G1186" s="21" t="s">
        <v>238</v>
      </c>
      <c r="H1186" s="21" t="s">
        <v>190</v>
      </c>
      <c r="I1186" s="26">
        <v>15</v>
      </c>
      <c r="J1186" s="26">
        <v>180</v>
      </c>
      <c r="K1186" s="21" t="s">
        <v>52</v>
      </c>
      <c r="L1186" s="27">
        <v>4284</v>
      </c>
      <c r="M1186" s="21"/>
      <c r="N1186" s="21"/>
      <c r="O1186" s="21" t="s">
        <v>2244</v>
      </c>
      <c r="P1186" s="21" t="s">
        <v>54</v>
      </c>
      <c r="Q1186" s="28">
        <v>46100</v>
      </c>
      <c r="R1186" s="29">
        <v>46100.3965625</v>
      </c>
      <c r="S1186" s="21" t="s">
        <v>241</v>
      </c>
      <c r="T1186" s="21"/>
      <c r="U1186" s="21" t="s">
        <v>237</v>
      </c>
      <c r="V1186" s="29">
        <v>46100.3965046296</v>
      </c>
      <c r="W1186">
        <f>VLOOKUP(H1186,物料編碼!A:B,2,0)</f>
        <v>1300609001</v>
      </c>
      <c r="X1186">
        <v>1300609</v>
      </c>
      <c r="Y1186" t="str">
        <f>VLOOKUP(X1186,物料編碼!D:G,4,0)</f>
        <v>去皮上腿肉</v>
      </c>
      <c r="Z1186" t="str">
        <f>VLOOKUP(C1186,客戶屬性1!A:C,2,0)</f>
        <v>联合林记食品有限公司</v>
      </c>
      <c r="AA1186">
        <f>IF(COUNTIF($O$1:O1186,O1186)=1,L1186,0)</f>
        <v>0</v>
      </c>
    </row>
    <row r="1187" customHeight="1" spans="1:27">
      <c r="A1187" s="21" t="s">
        <v>2245</v>
      </c>
      <c r="B1187" s="21" t="s">
        <v>45</v>
      </c>
      <c r="C1187" s="21" t="s">
        <v>171</v>
      </c>
      <c r="D1187" s="21" t="s">
        <v>172</v>
      </c>
      <c r="E1187" s="21" t="s">
        <v>173</v>
      </c>
      <c r="F1187" s="21" t="s">
        <v>49</v>
      </c>
      <c r="G1187" s="21" t="s">
        <v>174</v>
      </c>
      <c r="H1187" s="21" t="s">
        <v>190</v>
      </c>
      <c r="I1187" s="26">
        <v>10</v>
      </c>
      <c r="J1187" s="26">
        <v>120</v>
      </c>
      <c r="K1187" s="21" t="s">
        <v>52</v>
      </c>
      <c r="L1187" s="27">
        <v>1884</v>
      </c>
      <c r="M1187" s="21"/>
      <c r="N1187" s="21"/>
      <c r="O1187" s="21" t="s">
        <v>2246</v>
      </c>
      <c r="P1187" s="21" t="s">
        <v>54</v>
      </c>
      <c r="Q1187" s="28">
        <v>46100</v>
      </c>
      <c r="R1187" s="29">
        <v>46099.5766782407</v>
      </c>
      <c r="S1187" s="21" t="s">
        <v>177</v>
      </c>
      <c r="T1187" s="21"/>
      <c r="U1187" s="21" t="s">
        <v>172</v>
      </c>
      <c r="V1187" s="29">
        <v>46099.5766319444</v>
      </c>
      <c r="W1187">
        <f>VLOOKUP(H1187,物料編碼!A:B,2,0)</f>
        <v>1300609001</v>
      </c>
      <c r="X1187">
        <v>1300609</v>
      </c>
      <c r="Y1187" t="str">
        <f>VLOOKUP(X1187,物料編碼!D:G,4,0)</f>
        <v>去皮上腿肉</v>
      </c>
      <c r="Z1187" t="str">
        <f>VLOOKUP(C1187,客戶屬性1!A:C,2,0)</f>
        <v>豪气有限公司</v>
      </c>
      <c r="AA1187">
        <f>IF(COUNTIF($O$1:O1187,O1187)=1,L1187,0)</f>
        <v>1884</v>
      </c>
    </row>
    <row r="1188" customHeight="1" spans="1:27">
      <c r="A1188" s="21" t="s">
        <v>2247</v>
      </c>
      <c r="B1188" s="21" t="s">
        <v>45</v>
      </c>
      <c r="C1188" s="21" t="s">
        <v>235</v>
      </c>
      <c r="D1188" s="21" t="s">
        <v>236</v>
      </c>
      <c r="E1188" s="21" t="s">
        <v>237</v>
      </c>
      <c r="F1188" s="21" t="s">
        <v>49</v>
      </c>
      <c r="G1188" s="21" t="s">
        <v>238</v>
      </c>
      <c r="H1188" s="21" t="s">
        <v>190</v>
      </c>
      <c r="I1188" s="26">
        <v>11</v>
      </c>
      <c r="J1188" s="26">
        <v>132</v>
      </c>
      <c r="K1188" s="21" t="s">
        <v>52</v>
      </c>
      <c r="L1188" s="27">
        <v>2072.4</v>
      </c>
      <c r="M1188" s="21"/>
      <c r="N1188" s="21"/>
      <c r="O1188" s="21" t="s">
        <v>2248</v>
      </c>
      <c r="P1188" s="21" t="s">
        <v>54</v>
      </c>
      <c r="Q1188" s="28">
        <v>46099</v>
      </c>
      <c r="R1188" s="29">
        <v>46099.5166203704</v>
      </c>
      <c r="S1188" s="21" t="s">
        <v>241</v>
      </c>
      <c r="T1188" s="21"/>
      <c r="U1188" s="21" t="s">
        <v>237</v>
      </c>
      <c r="V1188" s="29">
        <v>46099.5165740741</v>
      </c>
      <c r="W1188">
        <f>VLOOKUP(H1188,物料編碼!A:B,2,0)</f>
        <v>1300609001</v>
      </c>
      <c r="X1188">
        <v>1300609</v>
      </c>
      <c r="Y1188" t="str">
        <f>VLOOKUP(X1188,物料編碼!D:G,4,0)</f>
        <v>去皮上腿肉</v>
      </c>
      <c r="Z1188" t="str">
        <f>VLOOKUP(C1188,客戶屬性1!A:C,2,0)</f>
        <v>联合林记食品有限公司</v>
      </c>
      <c r="AA1188">
        <f>IF(COUNTIF($O$1:O1188,O1188)=1,L1188,0)</f>
        <v>2072.4</v>
      </c>
    </row>
    <row r="1189" customHeight="1" spans="1:27">
      <c r="A1189" s="21" t="s">
        <v>2249</v>
      </c>
      <c r="B1189" s="21" t="s">
        <v>45</v>
      </c>
      <c r="C1189" s="21" t="s">
        <v>235</v>
      </c>
      <c r="D1189" s="21" t="s">
        <v>236</v>
      </c>
      <c r="E1189" s="21" t="s">
        <v>237</v>
      </c>
      <c r="F1189" s="21"/>
      <c r="G1189" s="21"/>
      <c r="H1189" s="21" t="s">
        <v>190</v>
      </c>
      <c r="I1189" s="26">
        <v>11</v>
      </c>
      <c r="J1189" s="26">
        <v>132</v>
      </c>
      <c r="K1189" s="21" t="s">
        <v>52</v>
      </c>
      <c r="L1189" s="27">
        <v>2072.4</v>
      </c>
      <c r="M1189" s="21"/>
      <c r="N1189" s="21"/>
      <c r="O1189" s="21"/>
      <c r="P1189" s="21" t="s">
        <v>369</v>
      </c>
      <c r="Q1189" s="28">
        <v>46099</v>
      </c>
      <c r="R1189" s="29">
        <v>46099.4725115741</v>
      </c>
      <c r="S1189" s="21" t="s">
        <v>241</v>
      </c>
      <c r="T1189" s="21"/>
      <c r="U1189" s="21" t="s">
        <v>237</v>
      </c>
      <c r="V1189" s="29">
        <v>46099.4724768518</v>
      </c>
      <c r="W1189">
        <f>VLOOKUP(H1189,物料編碼!A:B,2,0)</f>
        <v>1300609001</v>
      </c>
      <c r="X1189">
        <v>1300609</v>
      </c>
      <c r="Y1189" t="str">
        <f>VLOOKUP(X1189,物料編碼!D:G,4,0)</f>
        <v>去皮上腿肉</v>
      </c>
      <c r="Z1189" t="str">
        <f>VLOOKUP(C1189,客戶屬性1!A:C,2,0)</f>
        <v>联合林记食品有限公司</v>
      </c>
      <c r="AA1189">
        <f>IF(COUNTIF($O$1:O1189,O1189)=1,L1189,0)</f>
        <v>0</v>
      </c>
    </row>
    <row r="1190" customHeight="1" spans="1:27">
      <c r="A1190" s="21" t="s">
        <v>2250</v>
      </c>
      <c r="B1190" s="21" t="s">
        <v>45</v>
      </c>
      <c r="C1190" s="21" t="s">
        <v>141</v>
      </c>
      <c r="D1190" s="21" t="s">
        <v>142</v>
      </c>
      <c r="E1190" s="21" t="s">
        <v>142</v>
      </c>
      <c r="F1190" s="21" t="s">
        <v>143</v>
      </c>
      <c r="G1190" s="21" t="s">
        <v>100</v>
      </c>
      <c r="H1190" s="21" t="s">
        <v>117</v>
      </c>
      <c r="I1190" s="26">
        <v>3</v>
      </c>
      <c r="J1190" s="26">
        <v>45</v>
      </c>
      <c r="K1190" s="21" t="s">
        <v>52</v>
      </c>
      <c r="L1190" s="27">
        <v>675</v>
      </c>
      <c r="M1190" s="21"/>
      <c r="N1190" s="21"/>
      <c r="O1190" s="21" t="s">
        <v>2251</v>
      </c>
      <c r="P1190" s="21" t="s">
        <v>54</v>
      </c>
      <c r="Q1190" s="28">
        <v>46100</v>
      </c>
      <c r="R1190" s="29">
        <v>46099.4655439815</v>
      </c>
      <c r="S1190" s="21" t="s">
        <v>145</v>
      </c>
      <c r="T1190" s="21"/>
      <c r="U1190" s="21" t="s">
        <v>142</v>
      </c>
      <c r="V1190" s="29">
        <v>46099.4654976852</v>
      </c>
      <c r="W1190">
        <f>VLOOKUP(H1190,物料編碼!A:B,2,0)</f>
        <v>1300607015</v>
      </c>
      <c r="X1190">
        <v>1300607</v>
      </c>
      <c r="Y1190" t="str">
        <f>VLOOKUP(X1190,物料編碼!D:G,4,0)</f>
        <v>帶皮腿扒</v>
      </c>
      <c r="Z1190" t="str">
        <f>VLOOKUP(C1190,客戶屬性1!A:C,2,0)</f>
        <v>新昌冻肉</v>
      </c>
      <c r="AA1190">
        <f>IF(COUNTIF($O$1:O1190,O1190)=1,L1190,0)</f>
        <v>675</v>
      </c>
    </row>
    <row r="1191" customHeight="1" spans="1:27">
      <c r="A1191" s="21" t="s">
        <v>2252</v>
      </c>
      <c r="B1191" s="21" t="s">
        <v>45</v>
      </c>
      <c r="C1191" s="21" t="s">
        <v>141</v>
      </c>
      <c r="D1191" s="21" t="s">
        <v>142</v>
      </c>
      <c r="E1191" s="21" t="s">
        <v>142</v>
      </c>
      <c r="F1191" s="21" t="s">
        <v>143</v>
      </c>
      <c r="G1191" s="21" t="s">
        <v>100</v>
      </c>
      <c r="H1191" s="21" t="s">
        <v>60</v>
      </c>
      <c r="I1191" s="26">
        <v>1</v>
      </c>
      <c r="J1191" s="26">
        <v>25</v>
      </c>
      <c r="K1191" s="21" t="s">
        <v>52</v>
      </c>
      <c r="L1191" s="27">
        <v>945</v>
      </c>
      <c r="M1191" s="21"/>
      <c r="N1191" s="21"/>
      <c r="O1191" s="21" t="s">
        <v>2253</v>
      </c>
      <c r="P1191" s="21" t="s">
        <v>54</v>
      </c>
      <c r="Q1191" s="28">
        <v>46100</v>
      </c>
      <c r="R1191" s="29">
        <v>46099.4643402778</v>
      </c>
      <c r="S1191" s="21" t="s">
        <v>145</v>
      </c>
      <c r="T1191" s="21"/>
      <c r="U1191" s="21" t="s">
        <v>142</v>
      </c>
      <c r="V1191" s="29">
        <v>46099.4642939815</v>
      </c>
      <c r="W1191">
        <f>VLOOKUP(H1191,物料編碼!A:B,2,0)</f>
        <v>1300101043</v>
      </c>
      <c r="X1191">
        <v>1300101</v>
      </c>
      <c r="Y1191" t="str">
        <f>VLOOKUP(X1191,物料編碼!D:G,4,0)</f>
        <v>一號肉</v>
      </c>
      <c r="Z1191" t="str">
        <f>VLOOKUP(C1191,客戶屬性1!A:C,2,0)</f>
        <v>新昌冻肉</v>
      </c>
      <c r="AA1191">
        <f>IF(COUNTIF($O$1:O1191,O1191)=1,L1191,0)</f>
        <v>945</v>
      </c>
    </row>
    <row r="1192" customHeight="1" spans="1:27">
      <c r="A1192" s="21" t="s">
        <v>2254</v>
      </c>
      <c r="B1192" s="21" t="s">
        <v>45</v>
      </c>
      <c r="C1192" s="21" t="s">
        <v>858</v>
      </c>
      <c r="D1192" s="21" t="s">
        <v>859</v>
      </c>
      <c r="E1192" s="21" t="s">
        <v>860</v>
      </c>
      <c r="F1192" s="21" t="s">
        <v>49</v>
      </c>
      <c r="G1192" s="21" t="s">
        <v>136</v>
      </c>
      <c r="H1192" s="21" t="s">
        <v>117</v>
      </c>
      <c r="I1192" s="26">
        <v>4</v>
      </c>
      <c r="J1192" s="26">
        <v>60</v>
      </c>
      <c r="K1192" s="21" t="s">
        <v>52</v>
      </c>
      <c r="L1192" s="27">
        <v>900</v>
      </c>
      <c r="M1192" s="21"/>
      <c r="N1192" s="21"/>
      <c r="O1192" s="21" t="s">
        <v>2255</v>
      </c>
      <c r="P1192" s="21" t="s">
        <v>54</v>
      </c>
      <c r="Q1192" s="28">
        <v>46099</v>
      </c>
      <c r="R1192" s="29">
        <v>46099.4208333333</v>
      </c>
      <c r="S1192" s="21" t="s">
        <v>863</v>
      </c>
      <c r="T1192" s="21"/>
      <c r="U1192" s="21" t="s">
        <v>859</v>
      </c>
      <c r="V1192" s="29">
        <v>46099.420787037</v>
      </c>
      <c r="W1192">
        <f>VLOOKUP(H1192,物料編碼!A:B,2,0)</f>
        <v>1300607015</v>
      </c>
      <c r="X1192">
        <v>1300607</v>
      </c>
      <c r="Y1192" t="str">
        <f>VLOOKUP(X1192,物料編碼!D:G,4,0)</f>
        <v>帶皮腿扒</v>
      </c>
      <c r="Z1192" t="str">
        <f>VLOOKUP(C1192,客戶屬性1!A:C,2,0)</f>
        <v>福伟集团有限公司</v>
      </c>
      <c r="AA1192">
        <f>IF(COUNTIF($O$1:O1192,O1192)=1,L1192,0)</f>
        <v>900</v>
      </c>
    </row>
    <row r="1193" customHeight="1" spans="1:27">
      <c r="A1193" s="21" t="s">
        <v>2256</v>
      </c>
      <c r="B1193" s="21" t="s">
        <v>45</v>
      </c>
      <c r="C1193" s="21" t="s">
        <v>2192</v>
      </c>
      <c r="D1193" s="21" t="s">
        <v>2193</v>
      </c>
      <c r="E1193" s="21" t="s">
        <v>2194</v>
      </c>
      <c r="F1193" s="21" t="s">
        <v>49</v>
      </c>
      <c r="G1193" s="21" t="s">
        <v>89</v>
      </c>
      <c r="H1193" s="21" t="s">
        <v>137</v>
      </c>
      <c r="I1193" s="26">
        <v>2</v>
      </c>
      <c r="J1193" s="26">
        <v>36</v>
      </c>
      <c r="K1193" s="21" t="s">
        <v>52</v>
      </c>
      <c r="L1193" s="27">
        <v>2880</v>
      </c>
      <c r="M1193" s="21"/>
      <c r="N1193" s="21"/>
      <c r="O1193" s="21" t="s">
        <v>2257</v>
      </c>
      <c r="P1193" s="21" t="s">
        <v>54</v>
      </c>
      <c r="Q1193" s="28">
        <v>46100</v>
      </c>
      <c r="R1193" s="29">
        <v>46098.8683449074</v>
      </c>
      <c r="S1193" s="21" t="s">
        <v>2196</v>
      </c>
      <c r="T1193" s="21"/>
      <c r="U1193" s="21" t="s">
        <v>231</v>
      </c>
      <c r="V1193" s="29">
        <v>46098.8682638889</v>
      </c>
      <c r="W1193">
        <f>VLOOKUP(H1193,物料編碼!A:B,2,0)</f>
        <v>1300503009</v>
      </c>
      <c r="X1193">
        <v>1300503</v>
      </c>
      <c r="Y1193" t="str">
        <f>VLOOKUP(X1193,物料編碼!D:G,4,0)</f>
        <v>羊肩卷肉</v>
      </c>
      <c r="Z1193" t="str">
        <f>VLOOKUP(C1193,客戶屬性1!A:C,2,0)</f>
        <v>安强冻肉公司</v>
      </c>
      <c r="AA1193">
        <f>IF(COUNTIF($O$1:O1193,O1193)=1,L1193,0)</f>
        <v>2880</v>
      </c>
    </row>
    <row r="1194" customHeight="1" spans="1:27">
      <c r="A1194" s="21" t="s">
        <v>2258</v>
      </c>
      <c r="B1194" s="21" t="s">
        <v>45</v>
      </c>
      <c r="C1194" s="21" t="s">
        <v>1460</v>
      </c>
      <c r="D1194" s="21" t="s">
        <v>1461</v>
      </c>
      <c r="E1194" s="21" t="s">
        <v>1462</v>
      </c>
      <c r="F1194" s="21" t="s">
        <v>49</v>
      </c>
      <c r="G1194" s="21" t="s">
        <v>541</v>
      </c>
      <c r="H1194" s="21" t="s">
        <v>117</v>
      </c>
      <c r="I1194" s="26">
        <v>5</v>
      </c>
      <c r="J1194" s="26">
        <v>75</v>
      </c>
      <c r="K1194" s="21" t="s">
        <v>52</v>
      </c>
      <c r="L1194" s="27">
        <v>1108.5</v>
      </c>
      <c r="M1194" s="21"/>
      <c r="N1194" s="21"/>
      <c r="O1194" s="21" t="s">
        <v>2259</v>
      </c>
      <c r="P1194" s="21" t="s">
        <v>54</v>
      </c>
      <c r="Q1194" s="28">
        <v>46099</v>
      </c>
      <c r="R1194" s="29">
        <v>46098.711400463</v>
      </c>
      <c r="S1194" s="21" t="s">
        <v>1464</v>
      </c>
      <c r="T1194" s="21"/>
      <c r="U1194" s="21" t="s">
        <v>1461</v>
      </c>
      <c r="V1194" s="29">
        <v>46098.7113425926</v>
      </c>
      <c r="W1194">
        <f>VLOOKUP(H1194,物料編碼!A:B,2,0)</f>
        <v>1300607015</v>
      </c>
      <c r="X1194">
        <v>1300607</v>
      </c>
      <c r="Y1194" t="str">
        <f>VLOOKUP(X1194,物料編碼!D:G,4,0)</f>
        <v>帶皮腿扒</v>
      </c>
      <c r="Z1194" t="str">
        <f>VLOOKUP(C1194,客戶屬性1!A:C,2,0)</f>
        <v>新江公司</v>
      </c>
      <c r="AA1194">
        <f>IF(COUNTIF($O$1:O1194,O1194)=1,L1194,0)</f>
        <v>1108.5</v>
      </c>
    </row>
    <row r="1195" customHeight="1" spans="1:27">
      <c r="A1195" s="21" t="s">
        <v>2260</v>
      </c>
      <c r="B1195" s="21" t="s">
        <v>45</v>
      </c>
      <c r="C1195" s="21" t="s">
        <v>893</v>
      </c>
      <c r="D1195" s="21" t="s">
        <v>894</v>
      </c>
      <c r="E1195" s="21" t="s">
        <v>895</v>
      </c>
      <c r="F1195" s="21" t="s">
        <v>49</v>
      </c>
      <c r="G1195" s="21" t="s">
        <v>89</v>
      </c>
      <c r="H1195" s="21" t="s">
        <v>137</v>
      </c>
      <c r="I1195" s="26">
        <v>5</v>
      </c>
      <c r="J1195" s="26">
        <v>90</v>
      </c>
      <c r="K1195" s="21" t="s">
        <v>52</v>
      </c>
      <c r="L1195" s="27">
        <v>7200</v>
      </c>
      <c r="M1195" s="21"/>
      <c r="N1195" s="21"/>
      <c r="O1195" s="21" t="s">
        <v>2261</v>
      </c>
      <c r="P1195" s="21" t="s">
        <v>54</v>
      </c>
      <c r="Q1195" s="28">
        <v>46099</v>
      </c>
      <c r="R1195" s="29">
        <v>46098.5318865741</v>
      </c>
      <c r="S1195" s="21" t="s">
        <v>897</v>
      </c>
      <c r="T1195" s="21"/>
      <c r="U1195" s="21" t="s">
        <v>894</v>
      </c>
      <c r="V1195" s="29">
        <v>46098.5318287037</v>
      </c>
      <c r="W1195">
        <f>VLOOKUP(H1195,物料編碼!A:B,2,0)</f>
        <v>1300503009</v>
      </c>
      <c r="X1195">
        <v>1300503</v>
      </c>
      <c r="Y1195" t="str">
        <f>VLOOKUP(X1195,物料編碼!D:G,4,0)</f>
        <v>羊肩卷肉</v>
      </c>
      <c r="Z1195" t="str">
        <f>VLOOKUP(C1195,客戶屬性1!A:C,2,0)</f>
        <v>明記海鮮食品有限公司</v>
      </c>
      <c r="AA1195">
        <f>IF(COUNTIF($O$1:O1195,O1195)=1,L1195,0)</f>
        <v>7200</v>
      </c>
    </row>
    <row r="1196" customHeight="1" spans="1:27">
      <c r="A1196" s="21" t="s">
        <v>2262</v>
      </c>
      <c r="B1196" s="21" t="s">
        <v>45</v>
      </c>
      <c r="C1196" s="21" t="s">
        <v>141</v>
      </c>
      <c r="D1196" s="21" t="s">
        <v>142</v>
      </c>
      <c r="E1196" s="21" t="s">
        <v>142</v>
      </c>
      <c r="F1196" s="21" t="s">
        <v>143</v>
      </c>
      <c r="G1196" s="21" t="s">
        <v>100</v>
      </c>
      <c r="H1196" s="21" t="s">
        <v>63</v>
      </c>
      <c r="I1196" s="26">
        <v>1</v>
      </c>
      <c r="J1196" s="26">
        <v>25</v>
      </c>
      <c r="K1196" s="21" t="s">
        <v>52</v>
      </c>
      <c r="L1196" s="27">
        <v>835</v>
      </c>
      <c r="M1196" s="21"/>
      <c r="N1196" s="21"/>
      <c r="O1196" s="21" t="s">
        <v>2263</v>
      </c>
      <c r="P1196" s="21" t="s">
        <v>54</v>
      </c>
      <c r="Q1196" s="28">
        <v>46099</v>
      </c>
      <c r="R1196" s="29">
        <v>46098.5030671296</v>
      </c>
      <c r="S1196" s="21" t="s">
        <v>145</v>
      </c>
      <c r="T1196" s="21"/>
      <c r="U1196" s="21" t="s">
        <v>142</v>
      </c>
      <c r="V1196" s="29">
        <v>46098.5030208333</v>
      </c>
      <c r="W1196">
        <f>VLOOKUP(H1196,物料編碼!A:B,2,0)</f>
        <v>1300109002</v>
      </c>
      <c r="X1196">
        <v>1300109</v>
      </c>
      <c r="Y1196" t="str">
        <f>VLOOKUP(X1196,物料編碼!D:G,4,0)</f>
        <v>面精肉</v>
      </c>
      <c r="Z1196" t="str">
        <f>VLOOKUP(C1196,客戶屬性1!A:C,2,0)</f>
        <v>新昌冻肉</v>
      </c>
      <c r="AA1196">
        <f>IF(COUNTIF($O$1:O1196,O1196)=1,L1196,0)</f>
        <v>835</v>
      </c>
    </row>
    <row r="1197" customHeight="1" spans="1:27">
      <c r="A1197" s="21" t="s">
        <v>2264</v>
      </c>
      <c r="B1197" s="21" t="s">
        <v>45</v>
      </c>
      <c r="C1197" s="21" t="s">
        <v>141</v>
      </c>
      <c r="D1197" s="21" t="s">
        <v>142</v>
      </c>
      <c r="E1197" s="21" t="s">
        <v>142</v>
      </c>
      <c r="F1197" s="21" t="s">
        <v>143</v>
      </c>
      <c r="G1197" s="21" t="s">
        <v>100</v>
      </c>
      <c r="H1197" s="21" t="s">
        <v>117</v>
      </c>
      <c r="I1197" s="26">
        <v>3</v>
      </c>
      <c r="J1197" s="26">
        <v>45</v>
      </c>
      <c r="K1197" s="21" t="s">
        <v>52</v>
      </c>
      <c r="L1197" s="27">
        <v>665.1</v>
      </c>
      <c r="M1197" s="21"/>
      <c r="N1197" s="21"/>
      <c r="O1197" s="21" t="s">
        <v>2265</v>
      </c>
      <c r="P1197" s="21" t="s">
        <v>54</v>
      </c>
      <c r="Q1197" s="28">
        <v>46099</v>
      </c>
      <c r="R1197" s="29">
        <v>46098.4996527778</v>
      </c>
      <c r="S1197" s="21" t="s">
        <v>145</v>
      </c>
      <c r="T1197" s="21"/>
      <c r="U1197" s="21" t="s">
        <v>142</v>
      </c>
      <c r="V1197" s="29">
        <v>46098.4996064815</v>
      </c>
      <c r="W1197">
        <f>VLOOKUP(H1197,物料編碼!A:B,2,0)</f>
        <v>1300607015</v>
      </c>
      <c r="X1197">
        <v>1300607</v>
      </c>
      <c r="Y1197" t="str">
        <f>VLOOKUP(X1197,物料編碼!D:G,4,0)</f>
        <v>帶皮腿扒</v>
      </c>
      <c r="Z1197" t="str">
        <f>VLOOKUP(C1197,客戶屬性1!A:C,2,0)</f>
        <v>新昌冻肉</v>
      </c>
      <c r="AA1197">
        <f>IF(COUNTIF($O$1:O1197,O1197)=1,L1197,0)</f>
        <v>665.1</v>
      </c>
    </row>
    <row r="1198" customHeight="1" spans="1:27">
      <c r="A1198" s="21" t="s">
        <v>2266</v>
      </c>
      <c r="B1198" s="21" t="s">
        <v>45</v>
      </c>
      <c r="C1198" s="21" t="s">
        <v>2192</v>
      </c>
      <c r="D1198" s="21" t="s">
        <v>2193</v>
      </c>
      <c r="E1198" s="21" t="s">
        <v>2194</v>
      </c>
      <c r="F1198" s="21" t="s">
        <v>49</v>
      </c>
      <c r="G1198" s="21" t="s">
        <v>89</v>
      </c>
      <c r="H1198" s="21" t="s">
        <v>137</v>
      </c>
      <c r="I1198" s="26">
        <v>2</v>
      </c>
      <c r="J1198" s="26">
        <v>36</v>
      </c>
      <c r="K1198" s="21" t="s">
        <v>52</v>
      </c>
      <c r="L1198" s="27">
        <v>2880</v>
      </c>
      <c r="M1198" s="21"/>
      <c r="N1198" s="21"/>
      <c r="O1198" s="21" t="s">
        <v>2267</v>
      </c>
      <c r="P1198" s="21" t="s">
        <v>183</v>
      </c>
      <c r="Q1198" s="28">
        <v>46099</v>
      </c>
      <c r="R1198" s="29">
        <v>46098.4894328704</v>
      </c>
      <c r="S1198" s="21" t="s">
        <v>2196</v>
      </c>
      <c r="T1198" s="21"/>
      <c r="U1198" s="21" t="s">
        <v>231</v>
      </c>
      <c r="V1198" s="29">
        <v>46098.4893865741</v>
      </c>
      <c r="W1198">
        <f>VLOOKUP(H1198,物料編碼!A:B,2,0)</f>
        <v>1300503009</v>
      </c>
      <c r="X1198">
        <v>1300503</v>
      </c>
      <c r="Y1198" t="str">
        <f>VLOOKUP(X1198,物料編碼!D:G,4,0)</f>
        <v>羊肩卷肉</v>
      </c>
      <c r="Z1198" t="str">
        <f>VLOOKUP(C1198,客戶屬性1!A:C,2,0)</f>
        <v>安强冻肉公司</v>
      </c>
      <c r="AA1198">
        <f>IF(COUNTIF($O$1:O1198,O1198)=1,L1198,0)</f>
        <v>2880</v>
      </c>
    </row>
    <row r="1199" customHeight="1" spans="1:27">
      <c r="A1199" s="21" t="s">
        <v>2268</v>
      </c>
      <c r="B1199" s="21" t="s">
        <v>45</v>
      </c>
      <c r="C1199" s="21" t="s">
        <v>72</v>
      </c>
      <c r="D1199" s="21" t="s">
        <v>73</v>
      </c>
      <c r="E1199" s="21" t="s">
        <v>74</v>
      </c>
      <c r="F1199" s="21" t="s">
        <v>49</v>
      </c>
      <c r="G1199" s="21" t="s">
        <v>50</v>
      </c>
      <c r="H1199" s="21" t="s">
        <v>190</v>
      </c>
      <c r="I1199" s="26">
        <v>8</v>
      </c>
      <c r="J1199" s="26">
        <v>96</v>
      </c>
      <c r="K1199" s="21" t="s">
        <v>52</v>
      </c>
      <c r="L1199" s="27">
        <v>1516.8</v>
      </c>
      <c r="M1199" s="21"/>
      <c r="N1199" s="21"/>
      <c r="O1199" s="21" t="s">
        <v>2269</v>
      </c>
      <c r="P1199" s="21" t="s">
        <v>54</v>
      </c>
      <c r="Q1199" s="28">
        <v>46099</v>
      </c>
      <c r="R1199" s="29">
        <v>46098.4578472222</v>
      </c>
      <c r="S1199" s="21" t="s">
        <v>77</v>
      </c>
      <c r="T1199" s="21"/>
      <c r="U1199" s="21" t="s">
        <v>74</v>
      </c>
      <c r="V1199" s="29">
        <v>46098.4578009259</v>
      </c>
      <c r="W1199">
        <f>VLOOKUP(H1199,物料編碼!A:B,2,0)</f>
        <v>1300609001</v>
      </c>
      <c r="X1199">
        <v>1300609</v>
      </c>
      <c r="Y1199" t="str">
        <f>VLOOKUP(X1199,物料編碼!D:G,4,0)</f>
        <v>去皮上腿肉</v>
      </c>
      <c r="Z1199" t="str">
        <f>VLOOKUP(C1199,客戶屬性1!A:C,2,0)</f>
        <v>恒辉贸易公司</v>
      </c>
      <c r="AA1199">
        <f>IF(COUNTIF($O$1:O1199,O1199)=1,L1199,0)</f>
        <v>1516.8</v>
      </c>
    </row>
    <row r="1200" customHeight="1" spans="1:27">
      <c r="A1200" s="21" t="s">
        <v>2270</v>
      </c>
      <c r="B1200" s="21" t="s">
        <v>45</v>
      </c>
      <c r="C1200" s="21" t="s">
        <v>72</v>
      </c>
      <c r="D1200" s="21" t="s">
        <v>73</v>
      </c>
      <c r="E1200" s="21" t="s">
        <v>74</v>
      </c>
      <c r="F1200" s="21" t="s">
        <v>49</v>
      </c>
      <c r="G1200" s="21" t="s">
        <v>50</v>
      </c>
      <c r="H1200" s="21" t="s">
        <v>190</v>
      </c>
      <c r="I1200" s="26">
        <v>15</v>
      </c>
      <c r="J1200" s="26">
        <v>180</v>
      </c>
      <c r="K1200" s="21" t="s">
        <v>52</v>
      </c>
      <c r="L1200" s="27">
        <v>2844</v>
      </c>
      <c r="M1200" s="21"/>
      <c r="N1200" s="21"/>
      <c r="O1200" s="21" t="s">
        <v>2271</v>
      </c>
      <c r="P1200" s="21" t="s">
        <v>54</v>
      </c>
      <c r="Q1200" s="28">
        <v>46098</v>
      </c>
      <c r="R1200" s="29">
        <v>46097.4854282407</v>
      </c>
      <c r="S1200" s="21" t="s">
        <v>77</v>
      </c>
      <c r="T1200" s="21"/>
      <c r="U1200" s="21" t="s">
        <v>74</v>
      </c>
      <c r="V1200" s="29">
        <v>46097.4853819444</v>
      </c>
      <c r="W1200">
        <f>VLOOKUP(H1200,物料編碼!A:B,2,0)</f>
        <v>1300609001</v>
      </c>
      <c r="X1200">
        <v>1300609</v>
      </c>
      <c r="Y1200" t="str">
        <f>VLOOKUP(X1200,物料編碼!D:G,4,0)</f>
        <v>去皮上腿肉</v>
      </c>
      <c r="Z1200" t="str">
        <f>VLOOKUP(C1200,客戶屬性1!A:C,2,0)</f>
        <v>恒辉贸易公司</v>
      </c>
      <c r="AA1200">
        <f>IF(COUNTIF($O$1:O1200,O1200)=1,L1200,0)</f>
        <v>2844</v>
      </c>
    </row>
    <row r="1201" customHeight="1" spans="1:27">
      <c r="A1201" s="21" t="s">
        <v>2272</v>
      </c>
      <c r="B1201" s="21" t="s">
        <v>45</v>
      </c>
      <c r="C1201" s="21" t="s">
        <v>383</v>
      </c>
      <c r="D1201" s="21" t="s">
        <v>384</v>
      </c>
      <c r="E1201" s="21" t="s">
        <v>385</v>
      </c>
      <c r="F1201" s="21" t="s">
        <v>49</v>
      </c>
      <c r="G1201" s="21" t="s">
        <v>50</v>
      </c>
      <c r="H1201" s="21" t="s">
        <v>63</v>
      </c>
      <c r="I1201" s="26">
        <v>1</v>
      </c>
      <c r="J1201" s="26">
        <v>25</v>
      </c>
      <c r="K1201" s="21" t="s">
        <v>52</v>
      </c>
      <c r="L1201" s="27">
        <v>835</v>
      </c>
      <c r="M1201" s="21"/>
      <c r="N1201" s="21"/>
      <c r="O1201" s="21" t="s">
        <v>2273</v>
      </c>
      <c r="P1201" s="21" t="s">
        <v>54</v>
      </c>
      <c r="Q1201" s="28">
        <v>46097</v>
      </c>
      <c r="R1201" s="29">
        <v>46097.4729050926</v>
      </c>
      <c r="S1201" s="21" t="s">
        <v>387</v>
      </c>
      <c r="T1201" s="21"/>
      <c r="U1201" s="21" t="s">
        <v>384</v>
      </c>
      <c r="V1201" s="29">
        <v>46097.4728472222</v>
      </c>
      <c r="W1201">
        <f>VLOOKUP(H1201,物料編碼!A:B,2,0)</f>
        <v>1300109002</v>
      </c>
      <c r="X1201">
        <v>1300109</v>
      </c>
      <c r="Y1201" t="str">
        <f>VLOOKUP(X1201,物料編碼!D:G,4,0)</f>
        <v>面精肉</v>
      </c>
      <c r="Z1201" t="str">
        <f>VLOOKUP(C1201,客戶屬性1!A:C,2,0)</f>
        <v>新协兴冻肉食品公司</v>
      </c>
      <c r="AA1201">
        <f>IF(COUNTIF($O$1:O1201,O1201)=1,L1201,0)</f>
        <v>835</v>
      </c>
    </row>
    <row r="1202" customHeight="1" spans="1:27">
      <c r="A1202" s="21" t="s">
        <v>2274</v>
      </c>
      <c r="B1202" s="21" t="s">
        <v>45</v>
      </c>
      <c r="C1202" s="21" t="s">
        <v>1460</v>
      </c>
      <c r="D1202" s="21" t="s">
        <v>1461</v>
      </c>
      <c r="E1202" s="21" t="s">
        <v>1462</v>
      </c>
      <c r="F1202" s="21" t="s">
        <v>49</v>
      </c>
      <c r="G1202" s="21" t="s">
        <v>541</v>
      </c>
      <c r="H1202" s="21" t="s">
        <v>63</v>
      </c>
      <c r="I1202" s="26">
        <v>2</v>
      </c>
      <c r="J1202" s="26">
        <v>50</v>
      </c>
      <c r="K1202" s="21" t="s">
        <v>52</v>
      </c>
      <c r="L1202" s="27">
        <v>1670</v>
      </c>
      <c r="M1202" s="21"/>
      <c r="N1202" s="21"/>
      <c r="O1202" s="21" t="s">
        <v>2275</v>
      </c>
      <c r="P1202" s="21" t="s">
        <v>54</v>
      </c>
      <c r="Q1202" s="28">
        <v>46097</v>
      </c>
      <c r="R1202" s="29">
        <v>46097.3451041667</v>
      </c>
      <c r="S1202" s="21" t="s">
        <v>1464</v>
      </c>
      <c r="T1202" s="21"/>
      <c r="U1202" s="21" t="s">
        <v>1461</v>
      </c>
      <c r="V1202" s="29">
        <v>46097.3450347222</v>
      </c>
      <c r="W1202">
        <f>VLOOKUP(H1202,物料編碼!A:B,2,0)</f>
        <v>1300109002</v>
      </c>
      <c r="X1202">
        <v>1300109</v>
      </c>
      <c r="Y1202" t="str">
        <f>VLOOKUP(X1202,物料編碼!D:G,4,0)</f>
        <v>面精肉</v>
      </c>
      <c r="Z1202" t="str">
        <f>VLOOKUP(C1202,客戶屬性1!A:C,2,0)</f>
        <v>新江公司</v>
      </c>
      <c r="AA1202">
        <f>IF(COUNTIF($O$1:O1202,O1202)=1,L1202,0)</f>
        <v>1670</v>
      </c>
    </row>
    <row r="1203" customHeight="1" spans="1:27">
      <c r="A1203" s="21" t="s">
        <v>2276</v>
      </c>
      <c r="B1203" s="21" t="s">
        <v>45</v>
      </c>
      <c r="C1203" s="21" t="s">
        <v>72</v>
      </c>
      <c r="D1203" s="21" t="s">
        <v>73</v>
      </c>
      <c r="E1203" s="21" t="s">
        <v>74</v>
      </c>
      <c r="F1203" s="21" t="s">
        <v>49</v>
      </c>
      <c r="G1203" s="21" t="s">
        <v>50</v>
      </c>
      <c r="H1203" s="21" t="s">
        <v>63</v>
      </c>
      <c r="I1203" s="26">
        <v>5</v>
      </c>
      <c r="J1203" s="26">
        <v>125</v>
      </c>
      <c r="K1203" s="21" t="s">
        <v>52</v>
      </c>
      <c r="L1203" s="27">
        <v>4075</v>
      </c>
      <c r="M1203" s="21"/>
      <c r="N1203" s="21"/>
      <c r="O1203" s="21" t="s">
        <v>2277</v>
      </c>
      <c r="P1203" s="21" t="s">
        <v>54</v>
      </c>
      <c r="Q1203" s="28">
        <v>46097</v>
      </c>
      <c r="R1203" s="29">
        <v>46095.494849537</v>
      </c>
      <c r="S1203" s="21" t="s">
        <v>81</v>
      </c>
      <c r="T1203" s="21"/>
      <c r="U1203" s="21" t="s">
        <v>82</v>
      </c>
      <c r="V1203" s="29">
        <v>46095.4947916667</v>
      </c>
      <c r="W1203">
        <f>VLOOKUP(H1203,物料編碼!A:B,2,0)</f>
        <v>1300109002</v>
      </c>
      <c r="X1203">
        <v>1300109</v>
      </c>
      <c r="Y1203" t="str">
        <f>VLOOKUP(X1203,物料編碼!D:G,4,0)</f>
        <v>面精肉</v>
      </c>
      <c r="Z1203" t="str">
        <f>VLOOKUP(C1203,客戶屬性1!A:C,2,0)</f>
        <v>恒辉贸易公司</v>
      </c>
      <c r="AA1203">
        <f>IF(COUNTIF($O$1:O1203,O1203)=1,L1203,0)</f>
        <v>4075</v>
      </c>
    </row>
    <row r="1204" customHeight="1" spans="1:27">
      <c r="A1204" s="21" t="s">
        <v>2278</v>
      </c>
      <c r="B1204" s="21" t="s">
        <v>45</v>
      </c>
      <c r="C1204" s="21" t="s">
        <v>72</v>
      </c>
      <c r="D1204" s="21" t="s">
        <v>73</v>
      </c>
      <c r="E1204" s="21" t="s">
        <v>74</v>
      </c>
      <c r="F1204" s="21" t="s">
        <v>49</v>
      </c>
      <c r="G1204" s="21" t="s">
        <v>50</v>
      </c>
      <c r="H1204" s="21" t="s">
        <v>190</v>
      </c>
      <c r="I1204" s="26">
        <v>10</v>
      </c>
      <c r="J1204" s="26">
        <v>120</v>
      </c>
      <c r="K1204" s="21" t="s">
        <v>52</v>
      </c>
      <c r="L1204" s="27">
        <v>1884</v>
      </c>
      <c r="M1204" s="21"/>
      <c r="N1204" s="21"/>
      <c r="O1204" s="21" t="s">
        <v>2279</v>
      </c>
      <c r="P1204" s="21" t="s">
        <v>54</v>
      </c>
      <c r="Q1204" s="28">
        <v>46097</v>
      </c>
      <c r="R1204" s="29">
        <v>46095.4641898148</v>
      </c>
      <c r="S1204" s="21" t="s">
        <v>77</v>
      </c>
      <c r="T1204" s="21"/>
      <c r="U1204" s="21" t="s">
        <v>74</v>
      </c>
      <c r="V1204" s="29">
        <v>46095.4641435185</v>
      </c>
      <c r="W1204">
        <f>VLOOKUP(H1204,物料編碼!A:B,2,0)</f>
        <v>1300609001</v>
      </c>
      <c r="X1204">
        <v>1300609</v>
      </c>
      <c r="Y1204" t="str">
        <f>VLOOKUP(X1204,物料編碼!D:G,4,0)</f>
        <v>去皮上腿肉</v>
      </c>
      <c r="Z1204" t="str">
        <f>VLOOKUP(C1204,客戶屬性1!A:C,2,0)</f>
        <v>恒辉贸易公司</v>
      </c>
      <c r="AA1204">
        <f>IF(COUNTIF($O$1:O1204,O1204)=1,L1204,0)</f>
        <v>1884</v>
      </c>
    </row>
    <row r="1205" customHeight="1" spans="1:27">
      <c r="A1205" s="21" t="s">
        <v>2280</v>
      </c>
      <c r="B1205" s="21" t="s">
        <v>45</v>
      </c>
      <c r="C1205" s="21" t="s">
        <v>97</v>
      </c>
      <c r="D1205" s="21" t="s">
        <v>98</v>
      </c>
      <c r="E1205" s="21" t="s">
        <v>99</v>
      </c>
      <c r="F1205" s="21" t="s">
        <v>49</v>
      </c>
      <c r="G1205" s="21" t="s">
        <v>100</v>
      </c>
      <c r="H1205" s="21" t="s">
        <v>63</v>
      </c>
      <c r="I1205" s="26">
        <v>1</v>
      </c>
      <c r="J1205" s="26">
        <v>25</v>
      </c>
      <c r="K1205" s="21" t="s">
        <v>52</v>
      </c>
      <c r="L1205" s="27">
        <v>815</v>
      </c>
      <c r="M1205" s="21"/>
      <c r="N1205" s="21"/>
      <c r="O1205" s="21" t="s">
        <v>2281</v>
      </c>
      <c r="P1205" s="21" t="s">
        <v>54</v>
      </c>
      <c r="Q1205" s="28">
        <v>46097</v>
      </c>
      <c r="R1205" s="29">
        <v>46095.4624421296</v>
      </c>
      <c r="S1205" s="21" t="s">
        <v>1000</v>
      </c>
      <c r="T1205" s="21"/>
      <c r="U1205" s="21" t="s">
        <v>1001</v>
      </c>
      <c r="V1205" s="29">
        <v>46095.4623842593</v>
      </c>
      <c r="W1205">
        <f>VLOOKUP(H1205,物料編碼!A:B,2,0)</f>
        <v>1300109002</v>
      </c>
      <c r="X1205">
        <v>1300109</v>
      </c>
      <c r="Y1205" t="str">
        <f>VLOOKUP(X1205,物料編碼!D:G,4,0)</f>
        <v>面精肉</v>
      </c>
      <c r="Z1205" t="str">
        <f>VLOOKUP(C1205,客戶屬性1!A:C,2,0)</f>
        <v>三明有限公司</v>
      </c>
      <c r="AA1205">
        <f>IF(COUNTIF($O$1:O1205,O1205)=1,L1205,0)</f>
        <v>815</v>
      </c>
    </row>
    <row r="1206" customHeight="1" spans="1:27">
      <c r="A1206" s="21" t="s">
        <v>2282</v>
      </c>
      <c r="B1206" s="21" t="s">
        <v>45</v>
      </c>
      <c r="C1206" s="21" t="s">
        <v>97</v>
      </c>
      <c r="D1206" s="21" t="s">
        <v>98</v>
      </c>
      <c r="E1206" s="21" t="s">
        <v>99</v>
      </c>
      <c r="F1206" s="21" t="s">
        <v>49</v>
      </c>
      <c r="G1206" s="21" t="s">
        <v>100</v>
      </c>
      <c r="H1206" s="21" t="s">
        <v>63</v>
      </c>
      <c r="I1206" s="26">
        <v>1</v>
      </c>
      <c r="J1206" s="26">
        <v>25</v>
      </c>
      <c r="K1206" s="21" t="s">
        <v>52</v>
      </c>
      <c r="L1206" s="27">
        <v>815</v>
      </c>
      <c r="M1206" s="21"/>
      <c r="N1206" s="21"/>
      <c r="O1206" s="21" t="s">
        <v>2283</v>
      </c>
      <c r="P1206" s="21" t="s">
        <v>54</v>
      </c>
      <c r="Q1206" s="28">
        <v>46097</v>
      </c>
      <c r="R1206" s="29">
        <v>46095.4425810185</v>
      </c>
      <c r="S1206" s="21" t="s">
        <v>1000</v>
      </c>
      <c r="T1206" s="21"/>
      <c r="U1206" s="21" t="s">
        <v>1001</v>
      </c>
      <c r="V1206" s="29">
        <v>46095.4425231482</v>
      </c>
      <c r="W1206">
        <f>VLOOKUP(H1206,物料編碼!A:B,2,0)</f>
        <v>1300109002</v>
      </c>
      <c r="X1206">
        <v>1300109</v>
      </c>
      <c r="Y1206" t="str">
        <f>VLOOKUP(X1206,物料編碼!D:G,4,0)</f>
        <v>面精肉</v>
      </c>
      <c r="Z1206" t="str">
        <f>VLOOKUP(C1206,客戶屬性1!A:C,2,0)</f>
        <v>三明有限公司</v>
      </c>
      <c r="AA1206">
        <f>IF(COUNTIF($O$1:O1206,O1206)=1,L1206,0)</f>
        <v>815</v>
      </c>
    </row>
    <row r="1207" customHeight="1" spans="1:27">
      <c r="A1207" s="21" t="s">
        <v>2284</v>
      </c>
      <c r="B1207" s="21" t="s">
        <v>45</v>
      </c>
      <c r="C1207" s="21" t="s">
        <v>114</v>
      </c>
      <c r="D1207" s="21" t="s">
        <v>115</v>
      </c>
      <c r="E1207" s="21" t="s">
        <v>116</v>
      </c>
      <c r="F1207" s="21" t="s">
        <v>49</v>
      </c>
      <c r="G1207" s="21" t="s">
        <v>100</v>
      </c>
      <c r="H1207" s="21" t="s">
        <v>63</v>
      </c>
      <c r="I1207" s="26">
        <v>11</v>
      </c>
      <c r="J1207" s="26">
        <v>275</v>
      </c>
      <c r="K1207" s="21" t="s">
        <v>52</v>
      </c>
      <c r="L1207" s="27">
        <v>8965</v>
      </c>
      <c r="M1207" s="21"/>
      <c r="N1207" s="21"/>
      <c r="O1207" s="21" t="s">
        <v>2285</v>
      </c>
      <c r="P1207" s="21" t="s">
        <v>54</v>
      </c>
      <c r="Q1207" s="28">
        <v>46097</v>
      </c>
      <c r="R1207" s="29">
        <v>46095.4117592593</v>
      </c>
      <c r="S1207" s="21" t="s">
        <v>119</v>
      </c>
      <c r="T1207" s="21"/>
      <c r="U1207" s="21" t="s">
        <v>115</v>
      </c>
      <c r="V1207" s="29">
        <v>46095.411712963</v>
      </c>
      <c r="W1207">
        <f>VLOOKUP(H1207,物料編碼!A:B,2,0)</f>
        <v>1300109002</v>
      </c>
      <c r="X1207">
        <v>1300109</v>
      </c>
      <c r="Y1207" t="str">
        <f>VLOOKUP(X1207,物料編碼!D:G,4,0)</f>
        <v>面精肉</v>
      </c>
      <c r="Z1207" t="str">
        <f>VLOOKUP(C1207,客戶屬性1!A:C,2,0)</f>
        <v>骏利贸易公司</v>
      </c>
      <c r="AA1207">
        <f>IF(COUNTIF($O$1:O1207,O1207)=1,L1207,0)</f>
        <v>8965</v>
      </c>
    </row>
    <row r="1208" customHeight="1" spans="1:27">
      <c r="A1208" s="21" t="s">
        <v>2286</v>
      </c>
      <c r="B1208" s="21" t="s">
        <v>45</v>
      </c>
      <c r="C1208" s="21" t="s">
        <v>383</v>
      </c>
      <c r="D1208" s="21" t="s">
        <v>384</v>
      </c>
      <c r="E1208" s="21" t="s">
        <v>385</v>
      </c>
      <c r="F1208" s="21" t="s">
        <v>49</v>
      </c>
      <c r="G1208" s="21" t="s">
        <v>50</v>
      </c>
      <c r="H1208" s="21" t="s">
        <v>137</v>
      </c>
      <c r="I1208" s="26">
        <v>1</v>
      </c>
      <c r="J1208" s="26">
        <v>18</v>
      </c>
      <c r="K1208" s="21" t="s">
        <v>52</v>
      </c>
      <c r="L1208" s="27">
        <v>1440</v>
      </c>
      <c r="M1208" s="21"/>
      <c r="N1208" s="21"/>
      <c r="O1208" s="21" t="s">
        <v>2287</v>
      </c>
      <c r="P1208" s="21" t="s">
        <v>54</v>
      </c>
      <c r="Q1208" s="28">
        <v>46095</v>
      </c>
      <c r="R1208" s="29">
        <v>46095.4089467593</v>
      </c>
      <c r="S1208" s="21" t="s">
        <v>387</v>
      </c>
      <c r="T1208" s="21"/>
      <c r="U1208" s="21" t="s">
        <v>384</v>
      </c>
      <c r="V1208" s="29">
        <v>46095.408900463</v>
      </c>
      <c r="W1208">
        <f>VLOOKUP(H1208,物料編碼!A:B,2,0)</f>
        <v>1300503009</v>
      </c>
      <c r="X1208">
        <v>1300503</v>
      </c>
      <c r="Y1208" t="str">
        <f>VLOOKUP(X1208,物料編碼!D:G,4,0)</f>
        <v>羊肩卷肉</v>
      </c>
      <c r="Z1208" t="str">
        <f>VLOOKUP(C1208,客戶屬性1!A:C,2,0)</f>
        <v>新协兴冻肉食品公司</v>
      </c>
      <c r="AA1208">
        <f>IF(COUNTIF($O$1:O1208,O1208)=1,L1208,0)</f>
        <v>1440</v>
      </c>
    </row>
    <row r="1209" customHeight="1" spans="1:27">
      <c r="A1209" s="21" t="s">
        <v>2288</v>
      </c>
      <c r="B1209" s="21" t="s">
        <v>45</v>
      </c>
      <c r="C1209" s="21" t="s">
        <v>114</v>
      </c>
      <c r="D1209" s="21" t="s">
        <v>115</v>
      </c>
      <c r="E1209" s="21" t="s">
        <v>116</v>
      </c>
      <c r="F1209" s="21" t="s">
        <v>49</v>
      </c>
      <c r="G1209" s="21" t="s">
        <v>100</v>
      </c>
      <c r="H1209" s="21" t="s">
        <v>117</v>
      </c>
      <c r="I1209" s="26">
        <v>1</v>
      </c>
      <c r="J1209" s="26">
        <v>15</v>
      </c>
      <c r="K1209" s="21" t="s">
        <v>52</v>
      </c>
      <c r="L1209" s="27">
        <v>221.7</v>
      </c>
      <c r="M1209" s="21"/>
      <c r="N1209" s="21"/>
      <c r="O1209" s="21" t="s">
        <v>2289</v>
      </c>
      <c r="P1209" s="21" t="s">
        <v>54</v>
      </c>
      <c r="Q1209" s="28">
        <v>46097</v>
      </c>
      <c r="R1209" s="29">
        <v>46094.6572569444</v>
      </c>
      <c r="S1209" s="21" t="s">
        <v>119</v>
      </c>
      <c r="T1209" s="21"/>
      <c r="U1209" s="21" t="s">
        <v>115</v>
      </c>
      <c r="V1209" s="29">
        <v>46094.6572106481</v>
      </c>
      <c r="W1209">
        <f>VLOOKUP(H1209,物料編碼!A:B,2,0)</f>
        <v>1300607015</v>
      </c>
      <c r="X1209">
        <v>1300607</v>
      </c>
      <c r="Y1209" t="str">
        <f>VLOOKUP(X1209,物料編碼!D:G,4,0)</f>
        <v>帶皮腿扒</v>
      </c>
      <c r="Z1209" t="str">
        <f>VLOOKUP(C1209,客戶屬性1!A:C,2,0)</f>
        <v>骏利贸易公司</v>
      </c>
      <c r="AA1209">
        <f>IF(COUNTIF($O$1:O1209,O1209)=1,L1209,0)</f>
        <v>221.7</v>
      </c>
    </row>
    <row r="1210" customHeight="1" spans="1:27">
      <c r="A1210" s="21" t="s">
        <v>2290</v>
      </c>
      <c r="B1210" s="21" t="s">
        <v>45</v>
      </c>
      <c r="C1210" s="21" t="s">
        <v>1072</v>
      </c>
      <c r="D1210" s="21" t="s">
        <v>1073</v>
      </c>
      <c r="E1210" s="21" t="s">
        <v>1074</v>
      </c>
      <c r="F1210" s="21" t="s">
        <v>49</v>
      </c>
      <c r="G1210" s="21" t="s">
        <v>238</v>
      </c>
      <c r="H1210" s="21" t="s">
        <v>190</v>
      </c>
      <c r="I1210" s="26">
        <v>20</v>
      </c>
      <c r="J1210" s="26">
        <v>240</v>
      </c>
      <c r="K1210" s="21" t="s">
        <v>52</v>
      </c>
      <c r="L1210" s="27">
        <v>3768</v>
      </c>
      <c r="M1210" s="21"/>
      <c r="N1210" s="21"/>
      <c r="O1210" s="21" t="s">
        <v>2291</v>
      </c>
      <c r="P1210" s="21" t="s">
        <v>54</v>
      </c>
      <c r="Q1210" s="28">
        <v>46095</v>
      </c>
      <c r="R1210" s="29">
        <v>46094.6439583333</v>
      </c>
      <c r="S1210" s="21" t="s">
        <v>1076</v>
      </c>
      <c r="T1210" s="21"/>
      <c r="U1210" s="21" t="s">
        <v>1077</v>
      </c>
      <c r="V1210" s="29">
        <v>46094.643912037</v>
      </c>
      <c r="W1210">
        <f>VLOOKUP(H1210,物料編碼!A:B,2,0)</f>
        <v>1300609001</v>
      </c>
      <c r="X1210">
        <v>1300609</v>
      </c>
      <c r="Y1210" t="str">
        <f>VLOOKUP(X1210,物料編碼!D:G,4,0)</f>
        <v>去皮上腿肉</v>
      </c>
      <c r="Z1210" t="str">
        <f>VLOOKUP(C1210,客戶屬性1!A:C,2,0)</f>
        <v>昭楠贸易有限公司</v>
      </c>
      <c r="AA1210">
        <f>IF(COUNTIF($O$1:O1210,O1210)=1,L1210,0)</f>
        <v>3768</v>
      </c>
    </row>
    <row r="1211" customHeight="1" spans="1:27">
      <c r="A1211" s="21" t="s">
        <v>2292</v>
      </c>
      <c r="B1211" s="21" t="s">
        <v>45</v>
      </c>
      <c r="C1211" s="21" t="s">
        <v>216</v>
      </c>
      <c r="D1211" s="21" t="s">
        <v>217</v>
      </c>
      <c r="E1211" s="21" t="s">
        <v>218</v>
      </c>
      <c r="F1211" s="21" t="s">
        <v>49</v>
      </c>
      <c r="G1211" s="21" t="s">
        <v>68</v>
      </c>
      <c r="H1211" s="21" t="s">
        <v>63</v>
      </c>
      <c r="I1211" s="26">
        <v>1</v>
      </c>
      <c r="J1211" s="26">
        <v>25</v>
      </c>
      <c r="K1211" s="21" t="s">
        <v>52</v>
      </c>
      <c r="L1211" s="27">
        <v>815</v>
      </c>
      <c r="M1211" s="21"/>
      <c r="N1211" s="21"/>
      <c r="O1211" s="21" t="s">
        <v>2293</v>
      </c>
      <c r="P1211" s="21" t="s">
        <v>54</v>
      </c>
      <c r="Q1211" s="28">
        <v>46097</v>
      </c>
      <c r="R1211" s="29">
        <v>46094.6253703704</v>
      </c>
      <c r="S1211" s="21" t="s">
        <v>221</v>
      </c>
      <c r="T1211" s="21"/>
      <c r="U1211" s="21" t="s">
        <v>222</v>
      </c>
      <c r="V1211" s="29">
        <v>46094.6253240741</v>
      </c>
      <c r="W1211">
        <f>VLOOKUP(H1211,物料編碼!A:B,2,0)</f>
        <v>1300109002</v>
      </c>
      <c r="X1211">
        <v>1300109</v>
      </c>
      <c r="Y1211" t="str">
        <f>VLOOKUP(X1211,物料編碼!D:G,4,0)</f>
        <v>面精肉</v>
      </c>
      <c r="Z1211" t="str">
        <f>VLOOKUP(C1211,客戶屬性1!A:C,2,0)</f>
        <v>天恒食品有限公司</v>
      </c>
      <c r="AA1211">
        <f>IF(COUNTIF($O$1:O1211,O1211)=1,L1211,0)</f>
        <v>815</v>
      </c>
    </row>
    <row r="1212" customHeight="1" spans="1:27">
      <c r="A1212" s="21" t="s">
        <v>2294</v>
      </c>
      <c r="B1212" s="21" t="s">
        <v>45</v>
      </c>
      <c r="C1212" s="21" t="s">
        <v>97</v>
      </c>
      <c r="D1212" s="21" t="s">
        <v>98</v>
      </c>
      <c r="E1212" s="21" t="s">
        <v>99</v>
      </c>
      <c r="F1212" s="21" t="s">
        <v>49</v>
      </c>
      <c r="G1212" s="21" t="s">
        <v>100</v>
      </c>
      <c r="H1212" s="21" t="s">
        <v>63</v>
      </c>
      <c r="I1212" s="26">
        <v>1</v>
      </c>
      <c r="J1212" s="26">
        <v>25</v>
      </c>
      <c r="K1212" s="21" t="s">
        <v>52</v>
      </c>
      <c r="L1212" s="27">
        <v>815</v>
      </c>
      <c r="M1212" s="21"/>
      <c r="N1212" s="21"/>
      <c r="O1212" s="21" t="s">
        <v>2295</v>
      </c>
      <c r="P1212" s="21" t="s">
        <v>54</v>
      </c>
      <c r="Q1212" s="28">
        <v>46095</v>
      </c>
      <c r="R1212" s="29">
        <v>46094.4817592593</v>
      </c>
      <c r="S1212" s="21" t="s">
        <v>1000</v>
      </c>
      <c r="T1212" s="21"/>
      <c r="U1212" s="21" t="s">
        <v>1001</v>
      </c>
      <c r="V1212" s="29">
        <v>46094.4816898148</v>
      </c>
      <c r="W1212">
        <f>VLOOKUP(H1212,物料編碼!A:B,2,0)</f>
        <v>1300109002</v>
      </c>
      <c r="X1212">
        <v>1300109</v>
      </c>
      <c r="Y1212" t="str">
        <f>VLOOKUP(X1212,物料編碼!D:G,4,0)</f>
        <v>面精肉</v>
      </c>
      <c r="Z1212" t="str">
        <f>VLOOKUP(C1212,客戶屬性1!A:C,2,0)</f>
        <v>三明有限公司</v>
      </c>
      <c r="AA1212">
        <f>IF(COUNTIF($O$1:O1212,O1212)=1,L1212,0)</f>
        <v>815</v>
      </c>
    </row>
    <row r="1213" customHeight="1" spans="1:27">
      <c r="A1213" s="21" t="s">
        <v>2296</v>
      </c>
      <c r="B1213" s="21" t="s">
        <v>45</v>
      </c>
      <c r="C1213" s="21" t="s">
        <v>1460</v>
      </c>
      <c r="D1213" s="21" t="s">
        <v>1461</v>
      </c>
      <c r="E1213" s="21" t="s">
        <v>1462</v>
      </c>
      <c r="F1213" s="21" t="s">
        <v>49</v>
      </c>
      <c r="G1213" s="21" t="s">
        <v>541</v>
      </c>
      <c r="H1213" s="21" t="s">
        <v>63</v>
      </c>
      <c r="I1213" s="26">
        <v>3</v>
      </c>
      <c r="J1213" s="26">
        <v>75</v>
      </c>
      <c r="K1213" s="21" t="s">
        <v>52</v>
      </c>
      <c r="L1213" s="27">
        <v>2445</v>
      </c>
      <c r="M1213" s="21"/>
      <c r="N1213" s="21"/>
      <c r="O1213" s="21" t="s">
        <v>2297</v>
      </c>
      <c r="P1213" s="21" t="s">
        <v>54</v>
      </c>
      <c r="Q1213" s="28">
        <v>46094</v>
      </c>
      <c r="R1213" s="29">
        <v>46093.7265856481</v>
      </c>
      <c r="S1213" s="21" t="s">
        <v>1464</v>
      </c>
      <c r="T1213" s="21"/>
      <c r="U1213" s="21" t="s">
        <v>1461</v>
      </c>
      <c r="V1213" s="29">
        <v>46093.7265277778</v>
      </c>
      <c r="W1213">
        <f>VLOOKUP(H1213,物料編碼!A:B,2,0)</f>
        <v>1300109002</v>
      </c>
      <c r="X1213">
        <v>1300109</v>
      </c>
      <c r="Y1213" t="str">
        <f>VLOOKUP(X1213,物料編碼!D:G,4,0)</f>
        <v>面精肉</v>
      </c>
      <c r="Z1213" t="str">
        <f>VLOOKUP(C1213,客戶屬性1!A:C,2,0)</f>
        <v>新江公司</v>
      </c>
      <c r="AA1213">
        <f>IF(COUNTIF($O$1:O1213,O1213)=1,L1213,0)</f>
        <v>2445</v>
      </c>
    </row>
    <row r="1214" customHeight="1" spans="1:27">
      <c r="A1214" s="21" t="s">
        <v>2298</v>
      </c>
      <c r="B1214" s="21" t="s">
        <v>45</v>
      </c>
      <c r="C1214" s="21" t="s">
        <v>1583</v>
      </c>
      <c r="D1214" s="21" t="s">
        <v>1584</v>
      </c>
      <c r="E1214" s="21" t="s">
        <v>1585</v>
      </c>
      <c r="F1214" s="21" t="s">
        <v>49</v>
      </c>
      <c r="G1214" s="21" t="s">
        <v>68</v>
      </c>
      <c r="H1214" s="21" t="s">
        <v>60</v>
      </c>
      <c r="I1214" s="26">
        <v>10</v>
      </c>
      <c r="J1214" s="26">
        <v>250</v>
      </c>
      <c r="K1214" s="21" t="s">
        <v>52</v>
      </c>
      <c r="L1214" s="27">
        <v>9200</v>
      </c>
      <c r="M1214" s="21"/>
      <c r="N1214" s="21"/>
      <c r="O1214" s="21" t="s">
        <v>2299</v>
      </c>
      <c r="P1214" s="21" t="s">
        <v>54</v>
      </c>
      <c r="Q1214" s="28">
        <v>46097</v>
      </c>
      <c r="R1214" s="29">
        <v>46092.6844097222</v>
      </c>
      <c r="S1214" s="21" t="s">
        <v>1587</v>
      </c>
      <c r="T1214" s="21"/>
      <c r="U1214" s="21" t="s">
        <v>1588</v>
      </c>
      <c r="V1214" s="29">
        <v>46092.6843634259</v>
      </c>
      <c r="W1214">
        <f>VLOOKUP(H1214,物料編碼!A:B,2,0)</f>
        <v>1300101043</v>
      </c>
      <c r="X1214">
        <v>1300101</v>
      </c>
      <c r="Y1214" t="str">
        <f>VLOOKUP(X1214,物料編碼!D:G,4,0)</f>
        <v>一號肉</v>
      </c>
      <c r="Z1214" t="str">
        <f>VLOOKUP(C1214,客戶屬性1!A:C,2,0)</f>
        <v>新田食品贸易有限公司</v>
      </c>
      <c r="AA1214">
        <f>IF(COUNTIF($O$1:O1214,O1214)=1,L1214,0)</f>
        <v>9200</v>
      </c>
    </row>
    <row r="1215" customHeight="1" spans="1:27">
      <c r="A1215" s="21" t="s">
        <v>2300</v>
      </c>
      <c r="B1215" s="21" t="s">
        <v>45</v>
      </c>
      <c r="C1215" s="21" t="s">
        <v>2301</v>
      </c>
      <c r="D1215" s="21" t="s">
        <v>2302</v>
      </c>
      <c r="E1215" s="21" t="s">
        <v>2303</v>
      </c>
      <c r="F1215" s="21" t="s">
        <v>49</v>
      </c>
      <c r="G1215" s="21" t="s">
        <v>89</v>
      </c>
      <c r="H1215" s="21" t="s">
        <v>60</v>
      </c>
      <c r="I1215" s="26">
        <v>2</v>
      </c>
      <c r="J1215" s="26">
        <v>50</v>
      </c>
      <c r="K1215" s="21" t="s">
        <v>52</v>
      </c>
      <c r="L1215" s="27">
        <v>1840</v>
      </c>
      <c r="M1215" s="21"/>
      <c r="N1215" s="21"/>
      <c r="O1215" s="21" t="s">
        <v>2304</v>
      </c>
      <c r="P1215" s="21" t="s">
        <v>183</v>
      </c>
      <c r="Q1215" s="28">
        <v>46093</v>
      </c>
      <c r="R1215" s="29">
        <v>46092.4552893518</v>
      </c>
      <c r="S1215" s="21" t="s">
        <v>2305</v>
      </c>
      <c r="T1215" s="21"/>
      <c r="U1215" s="21" t="s">
        <v>2302</v>
      </c>
      <c r="V1215" s="29">
        <v>46092.4552546296</v>
      </c>
      <c r="W1215">
        <f>VLOOKUP(H1215,物料編碼!A:B,2,0)</f>
        <v>1300101043</v>
      </c>
      <c r="X1215">
        <v>1300101</v>
      </c>
      <c r="Y1215" t="str">
        <f>VLOOKUP(X1215,物料編碼!D:G,4,0)</f>
        <v>一號肉</v>
      </c>
      <c r="Z1215" t="str">
        <f>VLOOKUP(C1215,客戶屬性1!A:C,2,0)</f>
        <v>文兴食品有限公司</v>
      </c>
      <c r="AA1215">
        <f>IF(COUNTIF($O$1:O1215,O1215)=1,L1215,0)</f>
        <v>1840</v>
      </c>
    </row>
    <row r="1216" customHeight="1" spans="1:27">
      <c r="A1216" s="21" t="s">
        <v>2306</v>
      </c>
      <c r="B1216" s="21" t="s">
        <v>45</v>
      </c>
      <c r="C1216" s="21" t="s">
        <v>1583</v>
      </c>
      <c r="D1216" s="21" t="s">
        <v>1584</v>
      </c>
      <c r="E1216" s="21" t="s">
        <v>1585</v>
      </c>
      <c r="F1216" s="21" t="s">
        <v>49</v>
      </c>
      <c r="G1216" s="21" t="s">
        <v>68</v>
      </c>
      <c r="H1216" s="21" t="s">
        <v>60</v>
      </c>
      <c r="I1216" s="26">
        <v>8</v>
      </c>
      <c r="J1216" s="26">
        <v>200</v>
      </c>
      <c r="K1216" s="21" t="s">
        <v>52</v>
      </c>
      <c r="L1216" s="27">
        <v>7360</v>
      </c>
      <c r="M1216" s="21"/>
      <c r="N1216" s="21"/>
      <c r="O1216" s="21" t="s">
        <v>2307</v>
      </c>
      <c r="P1216" s="21" t="s">
        <v>54</v>
      </c>
      <c r="Q1216" s="28">
        <v>46094</v>
      </c>
      <c r="R1216" s="29">
        <v>46092.4547569444</v>
      </c>
      <c r="S1216" s="21" t="s">
        <v>1587</v>
      </c>
      <c r="T1216" s="21"/>
      <c r="U1216" s="21" t="s">
        <v>1588</v>
      </c>
      <c r="V1216" s="29">
        <v>46092.4547106481</v>
      </c>
      <c r="W1216">
        <f>VLOOKUP(H1216,物料編碼!A:B,2,0)</f>
        <v>1300101043</v>
      </c>
      <c r="X1216">
        <v>1300101</v>
      </c>
      <c r="Y1216" t="str">
        <f>VLOOKUP(X1216,物料編碼!D:G,4,0)</f>
        <v>一號肉</v>
      </c>
      <c r="Z1216" t="str">
        <f>VLOOKUP(C1216,客戶屬性1!A:C,2,0)</f>
        <v>新田食品贸易有限公司</v>
      </c>
      <c r="AA1216">
        <f>IF(COUNTIF($O$1:O1216,O1216)=1,L1216,0)</f>
        <v>7360</v>
      </c>
    </row>
    <row r="1217" customHeight="1" spans="1:27">
      <c r="A1217" s="21" t="s">
        <v>2308</v>
      </c>
      <c r="B1217" s="21" t="s">
        <v>45</v>
      </c>
      <c r="C1217" s="21" t="s">
        <v>383</v>
      </c>
      <c r="D1217" s="21" t="s">
        <v>384</v>
      </c>
      <c r="E1217" s="21" t="s">
        <v>385</v>
      </c>
      <c r="F1217" s="21" t="s">
        <v>49</v>
      </c>
      <c r="G1217" s="21" t="s">
        <v>50</v>
      </c>
      <c r="H1217" s="21" t="s">
        <v>63</v>
      </c>
      <c r="I1217" s="26">
        <v>1</v>
      </c>
      <c r="J1217" s="26">
        <v>25</v>
      </c>
      <c r="K1217" s="21" t="s">
        <v>52</v>
      </c>
      <c r="L1217" s="27">
        <v>815</v>
      </c>
      <c r="M1217" s="21"/>
      <c r="N1217" s="21"/>
      <c r="O1217" s="21" t="s">
        <v>2309</v>
      </c>
      <c r="P1217" s="21" t="s">
        <v>54</v>
      </c>
      <c r="Q1217" s="28">
        <v>46092</v>
      </c>
      <c r="R1217" s="29">
        <v>46092.4230324074</v>
      </c>
      <c r="S1217" s="21" t="s">
        <v>387</v>
      </c>
      <c r="T1217" s="21"/>
      <c r="U1217" s="21" t="s">
        <v>384</v>
      </c>
      <c r="V1217" s="29">
        <v>46092.4229861111</v>
      </c>
      <c r="W1217">
        <f>VLOOKUP(H1217,物料編碼!A:B,2,0)</f>
        <v>1300109002</v>
      </c>
      <c r="X1217">
        <v>1300109</v>
      </c>
      <c r="Y1217" t="str">
        <f>VLOOKUP(X1217,物料編碼!D:G,4,0)</f>
        <v>面精肉</v>
      </c>
      <c r="Z1217" t="str">
        <f>VLOOKUP(C1217,客戶屬性1!A:C,2,0)</f>
        <v>新协兴冻肉食品公司</v>
      </c>
      <c r="AA1217">
        <f>IF(COUNTIF($O$1:O1217,O1217)=1,L1217,0)</f>
        <v>815</v>
      </c>
    </row>
    <row r="1218" customHeight="1" spans="1:27">
      <c r="A1218" s="21" t="s">
        <v>2310</v>
      </c>
      <c r="B1218" s="21" t="s">
        <v>45</v>
      </c>
      <c r="C1218" s="21" t="s">
        <v>97</v>
      </c>
      <c r="D1218" s="21" t="s">
        <v>98</v>
      </c>
      <c r="E1218" s="21" t="s">
        <v>99</v>
      </c>
      <c r="F1218" s="21" t="s">
        <v>49</v>
      </c>
      <c r="G1218" s="21" t="s">
        <v>100</v>
      </c>
      <c r="H1218" s="21" t="s">
        <v>63</v>
      </c>
      <c r="I1218" s="26">
        <v>2</v>
      </c>
      <c r="J1218" s="26">
        <v>50</v>
      </c>
      <c r="K1218" s="21" t="s">
        <v>52</v>
      </c>
      <c r="L1218" s="27">
        <v>1630</v>
      </c>
      <c r="M1218" s="21"/>
      <c r="N1218" s="21"/>
      <c r="O1218" s="21" t="s">
        <v>2311</v>
      </c>
      <c r="P1218" s="21" t="s">
        <v>54</v>
      </c>
      <c r="Q1218" s="28">
        <v>46092</v>
      </c>
      <c r="R1218" s="29">
        <v>46091.4849537037</v>
      </c>
      <c r="S1218" s="21" t="s">
        <v>1000</v>
      </c>
      <c r="T1218" s="21"/>
      <c r="U1218" s="21" t="s">
        <v>1001</v>
      </c>
      <c r="V1218" s="29">
        <v>46091.4849074074</v>
      </c>
      <c r="W1218">
        <f>VLOOKUP(H1218,物料編碼!A:B,2,0)</f>
        <v>1300109002</v>
      </c>
      <c r="X1218">
        <v>1300109</v>
      </c>
      <c r="Y1218" t="str">
        <f>VLOOKUP(X1218,物料編碼!D:G,4,0)</f>
        <v>面精肉</v>
      </c>
      <c r="Z1218" t="str">
        <f>VLOOKUP(C1218,客戶屬性1!A:C,2,0)</f>
        <v>三明有限公司</v>
      </c>
      <c r="AA1218">
        <f>IF(COUNTIF($O$1:O1218,O1218)=1,L1218,0)</f>
        <v>1630</v>
      </c>
    </row>
    <row r="1219" customHeight="1" spans="1:27">
      <c r="A1219" s="21" t="s">
        <v>2312</v>
      </c>
      <c r="B1219" s="21" t="s">
        <v>45</v>
      </c>
      <c r="C1219" s="21" t="s">
        <v>1583</v>
      </c>
      <c r="D1219" s="21" t="s">
        <v>1584</v>
      </c>
      <c r="E1219" s="21" t="s">
        <v>1585</v>
      </c>
      <c r="F1219" s="21" t="s">
        <v>49</v>
      </c>
      <c r="G1219" s="21" t="s">
        <v>68</v>
      </c>
      <c r="H1219" s="21" t="s">
        <v>60</v>
      </c>
      <c r="I1219" s="26">
        <v>10</v>
      </c>
      <c r="J1219" s="26">
        <v>250</v>
      </c>
      <c r="K1219" s="21" t="s">
        <v>52</v>
      </c>
      <c r="L1219" s="27">
        <v>9200</v>
      </c>
      <c r="M1219" s="21"/>
      <c r="N1219" s="21"/>
      <c r="O1219" s="21" t="s">
        <v>2313</v>
      </c>
      <c r="P1219" s="21" t="s">
        <v>54</v>
      </c>
      <c r="Q1219" s="28">
        <v>46092</v>
      </c>
      <c r="R1219" s="29">
        <v>46091.4686805556</v>
      </c>
      <c r="S1219" s="21" t="s">
        <v>1587</v>
      </c>
      <c r="T1219" s="21"/>
      <c r="U1219" s="21" t="s">
        <v>1588</v>
      </c>
      <c r="V1219" s="29">
        <v>46091.4686342593</v>
      </c>
      <c r="W1219">
        <f>VLOOKUP(H1219,物料編碼!A:B,2,0)</f>
        <v>1300101043</v>
      </c>
      <c r="X1219">
        <v>1300101</v>
      </c>
      <c r="Y1219" t="str">
        <f>VLOOKUP(X1219,物料編碼!D:G,4,0)</f>
        <v>一號肉</v>
      </c>
      <c r="Z1219" t="str">
        <f>VLOOKUP(C1219,客戶屬性1!A:C,2,0)</f>
        <v>新田食品贸易有限公司</v>
      </c>
      <c r="AA1219">
        <f>IF(COUNTIF($O$1:O1219,O1219)=1,L1219,0)</f>
        <v>9200</v>
      </c>
    </row>
    <row r="1220" customHeight="1" spans="1:27">
      <c r="A1220" s="21" t="s">
        <v>2314</v>
      </c>
      <c r="B1220" s="21" t="s">
        <v>45</v>
      </c>
      <c r="C1220" s="21" t="s">
        <v>1583</v>
      </c>
      <c r="D1220" s="21" t="s">
        <v>1584</v>
      </c>
      <c r="E1220" s="21" t="s">
        <v>1585</v>
      </c>
      <c r="F1220" s="21" t="s">
        <v>49</v>
      </c>
      <c r="G1220" s="21" t="s">
        <v>68</v>
      </c>
      <c r="H1220" s="21" t="s">
        <v>60</v>
      </c>
      <c r="I1220" s="26">
        <v>10</v>
      </c>
      <c r="J1220" s="26">
        <v>250</v>
      </c>
      <c r="K1220" s="21" t="s">
        <v>52</v>
      </c>
      <c r="L1220" s="27">
        <v>9200</v>
      </c>
      <c r="M1220" s="21"/>
      <c r="N1220" s="21"/>
      <c r="O1220" s="21" t="s">
        <v>2315</v>
      </c>
      <c r="P1220" s="21" t="s">
        <v>183</v>
      </c>
      <c r="Q1220" s="28">
        <v>46092</v>
      </c>
      <c r="R1220" s="29">
        <v>46091.4531134259</v>
      </c>
      <c r="S1220" s="21" t="s">
        <v>1587</v>
      </c>
      <c r="T1220" s="21"/>
      <c r="U1220" s="21" t="s">
        <v>1588</v>
      </c>
      <c r="V1220" s="29">
        <v>46091.4530555556</v>
      </c>
      <c r="W1220">
        <f>VLOOKUP(H1220,物料編碼!A:B,2,0)</f>
        <v>1300101043</v>
      </c>
      <c r="X1220">
        <v>1300101</v>
      </c>
      <c r="Y1220" t="str">
        <f>VLOOKUP(X1220,物料編碼!D:G,4,0)</f>
        <v>一號肉</v>
      </c>
      <c r="Z1220" t="str">
        <f>VLOOKUP(C1220,客戶屬性1!A:C,2,0)</f>
        <v>新田食品贸易有限公司</v>
      </c>
      <c r="AA1220">
        <f>IF(COUNTIF($O$1:O1220,O1220)=1,L1220,0)</f>
        <v>9200</v>
      </c>
    </row>
    <row r="1221" customHeight="1" spans="1:27">
      <c r="A1221" s="21" t="s">
        <v>2316</v>
      </c>
      <c r="B1221" s="21" t="s">
        <v>45</v>
      </c>
      <c r="C1221" s="21" t="s">
        <v>383</v>
      </c>
      <c r="D1221" s="21" t="s">
        <v>384</v>
      </c>
      <c r="E1221" s="21" t="s">
        <v>385</v>
      </c>
      <c r="F1221" s="21" t="s">
        <v>49</v>
      </c>
      <c r="G1221" s="21" t="s">
        <v>50</v>
      </c>
      <c r="H1221" s="21" t="s">
        <v>63</v>
      </c>
      <c r="I1221" s="26">
        <v>2</v>
      </c>
      <c r="J1221" s="26">
        <v>50</v>
      </c>
      <c r="K1221" s="21" t="s">
        <v>52</v>
      </c>
      <c r="L1221" s="27">
        <v>1630</v>
      </c>
      <c r="M1221" s="21"/>
      <c r="N1221" s="21"/>
      <c r="O1221" s="21" t="s">
        <v>2317</v>
      </c>
      <c r="P1221" s="21" t="s">
        <v>54</v>
      </c>
      <c r="Q1221" s="28">
        <v>46091</v>
      </c>
      <c r="R1221" s="29">
        <v>46091.4463888889</v>
      </c>
      <c r="S1221" s="21" t="s">
        <v>387</v>
      </c>
      <c r="T1221" s="21"/>
      <c r="U1221" s="21" t="s">
        <v>384</v>
      </c>
      <c r="V1221" s="29">
        <v>46091.4463310185</v>
      </c>
      <c r="W1221">
        <f>VLOOKUP(H1221,物料編碼!A:B,2,0)</f>
        <v>1300109002</v>
      </c>
      <c r="X1221">
        <v>1300109</v>
      </c>
      <c r="Y1221" t="str">
        <f>VLOOKUP(X1221,物料編碼!D:G,4,0)</f>
        <v>面精肉</v>
      </c>
      <c r="Z1221" t="str">
        <f>VLOOKUP(C1221,客戶屬性1!A:C,2,0)</f>
        <v>新协兴冻肉食品公司</v>
      </c>
      <c r="AA1221">
        <f>IF(COUNTIF($O$1:O1221,O1221)=1,L1221,0)</f>
        <v>1630</v>
      </c>
    </row>
    <row r="1222" customHeight="1" spans="1:27">
      <c r="A1222" s="21" t="s">
        <v>2318</v>
      </c>
      <c r="B1222" s="21" t="s">
        <v>45</v>
      </c>
      <c r="C1222" s="21" t="s">
        <v>2301</v>
      </c>
      <c r="D1222" s="21" t="s">
        <v>2302</v>
      </c>
      <c r="E1222" s="21" t="s">
        <v>2303</v>
      </c>
      <c r="F1222" s="21" t="s">
        <v>49</v>
      </c>
      <c r="G1222" s="21" t="s">
        <v>89</v>
      </c>
      <c r="H1222" s="21" t="s">
        <v>60</v>
      </c>
      <c r="I1222" s="26">
        <v>3</v>
      </c>
      <c r="J1222" s="26">
        <v>75</v>
      </c>
      <c r="K1222" s="21" t="s">
        <v>52</v>
      </c>
      <c r="L1222" s="27">
        <v>2760</v>
      </c>
      <c r="M1222" s="21"/>
      <c r="N1222" s="21"/>
      <c r="O1222" s="21" t="s">
        <v>2319</v>
      </c>
      <c r="P1222" s="21" t="s">
        <v>54</v>
      </c>
      <c r="Q1222" s="28">
        <v>46091</v>
      </c>
      <c r="R1222" s="29">
        <v>46090.6896875</v>
      </c>
      <c r="S1222" s="21" t="s">
        <v>2305</v>
      </c>
      <c r="T1222" s="21"/>
      <c r="U1222" s="21" t="s">
        <v>2302</v>
      </c>
      <c r="V1222" s="29">
        <v>46090.6896412037</v>
      </c>
      <c r="W1222">
        <f>VLOOKUP(H1222,物料編碼!A:B,2,0)</f>
        <v>1300101043</v>
      </c>
      <c r="X1222">
        <v>1300101</v>
      </c>
      <c r="Y1222" t="str">
        <f>VLOOKUP(X1222,物料編碼!D:G,4,0)</f>
        <v>一號肉</v>
      </c>
      <c r="Z1222" t="str">
        <f>VLOOKUP(C1222,客戶屬性1!A:C,2,0)</f>
        <v>文兴食品有限公司</v>
      </c>
      <c r="AA1222">
        <f>IF(COUNTIF($O$1:O1222,O1222)=1,L1222,0)</f>
        <v>2760</v>
      </c>
    </row>
    <row r="1223" customHeight="1" spans="1:27">
      <c r="A1223" s="21" t="s">
        <v>2320</v>
      </c>
      <c r="B1223" s="21" t="s">
        <v>45</v>
      </c>
      <c r="C1223" s="21" t="s">
        <v>97</v>
      </c>
      <c r="D1223" s="21" t="s">
        <v>98</v>
      </c>
      <c r="E1223" s="21" t="s">
        <v>99</v>
      </c>
      <c r="F1223" s="21" t="s">
        <v>49</v>
      </c>
      <c r="G1223" s="21" t="s">
        <v>100</v>
      </c>
      <c r="H1223" s="21" t="s">
        <v>63</v>
      </c>
      <c r="I1223" s="26">
        <v>1</v>
      </c>
      <c r="J1223" s="26">
        <v>25</v>
      </c>
      <c r="K1223" s="21" t="s">
        <v>52</v>
      </c>
      <c r="L1223" s="27">
        <v>815</v>
      </c>
      <c r="M1223" s="21"/>
      <c r="N1223" s="21"/>
      <c r="O1223" s="21" t="s">
        <v>2321</v>
      </c>
      <c r="P1223" s="21" t="s">
        <v>54</v>
      </c>
      <c r="Q1223" s="28">
        <v>46091</v>
      </c>
      <c r="R1223" s="29">
        <v>46090.6896527778</v>
      </c>
      <c r="S1223" s="21" t="s">
        <v>1000</v>
      </c>
      <c r="T1223" s="21"/>
      <c r="U1223" s="21" t="s">
        <v>1001</v>
      </c>
      <c r="V1223" s="29">
        <v>46090.6895949074</v>
      </c>
      <c r="W1223">
        <f>VLOOKUP(H1223,物料編碼!A:B,2,0)</f>
        <v>1300109002</v>
      </c>
      <c r="X1223">
        <v>1300109</v>
      </c>
      <c r="Y1223" t="str">
        <f>VLOOKUP(X1223,物料編碼!D:G,4,0)</f>
        <v>面精肉</v>
      </c>
      <c r="Z1223" t="str">
        <f>VLOOKUP(C1223,客戶屬性1!A:C,2,0)</f>
        <v>三明有限公司</v>
      </c>
      <c r="AA1223">
        <f>IF(COUNTIF($O$1:O1223,O1223)=1,L1223,0)</f>
        <v>815</v>
      </c>
    </row>
    <row r="1224" customHeight="1" spans="1:27">
      <c r="A1224" s="21" t="s">
        <v>2322</v>
      </c>
      <c r="B1224" s="21" t="s">
        <v>45</v>
      </c>
      <c r="C1224" s="21" t="s">
        <v>216</v>
      </c>
      <c r="D1224" s="21" t="s">
        <v>217</v>
      </c>
      <c r="E1224" s="21" t="s">
        <v>218</v>
      </c>
      <c r="F1224" s="21" t="s">
        <v>49</v>
      </c>
      <c r="G1224" s="21" t="s">
        <v>68</v>
      </c>
      <c r="H1224" s="21" t="s">
        <v>63</v>
      </c>
      <c r="I1224" s="26">
        <v>1</v>
      </c>
      <c r="J1224" s="26">
        <v>25</v>
      </c>
      <c r="K1224" s="21" t="s">
        <v>52</v>
      </c>
      <c r="L1224" s="27">
        <v>815</v>
      </c>
      <c r="M1224" s="21"/>
      <c r="N1224" s="21"/>
      <c r="O1224" s="21" t="s">
        <v>2323</v>
      </c>
      <c r="P1224" s="21" t="s">
        <v>54</v>
      </c>
      <c r="Q1224" s="28">
        <v>46091</v>
      </c>
      <c r="R1224" s="29">
        <v>46090.6840972222</v>
      </c>
      <c r="S1224" s="21" t="s">
        <v>221</v>
      </c>
      <c r="T1224" s="21"/>
      <c r="U1224" s="21" t="s">
        <v>222</v>
      </c>
      <c r="V1224" s="29">
        <v>46090.6840393519</v>
      </c>
      <c r="W1224">
        <f>VLOOKUP(H1224,物料編碼!A:B,2,0)</f>
        <v>1300109002</v>
      </c>
      <c r="X1224">
        <v>1300109</v>
      </c>
      <c r="Y1224" t="str">
        <f>VLOOKUP(X1224,物料編碼!D:G,4,0)</f>
        <v>面精肉</v>
      </c>
      <c r="Z1224" t="str">
        <f>VLOOKUP(C1224,客戶屬性1!A:C,2,0)</f>
        <v>天恒食品有限公司</v>
      </c>
      <c r="AA1224">
        <f>IF(COUNTIF($O$1:O1224,O1224)=1,L1224,0)</f>
        <v>815</v>
      </c>
    </row>
    <row r="1225" customHeight="1" spans="1:27">
      <c r="A1225" s="21" t="s">
        <v>2324</v>
      </c>
      <c r="B1225" s="21" t="s">
        <v>45</v>
      </c>
      <c r="C1225" s="21" t="s">
        <v>457</v>
      </c>
      <c r="D1225" s="21" t="s">
        <v>458</v>
      </c>
      <c r="E1225" s="21" t="s">
        <v>459</v>
      </c>
      <c r="F1225" s="21" t="s">
        <v>49</v>
      </c>
      <c r="G1225" s="21" t="s">
        <v>68</v>
      </c>
      <c r="H1225" s="21" t="s">
        <v>63</v>
      </c>
      <c r="I1225" s="26">
        <v>3</v>
      </c>
      <c r="J1225" s="26">
        <v>75</v>
      </c>
      <c r="K1225" s="21" t="s">
        <v>52</v>
      </c>
      <c r="L1225" s="27">
        <v>2445</v>
      </c>
      <c r="M1225" s="21"/>
      <c r="N1225" s="21"/>
      <c r="O1225" s="21" t="s">
        <v>2325</v>
      </c>
      <c r="P1225" s="21" t="s">
        <v>54</v>
      </c>
      <c r="Q1225" s="28">
        <v>46091</v>
      </c>
      <c r="R1225" s="29">
        <v>46090.6751967593</v>
      </c>
      <c r="S1225" s="21" t="s">
        <v>461</v>
      </c>
      <c r="T1225" s="21"/>
      <c r="U1225" s="21" t="s">
        <v>458</v>
      </c>
      <c r="V1225" s="29">
        <v>46090.6751388889</v>
      </c>
      <c r="W1225">
        <f>VLOOKUP(H1225,物料編碼!A:B,2,0)</f>
        <v>1300109002</v>
      </c>
      <c r="X1225">
        <v>1300109</v>
      </c>
      <c r="Y1225" t="str">
        <f>VLOOKUP(X1225,物料編碼!D:G,4,0)</f>
        <v>面精肉</v>
      </c>
      <c r="Z1225" t="str">
        <f>VLOOKUP(C1225,客戶屬性1!A:C,2,0)</f>
        <v>福永行贸易有限公司</v>
      </c>
      <c r="AA1225">
        <f>IF(COUNTIF($O$1:O1225,O1225)=1,L1225,0)</f>
        <v>2445</v>
      </c>
    </row>
    <row r="1226" customHeight="1" spans="1:27">
      <c r="A1226" s="21" t="s">
        <v>2326</v>
      </c>
      <c r="B1226" s="21" t="s">
        <v>45</v>
      </c>
      <c r="C1226" s="21" t="s">
        <v>105</v>
      </c>
      <c r="D1226" s="21" t="s">
        <v>106</v>
      </c>
      <c r="E1226" s="21" t="s">
        <v>107</v>
      </c>
      <c r="F1226" s="21" t="s">
        <v>49</v>
      </c>
      <c r="G1226" s="21" t="s">
        <v>68</v>
      </c>
      <c r="H1226" s="21" t="s">
        <v>60</v>
      </c>
      <c r="I1226" s="26">
        <v>150</v>
      </c>
      <c r="J1226" s="26">
        <v>150</v>
      </c>
      <c r="K1226" s="21" t="s">
        <v>52</v>
      </c>
      <c r="L1226" s="27">
        <v>5520</v>
      </c>
      <c r="M1226" s="21"/>
      <c r="N1226" s="21"/>
      <c r="O1226" s="21" t="s">
        <v>2327</v>
      </c>
      <c r="P1226" s="21" t="s">
        <v>54</v>
      </c>
      <c r="Q1226" s="28">
        <v>46091</v>
      </c>
      <c r="R1226" s="29">
        <v>46090.4876388889</v>
      </c>
      <c r="S1226" s="21" t="s">
        <v>109</v>
      </c>
      <c r="T1226" s="21"/>
      <c r="U1226" s="21" t="s">
        <v>110</v>
      </c>
      <c r="V1226" s="29">
        <v>46090.4875925926</v>
      </c>
      <c r="W1226">
        <f>VLOOKUP(H1226,物料編碼!A:B,2,0)</f>
        <v>1300101043</v>
      </c>
      <c r="X1226">
        <v>1300101</v>
      </c>
      <c r="Y1226" t="str">
        <f>VLOOKUP(X1226,物料編碼!D:G,4,0)</f>
        <v>一號肉</v>
      </c>
      <c r="Z1226" t="str">
        <f>VLOOKUP(C1226,客戶屬性1!A:C,2,0)</f>
        <v>MING KEE</v>
      </c>
      <c r="AA1226">
        <f>IF(COUNTIF($O$1:O1226,O1226)=1,L1226,0)</f>
        <v>5520</v>
      </c>
    </row>
    <row r="1227" customHeight="1" spans="1:27">
      <c r="A1227" s="21" t="s">
        <v>2328</v>
      </c>
      <c r="B1227" s="21" t="s">
        <v>45</v>
      </c>
      <c r="C1227" s="21" t="s">
        <v>72</v>
      </c>
      <c r="D1227" s="21" t="s">
        <v>73</v>
      </c>
      <c r="E1227" s="21" t="s">
        <v>74</v>
      </c>
      <c r="F1227" s="21" t="s">
        <v>49</v>
      </c>
      <c r="G1227" s="21" t="s">
        <v>50</v>
      </c>
      <c r="H1227" s="21" t="s">
        <v>117</v>
      </c>
      <c r="I1227" s="26">
        <v>4</v>
      </c>
      <c r="J1227" s="26">
        <v>60</v>
      </c>
      <c r="K1227" s="21" t="s">
        <v>52</v>
      </c>
      <c r="L1227" s="27">
        <v>886.8</v>
      </c>
      <c r="M1227" s="21"/>
      <c r="N1227" s="21"/>
      <c r="O1227" s="21" t="s">
        <v>2329</v>
      </c>
      <c r="P1227" s="21" t="s">
        <v>54</v>
      </c>
      <c r="Q1227" s="28">
        <v>46090</v>
      </c>
      <c r="R1227" s="29">
        <v>46088.521400463</v>
      </c>
      <c r="S1227" s="21" t="s">
        <v>377</v>
      </c>
      <c r="T1227" s="21"/>
      <c r="U1227" s="21" t="s">
        <v>82</v>
      </c>
      <c r="V1227" s="29">
        <v>46088.5213310185</v>
      </c>
      <c r="W1227">
        <f>VLOOKUP(H1227,物料編碼!A:B,2,0)</f>
        <v>1300607015</v>
      </c>
      <c r="X1227">
        <v>1300607</v>
      </c>
      <c r="Y1227" t="str">
        <f>VLOOKUP(X1227,物料編碼!D:G,4,0)</f>
        <v>帶皮腿扒</v>
      </c>
      <c r="Z1227" t="str">
        <f>VLOOKUP(C1227,客戶屬性1!A:C,2,0)</f>
        <v>恒辉贸易公司</v>
      </c>
      <c r="AA1227">
        <f>IF(COUNTIF($O$1:O1227,O1227)=1,L1227,0)</f>
        <v>886.8</v>
      </c>
    </row>
    <row r="1228" customHeight="1" spans="1:27">
      <c r="A1228" s="21" t="s">
        <v>2330</v>
      </c>
      <c r="B1228" s="21" t="s">
        <v>45</v>
      </c>
      <c r="C1228" s="21" t="s">
        <v>72</v>
      </c>
      <c r="D1228" s="21" t="s">
        <v>73</v>
      </c>
      <c r="E1228" s="21" t="s">
        <v>74</v>
      </c>
      <c r="F1228" s="21" t="s">
        <v>49</v>
      </c>
      <c r="G1228" s="21" t="s">
        <v>50</v>
      </c>
      <c r="H1228" s="21" t="s">
        <v>117</v>
      </c>
      <c r="I1228" s="26">
        <v>5</v>
      </c>
      <c r="J1228" s="26">
        <v>75</v>
      </c>
      <c r="K1228" s="21" t="s">
        <v>52</v>
      </c>
      <c r="L1228" s="27">
        <v>1108.5</v>
      </c>
      <c r="M1228" s="21"/>
      <c r="N1228" s="21"/>
      <c r="O1228" s="21" t="s">
        <v>2331</v>
      </c>
      <c r="P1228" s="21" t="s">
        <v>54</v>
      </c>
      <c r="Q1228" s="28">
        <v>46090</v>
      </c>
      <c r="R1228" s="29">
        <v>46088.4802430556</v>
      </c>
      <c r="S1228" s="21" t="s">
        <v>81</v>
      </c>
      <c r="T1228" s="21"/>
      <c r="U1228" s="21" t="s">
        <v>82</v>
      </c>
      <c r="V1228" s="29">
        <v>46088.4801851852</v>
      </c>
      <c r="W1228">
        <f>VLOOKUP(H1228,物料編碼!A:B,2,0)</f>
        <v>1300607015</v>
      </c>
      <c r="X1228">
        <v>1300607</v>
      </c>
      <c r="Y1228" t="str">
        <f>VLOOKUP(X1228,物料編碼!D:G,4,0)</f>
        <v>帶皮腿扒</v>
      </c>
      <c r="Z1228" t="str">
        <f>VLOOKUP(C1228,客戶屬性1!A:C,2,0)</f>
        <v>恒辉贸易公司</v>
      </c>
      <c r="AA1228">
        <f>IF(COUNTIF($O$1:O1228,O1228)=1,L1228,0)</f>
        <v>1108.5</v>
      </c>
    </row>
    <row r="1229" customHeight="1" spans="1:27">
      <c r="A1229" s="21" t="s">
        <v>2332</v>
      </c>
      <c r="B1229" s="21" t="s">
        <v>45</v>
      </c>
      <c r="C1229" s="21" t="s">
        <v>72</v>
      </c>
      <c r="D1229" s="21" t="s">
        <v>73</v>
      </c>
      <c r="E1229" s="21" t="s">
        <v>74</v>
      </c>
      <c r="F1229" s="21" t="s">
        <v>49</v>
      </c>
      <c r="G1229" s="21" t="s">
        <v>50</v>
      </c>
      <c r="H1229" s="21" t="s">
        <v>117</v>
      </c>
      <c r="I1229" s="26">
        <v>3</v>
      </c>
      <c r="J1229" s="26">
        <v>45</v>
      </c>
      <c r="K1229" s="21" t="s">
        <v>52</v>
      </c>
      <c r="L1229" s="27">
        <v>665.1</v>
      </c>
      <c r="M1229" s="21"/>
      <c r="N1229" s="21"/>
      <c r="O1229" s="21" t="s">
        <v>2333</v>
      </c>
      <c r="P1229" s="21" t="s">
        <v>54</v>
      </c>
      <c r="Q1229" s="28">
        <v>46090</v>
      </c>
      <c r="R1229" s="29">
        <v>46088.4593981481</v>
      </c>
      <c r="S1229" s="21" t="s">
        <v>288</v>
      </c>
      <c r="T1229" s="21"/>
      <c r="U1229" s="21" t="s">
        <v>82</v>
      </c>
      <c r="V1229" s="29">
        <v>46088.4593287037</v>
      </c>
      <c r="W1229">
        <f>VLOOKUP(H1229,物料編碼!A:B,2,0)</f>
        <v>1300607015</v>
      </c>
      <c r="X1229">
        <v>1300607</v>
      </c>
      <c r="Y1229" t="str">
        <f>VLOOKUP(X1229,物料編碼!D:G,4,0)</f>
        <v>帶皮腿扒</v>
      </c>
      <c r="Z1229" t="str">
        <f>VLOOKUP(C1229,客戶屬性1!A:C,2,0)</f>
        <v>恒辉贸易公司</v>
      </c>
      <c r="AA1229">
        <f>IF(COUNTIF($O$1:O1229,O1229)=1,L1229,0)</f>
        <v>665.1</v>
      </c>
    </row>
    <row r="1230" customHeight="1" spans="1:27">
      <c r="A1230" s="21" t="s">
        <v>2334</v>
      </c>
      <c r="B1230" s="21" t="s">
        <v>45</v>
      </c>
      <c r="C1230" s="21" t="s">
        <v>1460</v>
      </c>
      <c r="D1230" s="21" t="s">
        <v>1461</v>
      </c>
      <c r="E1230" s="21" t="s">
        <v>1462</v>
      </c>
      <c r="F1230" s="21" t="s">
        <v>49</v>
      </c>
      <c r="G1230" s="21" t="s">
        <v>541</v>
      </c>
      <c r="H1230" s="21" t="s">
        <v>117</v>
      </c>
      <c r="I1230" s="26">
        <v>10</v>
      </c>
      <c r="J1230" s="26">
        <v>150</v>
      </c>
      <c r="K1230" s="21" t="s">
        <v>52</v>
      </c>
      <c r="L1230" s="27">
        <v>2217</v>
      </c>
      <c r="M1230" s="21"/>
      <c r="N1230" s="21"/>
      <c r="O1230" s="21" t="s">
        <v>2335</v>
      </c>
      <c r="P1230" s="21" t="s">
        <v>54</v>
      </c>
      <c r="Q1230" s="28">
        <v>46088</v>
      </c>
      <c r="R1230" s="29">
        <v>46087.6682986111</v>
      </c>
      <c r="S1230" s="21" t="s">
        <v>1464</v>
      </c>
      <c r="T1230" s="21"/>
      <c r="U1230" s="21" t="s">
        <v>1461</v>
      </c>
      <c r="V1230" s="29">
        <v>46087.6682523148</v>
      </c>
      <c r="W1230">
        <f>VLOOKUP(H1230,物料編碼!A:B,2,0)</f>
        <v>1300607015</v>
      </c>
      <c r="X1230">
        <v>1300607</v>
      </c>
      <c r="Y1230" t="str">
        <f>VLOOKUP(X1230,物料編碼!D:G,4,0)</f>
        <v>帶皮腿扒</v>
      </c>
      <c r="Z1230" t="str">
        <f>VLOOKUP(C1230,客戶屬性1!A:C,2,0)</f>
        <v>新江公司</v>
      </c>
      <c r="AA1230">
        <f>IF(COUNTIF($O$1:O1230,O1230)=1,L1230,0)</f>
        <v>2217</v>
      </c>
    </row>
    <row r="1231" customHeight="1" spans="1:27">
      <c r="A1231" s="21" t="s">
        <v>2336</v>
      </c>
      <c r="B1231" s="21" t="s">
        <v>45</v>
      </c>
      <c r="C1231" s="21" t="s">
        <v>72</v>
      </c>
      <c r="D1231" s="21" t="s">
        <v>73</v>
      </c>
      <c r="E1231" s="21" t="s">
        <v>74</v>
      </c>
      <c r="F1231" s="21" t="s">
        <v>49</v>
      </c>
      <c r="G1231" s="21" t="s">
        <v>50</v>
      </c>
      <c r="H1231" s="21" t="s">
        <v>117</v>
      </c>
      <c r="I1231" s="26">
        <v>4</v>
      </c>
      <c r="J1231" s="26">
        <v>60</v>
      </c>
      <c r="K1231" s="21" t="s">
        <v>52</v>
      </c>
      <c r="L1231" s="27">
        <v>886.8</v>
      </c>
      <c r="M1231" s="21"/>
      <c r="N1231" s="21"/>
      <c r="O1231" s="21" t="s">
        <v>2337</v>
      </c>
      <c r="P1231" s="21" t="s">
        <v>54</v>
      </c>
      <c r="Q1231" s="28">
        <v>46088</v>
      </c>
      <c r="R1231" s="29">
        <v>46087.6432638889</v>
      </c>
      <c r="S1231" s="21" t="s">
        <v>81</v>
      </c>
      <c r="T1231" s="21"/>
      <c r="U1231" s="21" t="s">
        <v>82</v>
      </c>
      <c r="V1231" s="29">
        <v>46087.6432175926</v>
      </c>
      <c r="W1231">
        <f>VLOOKUP(H1231,物料編碼!A:B,2,0)</f>
        <v>1300607015</v>
      </c>
      <c r="X1231">
        <v>1300607</v>
      </c>
      <c r="Y1231" t="str">
        <f>VLOOKUP(X1231,物料編碼!D:G,4,0)</f>
        <v>帶皮腿扒</v>
      </c>
      <c r="Z1231" t="str">
        <f>VLOOKUP(C1231,客戶屬性1!A:C,2,0)</f>
        <v>恒辉贸易公司</v>
      </c>
      <c r="AA1231">
        <f>IF(COUNTIF($O$1:O1231,O1231)=1,L1231,0)</f>
        <v>886.8</v>
      </c>
    </row>
    <row r="1232" customHeight="1" spans="1:27">
      <c r="A1232" s="21" t="s">
        <v>2338</v>
      </c>
      <c r="B1232" s="21" t="s">
        <v>45</v>
      </c>
      <c r="C1232" s="21" t="s">
        <v>158</v>
      </c>
      <c r="D1232" s="21" t="s">
        <v>159</v>
      </c>
      <c r="E1232" s="21" t="s">
        <v>160</v>
      </c>
      <c r="F1232" s="21" t="s">
        <v>49</v>
      </c>
      <c r="G1232" s="21" t="s">
        <v>68</v>
      </c>
      <c r="H1232" s="21" t="s">
        <v>117</v>
      </c>
      <c r="I1232" s="26">
        <v>12</v>
      </c>
      <c r="J1232" s="26">
        <v>180</v>
      </c>
      <c r="K1232" s="21" t="s">
        <v>52</v>
      </c>
      <c r="L1232" s="27">
        <v>2660.4</v>
      </c>
      <c r="M1232" s="21"/>
      <c r="N1232" s="21"/>
      <c r="O1232" s="21" t="s">
        <v>2339</v>
      </c>
      <c r="P1232" s="21" t="s">
        <v>54</v>
      </c>
      <c r="Q1232" s="28">
        <v>46088</v>
      </c>
      <c r="R1232" s="29">
        <v>46087.5444560185</v>
      </c>
      <c r="S1232" s="21" t="s">
        <v>163</v>
      </c>
      <c r="T1232" s="21"/>
      <c r="U1232" s="21" t="s">
        <v>164</v>
      </c>
      <c r="V1232" s="29">
        <v>46087.5443981482</v>
      </c>
      <c r="W1232">
        <f>VLOOKUP(H1232,物料編碼!A:B,2,0)</f>
        <v>1300607015</v>
      </c>
      <c r="X1232">
        <v>1300607</v>
      </c>
      <c r="Y1232" t="str">
        <f>VLOOKUP(X1232,物料編碼!D:G,4,0)</f>
        <v>帶皮腿扒</v>
      </c>
      <c r="Z1232" t="str">
        <f>VLOOKUP(C1232,客戶屬性1!A:C,2,0)</f>
        <v>先进食品国际有限公司</v>
      </c>
      <c r="AA1232">
        <f>IF(COUNTIF($O$1:O1232,O1232)=1,L1232,0)</f>
        <v>2660.4</v>
      </c>
    </row>
    <row r="1233" customHeight="1" spans="1:27">
      <c r="A1233" s="21" t="s">
        <v>2340</v>
      </c>
      <c r="B1233" s="21" t="s">
        <v>45</v>
      </c>
      <c r="C1233" s="21" t="s">
        <v>72</v>
      </c>
      <c r="D1233" s="21" t="s">
        <v>73</v>
      </c>
      <c r="E1233" s="21" t="s">
        <v>74</v>
      </c>
      <c r="F1233" s="21" t="s">
        <v>49</v>
      </c>
      <c r="G1233" s="21" t="s">
        <v>50</v>
      </c>
      <c r="H1233" s="21" t="s">
        <v>117</v>
      </c>
      <c r="I1233" s="26">
        <v>3</v>
      </c>
      <c r="J1233" s="26">
        <v>45</v>
      </c>
      <c r="K1233" s="21" t="s">
        <v>52</v>
      </c>
      <c r="L1233" s="27">
        <v>665.1</v>
      </c>
      <c r="M1233" s="21"/>
      <c r="N1233" s="21"/>
      <c r="O1233" s="21" t="s">
        <v>2341</v>
      </c>
      <c r="P1233" s="21" t="s">
        <v>54</v>
      </c>
      <c r="Q1233" s="28">
        <v>46088</v>
      </c>
      <c r="R1233" s="29">
        <v>46087.4812152778</v>
      </c>
      <c r="S1233" s="21" t="s">
        <v>288</v>
      </c>
      <c r="T1233" s="21"/>
      <c r="U1233" s="21" t="s">
        <v>82</v>
      </c>
      <c r="V1233" s="29">
        <v>46087.4811574074</v>
      </c>
      <c r="W1233">
        <f>VLOOKUP(H1233,物料編碼!A:B,2,0)</f>
        <v>1300607015</v>
      </c>
      <c r="X1233">
        <v>1300607</v>
      </c>
      <c r="Y1233" t="str">
        <f>VLOOKUP(X1233,物料編碼!D:G,4,0)</f>
        <v>帶皮腿扒</v>
      </c>
      <c r="Z1233" t="str">
        <f>VLOOKUP(C1233,客戶屬性1!A:C,2,0)</f>
        <v>恒辉贸易公司</v>
      </c>
      <c r="AA1233">
        <f>IF(COUNTIF($O$1:O1233,O1233)=1,L1233,0)</f>
        <v>665.1</v>
      </c>
    </row>
    <row r="1234" customHeight="1" spans="1:27">
      <c r="A1234" s="21" t="s">
        <v>2342</v>
      </c>
      <c r="B1234" s="21" t="s">
        <v>45</v>
      </c>
      <c r="C1234" s="21" t="s">
        <v>141</v>
      </c>
      <c r="D1234" s="21" t="s">
        <v>142</v>
      </c>
      <c r="E1234" s="21" t="s">
        <v>142</v>
      </c>
      <c r="F1234" s="21" t="s">
        <v>143</v>
      </c>
      <c r="G1234" s="21" t="s">
        <v>100</v>
      </c>
      <c r="H1234" s="21" t="s">
        <v>117</v>
      </c>
      <c r="I1234" s="26">
        <v>3</v>
      </c>
      <c r="J1234" s="26">
        <v>45</v>
      </c>
      <c r="K1234" s="21" t="s">
        <v>52</v>
      </c>
      <c r="L1234" s="27">
        <v>665.1</v>
      </c>
      <c r="M1234" s="21"/>
      <c r="N1234" s="21"/>
      <c r="O1234" s="21" t="s">
        <v>2343</v>
      </c>
      <c r="P1234" s="21" t="s">
        <v>54</v>
      </c>
      <c r="Q1234" s="28">
        <v>46090</v>
      </c>
      <c r="R1234" s="29">
        <v>46087.477974537</v>
      </c>
      <c r="S1234" s="21" t="s">
        <v>145</v>
      </c>
      <c r="T1234" s="21"/>
      <c r="U1234" s="21" t="s">
        <v>142</v>
      </c>
      <c r="V1234" s="29">
        <v>46087.4779166667</v>
      </c>
      <c r="W1234">
        <f>VLOOKUP(H1234,物料編碼!A:B,2,0)</f>
        <v>1300607015</v>
      </c>
      <c r="X1234">
        <v>1300607</v>
      </c>
      <c r="Y1234" t="str">
        <f>VLOOKUP(X1234,物料編碼!D:G,4,0)</f>
        <v>帶皮腿扒</v>
      </c>
      <c r="Z1234" t="str">
        <f>VLOOKUP(C1234,客戶屬性1!A:C,2,0)</f>
        <v>新昌冻肉</v>
      </c>
      <c r="AA1234">
        <f>IF(COUNTIF($O$1:O1234,O1234)=1,L1234,0)</f>
        <v>665.1</v>
      </c>
    </row>
    <row r="1235" customHeight="1" spans="1:27">
      <c r="A1235" s="21" t="s">
        <v>2344</v>
      </c>
      <c r="B1235" s="21" t="s">
        <v>45</v>
      </c>
      <c r="C1235" s="21" t="s">
        <v>141</v>
      </c>
      <c r="D1235" s="21" t="s">
        <v>142</v>
      </c>
      <c r="E1235" s="21" t="s">
        <v>142</v>
      </c>
      <c r="F1235" s="21" t="s">
        <v>143</v>
      </c>
      <c r="G1235" s="21" t="s">
        <v>100</v>
      </c>
      <c r="H1235" s="21" t="s">
        <v>117</v>
      </c>
      <c r="I1235" s="26">
        <v>1</v>
      </c>
      <c r="J1235" s="26">
        <v>15</v>
      </c>
      <c r="K1235" s="21" t="s">
        <v>52</v>
      </c>
      <c r="L1235" s="27">
        <v>221.7</v>
      </c>
      <c r="M1235" s="21"/>
      <c r="N1235" s="21"/>
      <c r="O1235" s="21" t="s">
        <v>2345</v>
      </c>
      <c r="P1235" s="21" t="s">
        <v>54</v>
      </c>
      <c r="Q1235" s="28">
        <v>46088</v>
      </c>
      <c r="R1235" s="29">
        <v>46087.476875</v>
      </c>
      <c r="S1235" s="21" t="s">
        <v>145</v>
      </c>
      <c r="T1235" s="21"/>
      <c r="U1235" s="21" t="s">
        <v>142</v>
      </c>
      <c r="V1235" s="29">
        <v>46087.4768287037</v>
      </c>
      <c r="W1235">
        <f>VLOOKUP(H1235,物料編碼!A:B,2,0)</f>
        <v>1300607015</v>
      </c>
      <c r="X1235">
        <v>1300607</v>
      </c>
      <c r="Y1235" t="str">
        <f>VLOOKUP(X1235,物料編碼!D:G,4,0)</f>
        <v>帶皮腿扒</v>
      </c>
      <c r="Z1235" t="str">
        <f>VLOOKUP(C1235,客戶屬性1!A:C,2,0)</f>
        <v>新昌冻肉</v>
      </c>
      <c r="AA1235">
        <f>IF(COUNTIF($O$1:O1235,O1235)=1,L1235,0)</f>
        <v>221.7</v>
      </c>
    </row>
    <row r="1236" customHeight="1" spans="1:27">
      <c r="A1236" s="21" t="s">
        <v>2346</v>
      </c>
      <c r="B1236" s="21" t="s">
        <v>45</v>
      </c>
      <c r="C1236" s="21" t="s">
        <v>1072</v>
      </c>
      <c r="D1236" s="21" t="s">
        <v>1073</v>
      </c>
      <c r="E1236" s="21" t="s">
        <v>1074</v>
      </c>
      <c r="F1236" s="21" t="s">
        <v>49</v>
      </c>
      <c r="G1236" s="21" t="s">
        <v>238</v>
      </c>
      <c r="H1236" s="21" t="s">
        <v>190</v>
      </c>
      <c r="I1236" s="26">
        <v>30</v>
      </c>
      <c r="J1236" s="26">
        <v>360</v>
      </c>
      <c r="K1236" s="21" t="s">
        <v>52</v>
      </c>
      <c r="L1236" s="27">
        <v>5652</v>
      </c>
      <c r="M1236" s="21"/>
      <c r="N1236" s="21"/>
      <c r="O1236" s="21" t="s">
        <v>2347</v>
      </c>
      <c r="P1236" s="21" t="s">
        <v>54</v>
      </c>
      <c r="Q1236" s="28">
        <v>46088</v>
      </c>
      <c r="R1236" s="29">
        <v>46087.455625</v>
      </c>
      <c r="S1236" s="21" t="s">
        <v>1076</v>
      </c>
      <c r="T1236" s="21"/>
      <c r="U1236" s="21" t="s">
        <v>1077</v>
      </c>
      <c r="V1236" s="29">
        <v>46087.4555671296</v>
      </c>
      <c r="W1236">
        <f>VLOOKUP(H1236,物料編碼!A:B,2,0)</f>
        <v>1300609001</v>
      </c>
      <c r="X1236">
        <v>1300609</v>
      </c>
      <c r="Y1236" t="str">
        <f>VLOOKUP(X1236,物料編碼!D:G,4,0)</f>
        <v>去皮上腿肉</v>
      </c>
      <c r="Z1236" t="str">
        <f>VLOOKUP(C1236,客戶屬性1!A:C,2,0)</f>
        <v>昭楠贸易有限公司</v>
      </c>
      <c r="AA1236">
        <f>IF(COUNTIF($O$1:O1236,O1236)=1,L1236,0)</f>
        <v>5652</v>
      </c>
    </row>
    <row r="1237" customHeight="1" spans="1:27">
      <c r="A1237" s="21" t="s">
        <v>2348</v>
      </c>
      <c r="B1237" s="21" t="s">
        <v>45</v>
      </c>
      <c r="C1237" s="21" t="s">
        <v>383</v>
      </c>
      <c r="D1237" s="21" t="s">
        <v>384</v>
      </c>
      <c r="E1237" s="21" t="s">
        <v>385</v>
      </c>
      <c r="F1237" s="21" t="s">
        <v>49</v>
      </c>
      <c r="G1237" s="21" t="s">
        <v>50</v>
      </c>
      <c r="H1237" s="21" t="s">
        <v>190</v>
      </c>
      <c r="I1237" s="26">
        <v>2</v>
      </c>
      <c r="J1237" s="26">
        <v>24</v>
      </c>
      <c r="K1237" s="21" t="s">
        <v>52</v>
      </c>
      <c r="L1237" s="27">
        <v>376.8</v>
      </c>
      <c r="M1237" s="21"/>
      <c r="N1237" s="21"/>
      <c r="O1237" s="21" t="s">
        <v>2349</v>
      </c>
      <c r="P1237" s="21" t="s">
        <v>54</v>
      </c>
      <c r="Q1237" s="28">
        <v>46087</v>
      </c>
      <c r="R1237" s="29">
        <v>46087.4351041667</v>
      </c>
      <c r="S1237" s="21" t="s">
        <v>387</v>
      </c>
      <c r="T1237" s="21"/>
      <c r="U1237" s="21" t="s">
        <v>384</v>
      </c>
      <c r="V1237" s="29">
        <v>46087.4350462963</v>
      </c>
      <c r="W1237">
        <f>VLOOKUP(H1237,物料編碼!A:B,2,0)</f>
        <v>1300609001</v>
      </c>
      <c r="X1237">
        <v>1300609</v>
      </c>
      <c r="Y1237" t="str">
        <f>VLOOKUP(X1237,物料編碼!D:G,4,0)</f>
        <v>去皮上腿肉</v>
      </c>
      <c r="Z1237" t="str">
        <f>VLOOKUP(C1237,客戶屬性1!A:C,2,0)</f>
        <v>新协兴冻肉食品公司</v>
      </c>
      <c r="AA1237">
        <f>IF(COUNTIF($O$1:O1237,O1237)=1,L1237,0)</f>
        <v>376.8</v>
      </c>
    </row>
    <row r="1238" customHeight="1" spans="1:27">
      <c r="A1238" s="21" t="s">
        <v>2350</v>
      </c>
      <c r="B1238" s="21" t="s">
        <v>45</v>
      </c>
      <c r="C1238" s="21" t="s">
        <v>72</v>
      </c>
      <c r="D1238" s="21" t="s">
        <v>73</v>
      </c>
      <c r="E1238" s="21" t="s">
        <v>74</v>
      </c>
      <c r="F1238" s="21" t="s">
        <v>49</v>
      </c>
      <c r="G1238" s="21" t="s">
        <v>50</v>
      </c>
      <c r="H1238" s="21" t="s">
        <v>190</v>
      </c>
      <c r="I1238" s="26">
        <v>8</v>
      </c>
      <c r="J1238" s="26">
        <v>96</v>
      </c>
      <c r="K1238" s="21" t="s">
        <v>52</v>
      </c>
      <c r="L1238" s="27">
        <v>1507.2</v>
      </c>
      <c r="M1238" s="21"/>
      <c r="N1238" s="21"/>
      <c r="O1238" s="21" t="s">
        <v>2351</v>
      </c>
      <c r="P1238" s="21" t="s">
        <v>54</v>
      </c>
      <c r="Q1238" s="28">
        <v>46087</v>
      </c>
      <c r="R1238" s="29">
        <v>46087.4065046296</v>
      </c>
      <c r="S1238" s="21" t="s">
        <v>77</v>
      </c>
      <c r="T1238" s="21"/>
      <c r="U1238" s="21" t="s">
        <v>74</v>
      </c>
      <c r="V1238" s="29">
        <v>46087.4064467593</v>
      </c>
      <c r="W1238">
        <f>VLOOKUP(H1238,物料編碼!A:B,2,0)</f>
        <v>1300609001</v>
      </c>
      <c r="X1238">
        <v>1300609</v>
      </c>
      <c r="Y1238" t="str">
        <f>VLOOKUP(X1238,物料編碼!D:G,4,0)</f>
        <v>去皮上腿肉</v>
      </c>
      <c r="Z1238" t="str">
        <f>VLOOKUP(C1238,客戶屬性1!A:C,2,0)</f>
        <v>恒辉贸易公司</v>
      </c>
      <c r="AA1238">
        <f>IF(COUNTIF($O$1:O1238,O1238)=1,L1238,0)</f>
        <v>1507.2</v>
      </c>
    </row>
    <row r="1239" customHeight="1" spans="1:27">
      <c r="A1239" s="21" t="s">
        <v>2352</v>
      </c>
      <c r="B1239" s="21" t="s">
        <v>45</v>
      </c>
      <c r="C1239" s="21" t="s">
        <v>72</v>
      </c>
      <c r="D1239" s="21" t="s">
        <v>73</v>
      </c>
      <c r="E1239" s="21" t="s">
        <v>74</v>
      </c>
      <c r="F1239" s="21" t="s">
        <v>49</v>
      </c>
      <c r="G1239" s="21" t="s">
        <v>50</v>
      </c>
      <c r="H1239" s="21" t="s">
        <v>117</v>
      </c>
      <c r="I1239" s="26">
        <v>1</v>
      </c>
      <c r="J1239" s="26">
        <v>15</v>
      </c>
      <c r="K1239" s="21" t="s">
        <v>52</v>
      </c>
      <c r="L1239" s="27">
        <v>221.7</v>
      </c>
      <c r="M1239" s="21"/>
      <c r="N1239" s="21"/>
      <c r="O1239" s="21" t="s">
        <v>2353</v>
      </c>
      <c r="P1239" s="21" t="s">
        <v>54</v>
      </c>
      <c r="Q1239" s="28">
        <v>46087</v>
      </c>
      <c r="R1239" s="29">
        <v>46087.3975231481</v>
      </c>
      <c r="S1239" s="21" t="s">
        <v>1910</v>
      </c>
      <c r="T1239" s="21"/>
      <c r="U1239" s="21" t="s">
        <v>1911</v>
      </c>
      <c r="V1239" s="29">
        <v>46087.3974652778</v>
      </c>
      <c r="W1239">
        <f>VLOOKUP(H1239,物料編碼!A:B,2,0)</f>
        <v>1300607015</v>
      </c>
      <c r="X1239">
        <v>1300607</v>
      </c>
      <c r="Y1239" t="str">
        <f>VLOOKUP(X1239,物料編碼!D:G,4,0)</f>
        <v>帶皮腿扒</v>
      </c>
      <c r="Z1239" t="str">
        <f>VLOOKUP(C1239,客戶屬性1!A:C,2,0)</f>
        <v>恒辉贸易公司</v>
      </c>
      <c r="AA1239">
        <f>IF(COUNTIF($O$1:O1239,O1239)=1,L1239,0)</f>
        <v>221.7</v>
      </c>
    </row>
    <row r="1240" customHeight="1" spans="1:27">
      <c r="A1240" s="21" t="s">
        <v>2354</v>
      </c>
      <c r="B1240" s="21" t="s">
        <v>45</v>
      </c>
      <c r="C1240" s="21" t="s">
        <v>1460</v>
      </c>
      <c r="D1240" s="21" t="s">
        <v>1461</v>
      </c>
      <c r="E1240" s="21" t="s">
        <v>1462</v>
      </c>
      <c r="F1240" s="21" t="s">
        <v>49</v>
      </c>
      <c r="G1240" s="21" t="s">
        <v>541</v>
      </c>
      <c r="H1240" s="21" t="s">
        <v>117</v>
      </c>
      <c r="I1240" s="26">
        <v>10</v>
      </c>
      <c r="J1240" s="26">
        <v>150</v>
      </c>
      <c r="K1240" s="21" t="s">
        <v>52</v>
      </c>
      <c r="L1240" s="27">
        <v>2217</v>
      </c>
      <c r="M1240" s="21"/>
      <c r="N1240" s="21"/>
      <c r="O1240" s="21" t="s">
        <v>2355</v>
      </c>
      <c r="P1240" s="21" t="s">
        <v>54</v>
      </c>
      <c r="Q1240" s="28">
        <v>46087</v>
      </c>
      <c r="R1240" s="29">
        <v>46087.3908680556</v>
      </c>
      <c r="S1240" s="21" t="s">
        <v>1464</v>
      </c>
      <c r="T1240" s="21"/>
      <c r="U1240" s="21" t="s">
        <v>1461</v>
      </c>
      <c r="V1240" s="29">
        <v>46087.3907986111</v>
      </c>
      <c r="W1240">
        <f>VLOOKUP(H1240,物料編碼!A:B,2,0)</f>
        <v>1300607015</v>
      </c>
      <c r="X1240">
        <v>1300607</v>
      </c>
      <c r="Y1240" t="str">
        <f>VLOOKUP(X1240,物料編碼!D:G,4,0)</f>
        <v>帶皮腿扒</v>
      </c>
      <c r="Z1240" t="str">
        <f>VLOOKUP(C1240,客戶屬性1!A:C,2,0)</f>
        <v>新江公司</v>
      </c>
      <c r="AA1240">
        <f>IF(COUNTIF($O$1:O1240,O1240)=1,L1240,0)</f>
        <v>2217</v>
      </c>
    </row>
    <row r="1241" customHeight="1" spans="1:27">
      <c r="A1241" s="21" t="s">
        <v>2356</v>
      </c>
      <c r="B1241" s="21" t="s">
        <v>45</v>
      </c>
      <c r="C1241" s="21" t="s">
        <v>158</v>
      </c>
      <c r="D1241" s="21" t="s">
        <v>159</v>
      </c>
      <c r="E1241" s="21" t="s">
        <v>160</v>
      </c>
      <c r="F1241" s="21" t="s">
        <v>49</v>
      </c>
      <c r="G1241" s="21" t="s">
        <v>68</v>
      </c>
      <c r="H1241" s="21" t="s">
        <v>117</v>
      </c>
      <c r="I1241" s="26">
        <v>3</v>
      </c>
      <c r="J1241" s="26">
        <v>45</v>
      </c>
      <c r="K1241" s="21" t="s">
        <v>52</v>
      </c>
      <c r="L1241" s="27">
        <v>665.1</v>
      </c>
      <c r="M1241" s="21"/>
      <c r="N1241" s="21"/>
      <c r="O1241" s="21" t="s">
        <v>2357</v>
      </c>
      <c r="P1241" s="21" t="s">
        <v>54</v>
      </c>
      <c r="Q1241" s="28">
        <v>46087</v>
      </c>
      <c r="R1241" s="29">
        <v>46086.5199421296</v>
      </c>
      <c r="S1241" s="21" t="s">
        <v>163</v>
      </c>
      <c r="T1241" s="21"/>
      <c r="U1241" s="21" t="s">
        <v>164</v>
      </c>
      <c r="V1241" s="29">
        <v>46086.5199074074</v>
      </c>
      <c r="W1241">
        <f>VLOOKUP(H1241,物料編碼!A:B,2,0)</f>
        <v>1300607015</v>
      </c>
      <c r="X1241">
        <v>1300607</v>
      </c>
      <c r="Y1241" t="str">
        <f>VLOOKUP(X1241,物料編碼!D:G,4,0)</f>
        <v>帶皮腿扒</v>
      </c>
      <c r="Z1241" t="str">
        <f>VLOOKUP(C1241,客戶屬性1!A:C,2,0)</f>
        <v>先进食品国际有限公司</v>
      </c>
      <c r="AA1241">
        <f>IF(COUNTIF($O$1:O1241,O1241)=1,L1241,0)</f>
        <v>665.1</v>
      </c>
    </row>
    <row r="1242" customHeight="1" spans="1:27">
      <c r="A1242" s="21" t="s">
        <v>2358</v>
      </c>
      <c r="B1242" s="21" t="s">
        <v>45</v>
      </c>
      <c r="C1242" s="21" t="s">
        <v>72</v>
      </c>
      <c r="D1242" s="21" t="s">
        <v>73</v>
      </c>
      <c r="E1242" s="21" t="s">
        <v>74</v>
      </c>
      <c r="F1242" s="21" t="s">
        <v>49</v>
      </c>
      <c r="G1242" s="21" t="s">
        <v>50</v>
      </c>
      <c r="H1242" s="21" t="s">
        <v>117</v>
      </c>
      <c r="I1242" s="26">
        <v>3</v>
      </c>
      <c r="J1242" s="26">
        <v>45</v>
      </c>
      <c r="K1242" s="21" t="s">
        <v>52</v>
      </c>
      <c r="L1242" s="27">
        <v>665.1</v>
      </c>
      <c r="M1242" s="21"/>
      <c r="N1242" s="21"/>
      <c r="O1242" s="21" t="s">
        <v>2359</v>
      </c>
      <c r="P1242" s="21" t="s">
        <v>54</v>
      </c>
      <c r="Q1242" s="28">
        <v>46087</v>
      </c>
      <c r="R1242" s="29">
        <v>46086.4842592593</v>
      </c>
      <c r="S1242" s="21" t="s">
        <v>288</v>
      </c>
      <c r="T1242" s="21"/>
      <c r="U1242" s="21" t="s">
        <v>82</v>
      </c>
      <c r="V1242" s="29">
        <v>46086.484212963</v>
      </c>
      <c r="W1242">
        <f>VLOOKUP(H1242,物料編碼!A:B,2,0)</f>
        <v>1300607015</v>
      </c>
      <c r="X1242">
        <v>1300607</v>
      </c>
      <c r="Y1242" t="str">
        <f>VLOOKUP(X1242,物料編碼!D:G,4,0)</f>
        <v>帶皮腿扒</v>
      </c>
      <c r="Z1242" t="str">
        <f>VLOOKUP(C1242,客戶屬性1!A:C,2,0)</f>
        <v>恒辉贸易公司</v>
      </c>
      <c r="AA1242">
        <f>IF(COUNTIF($O$1:O1242,O1242)=1,L1242,0)</f>
        <v>665.1</v>
      </c>
    </row>
    <row r="1243" customHeight="1" spans="1:27">
      <c r="A1243" s="21" t="s">
        <v>2360</v>
      </c>
      <c r="B1243" s="21" t="s">
        <v>45</v>
      </c>
      <c r="C1243" s="21" t="s">
        <v>171</v>
      </c>
      <c r="D1243" s="21" t="s">
        <v>172</v>
      </c>
      <c r="E1243" s="21" t="s">
        <v>173</v>
      </c>
      <c r="F1243" s="21" t="s">
        <v>49</v>
      </c>
      <c r="G1243" s="21" t="s">
        <v>174</v>
      </c>
      <c r="H1243" s="21" t="s">
        <v>190</v>
      </c>
      <c r="I1243" s="26">
        <v>20</v>
      </c>
      <c r="J1243" s="26">
        <v>240</v>
      </c>
      <c r="K1243" s="21" t="s">
        <v>52</v>
      </c>
      <c r="L1243" s="27">
        <v>3768</v>
      </c>
      <c r="M1243" s="21"/>
      <c r="N1243" s="21"/>
      <c r="O1243" s="21" t="s">
        <v>2361</v>
      </c>
      <c r="P1243" s="21" t="s">
        <v>54</v>
      </c>
      <c r="Q1243" s="28">
        <v>46087</v>
      </c>
      <c r="R1243" s="29">
        <v>46086.4829166667</v>
      </c>
      <c r="S1243" s="21" t="s">
        <v>177</v>
      </c>
      <c r="T1243" s="21"/>
      <c r="U1243" s="21" t="s">
        <v>172</v>
      </c>
      <c r="V1243" s="29">
        <v>46086.4828587963</v>
      </c>
      <c r="W1243">
        <f>VLOOKUP(H1243,物料編碼!A:B,2,0)</f>
        <v>1300609001</v>
      </c>
      <c r="X1243">
        <v>1300609</v>
      </c>
      <c r="Y1243" t="str">
        <f>VLOOKUP(X1243,物料編碼!D:G,4,0)</f>
        <v>去皮上腿肉</v>
      </c>
      <c r="Z1243" t="str">
        <f>VLOOKUP(C1243,客戶屬性1!A:C,2,0)</f>
        <v>豪气有限公司</v>
      </c>
      <c r="AA1243">
        <f>IF(COUNTIF($O$1:O1243,O1243)=1,L1243,0)</f>
        <v>3768</v>
      </c>
    </row>
    <row r="1244" customHeight="1" spans="1:27">
      <c r="A1244" s="21" t="s">
        <v>2362</v>
      </c>
      <c r="B1244" s="21" t="s">
        <v>45</v>
      </c>
      <c r="C1244" s="21" t="s">
        <v>72</v>
      </c>
      <c r="D1244" s="21" t="s">
        <v>73</v>
      </c>
      <c r="E1244" s="21" t="s">
        <v>74</v>
      </c>
      <c r="F1244" s="21" t="s">
        <v>49</v>
      </c>
      <c r="G1244" s="21" t="s">
        <v>50</v>
      </c>
      <c r="H1244" s="21" t="s">
        <v>117</v>
      </c>
      <c r="I1244" s="26">
        <v>5</v>
      </c>
      <c r="J1244" s="26">
        <v>75</v>
      </c>
      <c r="K1244" s="21" t="s">
        <v>52</v>
      </c>
      <c r="L1244" s="27">
        <v>1108.5</v>
      </c>
      <c r="M1244" s="21"/>
      <c r="N1244" s="21"/>
      <c r="O1244" s="21" t="s">
        <v>2363</v>
      </c>
      <c r="P1244" s="21" t="s">
        <v>54</v>
      </c>
      <c r="Q1244" s="28">
        <v>46087</v>
      </c>
      <c r="R1244" s="29">
        <v>46086.4823263889</v>
      </c>
      <c r="S1244" s="21" t="s">
        <v>288</v>
      </c>
      <c r="T1244" s="21"/>
      <c r="U1244" s="21" t="s">
        <v>82</v>
      </c>
      <c r="V1244" s="29">
        <v>46086.4822569444</v>
      </c>
      <c r="W1244">
        <f>VLOOKUP(H1244,物料編碼!A:B,2,0)</f>
        <v>1300607015</v>
      </c>
      <c r="X1244">
        <v>1300607</v>
      </c>
      <c r="Y1244" t="str">
        <f>VLOOKUP(X1244,物料編碼!D:G,4,0)</f>
        <v>帶皮腿扒</v>
      </c>
      <c r="Z1244" t="str">
        <f>VLOOKUP(C1244,客戶屬性1!A:C,2,0)</f>
        <v>恒辉贸易公司</v>
      </c>
      <c r="AA1244">
        <f>IF(COUNTIF($O$1:O1244,O1244)=1,L1244,0)</f>
        <v>1108.5</v>
      </c>
    </row>
    <row r="1245" customHeight="1" spans="1:27">
      <c r="A1245" s="21" t="s">
        <v>2364</v>
      </c>
      <c r="B1245" s="21" t="s">
        <v>45</v>
      </c>
      <c r="C1245" s="21" t="s">
        <v>858</v>
      </c>
      <c r="D1245" s="21" t="s">
        <v>859</v>
      </c>
      <c r="E1245" s="21" t="s">
        <v>860</v>
      </c>
      <c r="F1245" s="21" t="s">
        <v>49</v>
      </c>
      <c r="G1245" s="21" t="s">
        <v>136</v>
      </c>
      <c r="H1245" s="21" t="s">
        <v>117</v>
      </c>
      <c r="I1245" s="26">
        <v>3</v>
      </c>
      <c r="J1245" s="26">
        <v>45</v>
      </c>
      <c r="K1245" s="21" t="s">
        <v>52</v>
      </c>
      <c r="L1245" s="27">
        <v>665.1</v>
      </c>
      <c r="M1245" s="21"/>
      <c r="N1245" s="21"/>
      <c r="O1245" s="21" t="s">
        <v>2365</v>
      </c>
      <c r="P1245" s="21" t="s">
        <v>54</v>
      </c>
      <c r="Q1245" s="28">
        <v>46086</v>
      </c>
      <c r="R1245" s="29">
        <v>46085.7567708333</v>
      </c>
      <c r="S1245" s="21" t="s">
        <v>863</v>
      </c>
      <c r="T1245" s="21"/>
      <c r="U1245" s="21" t="s">
        <v>859</v>
      </c>
      <c r="V1245" s="29">
        <v>46085.756712963</v>
      </c>
      <c r="W1245">
        <f>VLOOKUP(H1245,物料編碼!A:B,2,0)</f>
        <v>1300607015</v>
      </c>
      <c r="X1245">
        <v>1300607</v>
      </c>
      <c r="Y1245" t="str">
        <f>VLOOKUP(X1245,物料編碼!D:G,4,0)</f>
        <v>帶皮腿扒</v>
      </c>
      <c r="Z1245" t="str">
        <f>VLOOKUP(C1245,客戶屬性1!A:C,2,0)</f>
        <v>福伟集团有限公司</v>
      </c>
      <c r="AA1245">
        <f>IF(COUNTIF($O$1:O1245,O1245)=1,L1245,0)</f>
        <v>665.1</v>
      </c>
    </row>
    <row r="1246" customHeight="1" spans="1:27">
      <c r="A1246" s="21" t="s">
        <v>2366</v>
      </c>
      <c r="B1246" s="21" t="s">
        <v>45</v>
      </c>
      <c r="C1246" s="21" t="s">
        <v>1072</v>
      </c>
      <c r="D1246" s="21" t="s">
        <v>1073</v>
      </c>
      <c r="E1246" s="21" t="s">
        <v>1074</v>
      </c>
      <c r="F1246" s="21" t="s">
        <v>49</v>
      </c>
      <c r="G1246" s="21" t="s">
        <v>238</v>
      </c>
      <c r="H1246" s="21" t="s">
        <v>190</v>
      </c>
      <c r="I1246" s="26">
        <v>20</v>
      </c>
      <c r="J1246" s="26">
        <v>240</v>
      </c>
      <c r="K1246" s="21" t="s">
        <v>52</v>
      </c>
      <c r="L1246" s="27">
        <v>3768</v>
      </c>
      <c r="M1246" s="21"/>
      <c r="N1246" s="21"/>
      <c r="O1246" s="21" t="s">
        <v>2367</v>
      </c>
      <c r="P1246" s="21" t="s">
        <v>54</v>
      </c>
      <c r="Q1246" s="28">
        <v>46086</v>
      </c>
      <c r="R1246" s="29">
        <v>46085.6202662037</v>
      </c>
      <c r="S1246" s="21" t="s">
        <v>1076</v>
      </c>
      <c r="T1246" s="21"/>
      <c r="U1246" s="21" t="s">
        <v>1077</v>
      </c>
      <c r="V1246" s="29">
        <v>46085.6202199074</v>
      </c>
      <c r="W1246">
        <f>VLOOKUP(H1246,物料編碼!A:B,2,0)</f>
        <v>1300609001</v>
      </c>
      <c r="X1246">
        <v>1300609</v>
      </c>
      <c r="Y1246" t="str">
        <f>VLOOKUP(X1246,物料編碼!D:G,4,0)</f>
        <v>去皮上腿肉</v>
      </c>
      <c r="Z1246" t="str">
        <f>VLOOKUP(C1246,客戶屬性1!A:C,2,0)</f>
        <v>昭楠贸易有限公司</v>
      </c>
      <c r="AA1246">
        <f>IF(COUNTIF($O$1:O1246,O1246)=1,L1246,0)</f>
        <v>3768</v>
      </c>
    </row>
    <row r="1247" customHeight="1" spans="1:27">
      <c r="A1247" s="21" t="s">
        <v>2368</v>
      </c>
      <c r="B1247" s="21" t="s">
        <v>45</v>
      </c>
      <c r="C1247" s="21" t="s">
        <v>2369</v>
      </c>
      <c r="D1247" s="21" t="s">
        <v>2370</v>
      </c>
      <c r="E1247" s="21" t="s">
        <v>2371</v>
      </c>
      <c r="F1247" s="21" t="s">
        <v>49</v>
      </c>
      <c r="G1247" s="21" t="s">
        <v>50</v>
      </c>
      <c r="H1247" s="21" t="s">
        <v>190</v>
      </c>
      <c r="I1247" s="26">
        <v>2</v>
      </c>
      <c r="J1247" s="26">
        <v>24</v>
      </c>
      <c r="K1247" s="21" t="s">
        <v>52</v>
      </c>
      <c r="L1247" s="27">
        <v>376.8</v>
      </c>
      <c r="M1247" s="21"/>
      <c r="N1247" s="21"/>
      <c r="O1247" s="21" t="s">
        <v>2372</v>
      </c>
      <c r="P1247" s="21" t="s">
        <v>54</v>
      </c>
      <c r="Q1247" s="28">
        <v>46085</v>
      </c>
      <c r="R1247" s="29">
        <v>46084.7085532407</v>
      </c>
      <c r="S1247" s="21" t="s">
        <v>2373</v>
      </c>
      <c r="T1247" s="21"/>
      <c r="U1247" s="21" t="s">
        <v>2371</v>
      </c>
      <c r="V1247" s="29">
        <v>46084.7084837963</v>
      </c>
      <c r="W1247">
        <f>VLOOKUP(H1247,物料編碼!A:B,2,0)</f>
        <v>1300609001</v>
      </c>
      <c r="X1247">
        <v>1300609</v>
      </c>
      <c r="Y1247" t="str">
        <f>VLOOKUP(X1247,物料編碼!D:G,4,0)</f>
        <v>去皮上腿肉</v>
      </c>
      <c r="Z1247" t="str">
        <f>VLOOKUP(C1247,客戶屬性1!A:C,2,0)</f>
        <v>德丰冻肉食品有限公司</v>
      </c>
      <c r="AA1247">
        <f>IF(COUNTIF($O$1:O1247,O1247)=1,L1247,0)</f>
        <v>376.8</v>
      </c>
    </row>
    <row r="1248" customHeight="1" spans="1:27">
      <c r="A1248" s="21" t="s">
        <v>2374</v>
      </c>
      <c r="B1248" s="21" t="s">
        <v>45</v>
      </c>
      <c r="C1248" s="21" t="s">
        <v>2369</v>
      </c>
      <c r="D1248" s="21" t="s">
        <v>2370</v>
      </c>
      <c r="E1248" s="21" t="s">
        <v>2371</v>
      </c>
      <c r="F1248" s="21" t="s">
        <v>49</v>
      </c>
      <c r="G1248" s="21" t="s">
        <v>50</v>
      </c>
      <c r="H1248" s="21" t="s">
        <v>190</v>
      </c>
      <c r="I1248" s="26">
        <v>5</v>
      </c>
      <c r="J1248" s="26">
        <v>60</v>
      </c>
      <c r="K1248" s="21" t="s">
        <v>52</v>
      </c>
      <c r="L1248" s="27">
        <v>942</v>
      </c>
      <c r="M1248" s="21"/>
      <c r="N1248" s="21"/>
      <c r="O1248" s="21" t="s">
        <v>2375</v>
      </c>
      <c r="P1248" s="21" t="s">
        <v>54</v>
      </c>
      <c r="Q1248" s="28">
        <v>46085</v>
      </c>
      <c r="R1248" s="29">
        <v>46084.7023611111</v>
      </c>
      <c r="S1248" s="21" t="s">
        <v>2373</v>
      </c>
      <c r="T1248" s="21"/>
      <c r="U1248" s="21" t="s">
        <v>2371</v>
      </c>
      <c r="V1248" s="29">
        <v>46084.7023032407</v>
      </c>
      <c r="W1248">
        <f>VLOOKUP(H1248,物料編碼!A:B,2,0)</f>
        <v>1300609001</v>
      </c>
      <c r="X1248">
        <v>1300609</v>
      </c>
      <c r="Y1248" t="str">
        <f>VLOOKUP(X1248,物料編碼!D:G,4,0)</f>
        <v>去皮上腿肉</v>
      </c>
      <c r="Z1248" t="str">
        <f>VLOOKUP(C1248,客戶屬性1!A:C,2,0)</f>
        <v>德丰冻肉食品有限公司</v>
      </c>
      <c r="AA1248">
        <f>IF(COUNTIF($O$1:O1248,O1248)=1,L1248,0)</f>
        <v>942</v>
      </c>
    </row>
    <row r="1249" customHeight="1" spans="1:27">
      <c r="A1249" s="21" t="s">
        <v>2376</v>
      </c>
      <c r="B1249" s="21" t="s">
        <v>45</v>
      </c>
      <c r="C1249" s="21" t="s">
        <v>2377</v>
      </c>
      <c r="D1249" s="21" t="s">
        <v>2378</v>
      </c>
      <c r="E1249" s="21" t="e">
        <v>#N/A</v>
      </c>
      <c r="F1249" s="21" t="s">
        <v>49</v>
      </c>
      <c r="G1249" s="21" t="s">
        <v>129</v>
      </c>
      <c r="H1249" s="21" t="s">
        <v>2379</v>
      </c>
      <c r="I1249" s="26">
        <v>1</v>
      </c>
      <c r="J1249" s="30">
        <v>20</v>
      </c>
      <c r="K1249" s="21" t="s">
        <v>2380</v>
      </c>
      <c r="L1249" s="27">
        <v>580</v>
      </c>
      <c r="M1249" s="21"/>
      <c r="N1249" s="21"/>
      <c r="O1249" s="21"/>
      <c r="P1249" s="21" t="s">
        <v>369</v>
      </c>
      <c r="Q1249" s="28">
        <v>46053</v>
      </c>
      <c r="R1249" s="29">
        <v>46052.3784375</v>
      </c>
      <c r="S1249" s="21" t="s">
        <v>2381</v>
      </c>
      <c r="T1249" s="21"/>
      <c r="U1249" s="21" t="s">
        <v>2378</v>
      </c>
      <c r="V1249" s="29">
        <v>46052.3783796296</v>
      </c>
      <c r="W1249">
        <f>VLOOKUP(H1249,物料編碼!A:B,2,0)</f>
        <v>1310201019</v>
      </c>
      <c r="X1249">
        <v>1310201</v>
      </c>
      <c r="Y1249" t="str">
        <f>VLOOKUP(X1249,物料編碼!D:G,4,0)</f>
        <v>丸類.牛肉丸</v>
      </c>
      <c r="Z1249" t="str">
        <f>VLOOKUP(C1249,客戶屬性1!A:C,2,0)</f>
        <v>德利肉食集团(香港)有限公司</v>
      </c>
      <c r="AA1249">
        <f>IF(COUNTIF($O$1:O1249,O1249)=1,L1249,0)</f>
        <v>0</v>
      </c>
    </row>
    <row r="1250" customHeight="1" spans="1:27">
      <c r="A1250" s="21" t="s">
        <v>2382</v>
      </c>
      <c r="B1250" s="21" t="s">
        <v>45</v>
      </c>
      <c r="C1250" s="21" t="s">
        <v>2383</v>
      </c>
      <c r="D1250" s="21" t="s">
        <v>2384</v>
      </c>
      <c r="E1250" s="21" t="e">
        <v>#N/A</v>
      </c>
      <c r="F1250" s="21" t="s">
        <v>49</v>
      </c>
      <c r="G1250" s="21" t="s">
        <v>174</v>
      </c>
      <c r="H1250" s="21" t="s">
        <v>2385</v>
      </c>
      <c r="I1250" s="26">
        <v>1</v>
      </c>
      <c r="J1250" s="30">
        <v>20</v>
      </c>
      <c r="K1250" s="21" t="s">
        <v>2380</v>
      </c>
      <c r="L1250" s="27">
        <v>580</v>
      </c>
      <c r="M1250" s="21"/>
      <c r="N1250" s="21"/>
      <c r="O1250" s="21"/>
      <c r="P1250" s="21" t="s">
        <v>369</v>
      </c>
      <c r="Q1250" s="28">
        <v>46052</v>
      </c>
      <c r="R1250" s="29">
        <v>46051.759375</v>
      </c>
      <c r="S1250" s="21" t="s">
        <v>2386</v>
      </c>
      <c r="T1250" s="21"/>
      <c r="U1250" s="21" t="s">
        <v>2384</v>
      </c>
      <c r="V1250" s="29">
        <v>46051.7593055556</v>
      </c>
      <c r="W1250">
        <f>VLOOKUP(H1250,物料編碼!A:B,2,0)</f>
        <v>1310201020</v>
      </c>
      <c r="X1250">
        <v>1310201</v>
      </c>
      <c r="Y1250" t="str">
        <f>VLOOKUP(X1250,物料編碼!D:G,4,0)</f>
        <v>丸類.牛肉丸</v>
      </c>
      <c r="Z1250" t="str">
        <f>VLOOKUP(C1250,客戶屬性1!A:C,2,0)</f>
        <v>顶好冰上鲜</v>
      </c>
      <c r="AA1250">
        <f>IF(COUNTIF($O$1:O1250,O1250)=1,L1250,0)</f>
        <v>0</v>
      </c>
    </row>
    <row r="1251" customHeight="1" spans="1:27">
      <c r="A1251" s="21" t="s">
        <v>2387</v>
      </c>
      <c r="B1251" s="21" t="s">
        <v>45</v>
      </c>
      <c r="C1251" s="21" t="s">
        <v>2388</v>
      </c>
      <c r="D1251" s="21" t="s">
        <v>2389</v>
      </c>
      <c r="E1251" s="21" t="e">
        <v>#N/A</v>
      </c>
      <c r="F1251" s="21" t="s">
        <v>49</v>
      </c>
      <c r="G1251" s="21" t="s">
        <v>100</v>
      </c>
      <c r="H1251" s="21" t="s">
        <v>2390</v>
      </c>
      <c r="I1251" s="30">
        <v>10</v>
      </c>
      <c r="J1251" s="30">
        <v>10</v>
      </c>
      <c r="K1251" s="21" t="s">
        <v>2380</v>
      </c>
      <c r="L1251" s="27">
        <v>550</v>
      </c>
      <c r="M1251" s="21"/>
      <c r="N1251" s="21"/>
      <c r="O1251" s="21"/>
      <c r="P1251" s="21" t="s">
        <v>369</v>
      </c>
      <c r="Q1251" s="28">
        <v>46051</v>
      </c>
      <c r="R1251" s="29">
        <v>46051.456412037</v>
      </c>
      <c r="S1251" s="21" t="s">
        <v>2391</v>
      </c>
      <c r="T1251" s="21"/>
      <c r="U1251" s="21" t="s">
        <v>2389</v>
      </c>
      <c r="V1251" s="29">
        <v>46051.4563657407</v>
      </c>
      <c r="W1251">
        <f>VLOOKUP(H1251,物料編碼!A:B,2,0)</f>
        <v>1310401001</v>
      </c>
      <c r="X1251">
        <v>1310401</v>
      </c>
      <c r="Y1251" t="str">
        <f>VLOOKUP(X1251,物料編碼!D:G,4,0)</f>
        <v>凍肉加工品.中國羊肉</v>
      </c>
      <c r="Z1251" t="str">
        <f>VLOOKUP(C1251,客戶屬性1!A:C,2,0)</f>
        <v>有成拓展有限公司</v>
      </c>
      <c r="AA1251">
        <f>IF(COUNTIF($O$1:O1251,O1251)=1,L1251,0)</f>
        <v>0</v>
      </c>
    </row>
    <row r="1252" customHeight="1" spans="1:27">
      <c r="A1252" s="33" t="s">
        <v>2392</v>
      </c>
      <c r="B1252" s="33"/>
      <c r="C1252" s="33" t="e">
        <v>#N/A</v>
      </c>
      <c r="D1252" s="33"/>
      <c r="E1252" s="33" t="e">
        <v>#N/A</v>
      </c>
      <c r="F1252" s="33"/>
      <c r="G1252" s="33"/>
      <c r="H1252" s="33"/>
      <c r="I1252" s="34">
        <v>5887.2</v>
      </c>
      <c r="J1252" s="34">
        <v>85759.4</v>
      </c>
      <c r="K1252" s="33"/>
      <c r="L1252" s="35">
        <v>2232314.03</v>
      </c>
      <c r="M1252" s="33"/>
      <c r="N1252" s="33"/>
      <c r="O1252" s="33"/>
      <c r="P1252" s="33"/>
      <c r="Q1252" s="33"/>
      <c r="R1252" s="33"/>
      <c r="S1252" s="33"/>
      <c r="T1252" s="33"/>
      <c r="U1252" s="33"/>
      <c r="V1252" s="33"/>
      <c r="W1252" t="e">
        <f>VLOOKUP(H1252,物料編碼!A:B,2,0)</f>
        <v>#N/A</v>
      </c>
      <c r="X1252" t="e">
        <v>#N/A</v>
      </c>
      <c r="Y1252" t="e">
        <f>VLOOKUP(X1252,物料編碼!D:G,4,0)</f>
        <v>#N/A</v>
      </c>
      <c r="Z1252" t="e">
        <f>VLOOKUP(C1252,客戶屬性1!A:C,2,0)</f>
        <v>#N/A</v>
      </c>
      <c r="AA1252">
        <f>IF(COUNTIF($O$1:O1252,O1252)=1,L1252,0)</f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5"/>
  <sheetViews>
    <sheetView workbookViewId="0">
      <selection activeCell="F9" sqref="F9"/>
    </sheetView>
  </sheetViews>
  <sheetFormatPr defaultColWidth="9" defaultRowHeight="14.4" outlineLevelCol="7"/>
  <cols>
    <col min="1" max="1" width="27.8981481481481" style="11" customWidth="1"/>
    <col min="2" max="2" width="58.7037037037037" style="11" customWidth="1"/>
    <col min="3" max="3" width="13" style="11" customWidth="1"/>
    <col min="4" max="4" width="8.7962962962963" style="11"/>
    <col min="5" max="5" width="17" style="11" customWidth="1"/>
    <col min="6" max="16384" width="8.7962962962963" style="11"/>
  </cols>
  <sheetData>
    <row r="1" s="11" customFormat="1" ht="19.5" customHeight="1" spans="1:8">
      <c r="A1" s="12" t="s">
        <v>2393</v>
      </c>
      <c r="B1" s="13" t="s">
        <v>2394</v>
      </c>
      <c r="C1" s="14" t="s">
        <v>2395</v>
      </c>
      <c r="E1" s="15" t="s">
        <v>22</v>
      </c>
      <c r="F1" s="15" t="s">
        <v>24</v>
      </c>
    </row>
    <row r="2" s="11" customFormat="1" ht="17.4" spans="1:8">
      <c r="A2" s="16" t="s">
        <v>2396</v>
      </c>
      <c r="B2" s="14" t="s">
        <v>2397</v>
      </c>
      <c r="C2" s="14" t="s">
        <v>2398</v>
      </c>
      <c r="E2" s="17" t="s">
        <v>158</v>
      </c>
      <c r="F2" s="17" t="s">
        <v>160</v>
      </c>
    </row>
    <row r="3" s="11" customFormat="1" ht="17.4" spans="1:8">
      <c r="A3" s="16" t="s">
        <v>2399</v>
      </c>
      <c r="B3" s="14" t="s">
        <v>2400</v>
      </c>
      <c r="C3" s="14" t="s">
        <v>2401</v>
      </c>
      <c r="E3" s="17" t="s">
        <v>72</v>
      </c>
      <c r="F3" s="17" t="s">
        <v>74</v>
      </c>
    </row>
    <row r="4" s="11" customFormat="1" ht="17.4" spans="1:8">
      <c r="A4" s="16" t="s">
        <v>2402</v>
      </c>
      <c r="B4" s="14" t="s">
        <v>2403</v>
      </c>
      <c r="C4" s="14" t="s">
        <v>2401</v>
      </c>
      <c r="E4" s="17" t="s">
        <v>46</v>
      </c>
      <c r="F4" s="17" t="s">
        <v>48</v>
      </c>
    </row>
    <row r="5" s="11" customFormat="1" ht="17.4" spans="1:8">
      <c r="A5" s="16" t="s">
        <v>2404</v>
      </c>
      <c r="B5" s="14" t="s">
        <v>2405</v>
      </c>
      <c r="C5" s="14" t="s">
        <v>2398</v>
      </c>
      <c r="E5" s="17" t="s">
        <v>290</v>
      </c>
      <c r="F5" s="17" t="s">
        <v>292</v>
      </c>
    </row>
    <row r="6" s="11" customFormat="1" ht="17.4" spans="1:8">
      <c r="A6" s="16" t="s">
        <v>187</v>
      </c>
      <c r="B6" s="14" t="s">
        <v>2406</v>
      </c>
      <c r="C6" s="14" t="s">
        <v>2398</v>
      </c>
      <c r="E6" s="17" t="s">
        <v>114</v>
      </c>
      <c r="F6" s="17" t="s">
        <v>116</v>
      </c>
    </row>
    <row r="7" s="11" customFormat="1" ht="17.4" spans="1:8">
      <c r="A7" s="16" t="s">
        <v>2407</v>
      </c>
      <c r="B7" s="14" t="s">
        <v>2408</v>
      </c>
      <c r="C7" s="14" t="s">
        <v>2409</v>
      </c>
      <c r="E7" s="17" t="s">
        <v>126</v>
      </c>
      <c r="F7" s="17" t="s">
        <v>128</v>
      </c>
    </row>
    <row r="8" s="11" customFormat="1" ht="17.4" spans="1:8">
      <c r="A8" s="16" t="s">
        <v>2410</v>
      </c>
      <c r="B8" s="14" t="s">
        <v>2411</v>
      </c>
      <c r="C8" s="14" t="s">
        <v>2412</v>
      </c>
      <c r="E8" s="17" t="s">
        <v>197</v>
      </c>
      <c r="F8" s="17" t="s">
        <v>199</v>
      </c>
    </row>
    <row r="9" s="11" customFormat="1" ht="17.4" spans="1:8">
      <c r="A9" s="16" t="s">
        <v>1425</v>
      </c>
      <c r="B9" s="14" t="s">
        <v>2413</v>
      </c>
      <c r="C9" s="14" t="s">
        <v>2398</v>
      </c>
      <c r="E9" s="17" t="s">
        <v>216</v>
      </c>
      <c r="F9" s="17" t="s">
        <v>218</v>
      </c>
    </row>
    <row r="10" s="11" customFormat="1" ht="17.4" spans="1:8">
      <c r="A10" s="16" t="s">
        <v>2414</v>
      </c>
      <c r="B10" s="14" t="s">
        <v>2415</v>
      </c>
      <c r="C10" s="14" t="s">
        <v>2398</v>
      </c>
      <c r="E10" s="17" t="s">
        <v>105</v>
      </c>
      <c r="F10" s="17" t="s">
        <v>107</v>
      </c>
    </row>
    <row r="11" s="11" customFormat="1" ht="17.4" spans="1:8">
      <c r="A11" s="16" t="s">
        <v>2416</v>
      </c>
      <c r="B11" s="14" t="s">
        <v>2417</v>
      </c>
      <c r="C11" s="14" t="s">
        <v>2409</v>
      </c>
      <c r="E11" s="17" t="s">
        <v>187</v>
      </c>
      <c r="F11" s="17" t="s">
        <v>189</v>
      </c>
      <c r="H11" s="11">
        <v>1</v>
      </c>
    </row>
    <row r="12" s="11" customFormat="1" ht="17.4" spans="1:8">
      <c r="A12" s="16" t="s">
        <v>2418</v>
      </c>
      <c r="B12" s="14" t="s">
        <v>2419</v>
      </c>
      <c r="C12" s="14" t="s">
        <v>2398</v>
      </c>
      <c r="E12" s="17" t="s">
        <v>141</v>
      </c>
      <c r="F12" s="17" t="s">
        <v>142</v>
      </c>
    </row>
    <row r="13" s="11" customFormat="1" ht="17.4" spans="1:8">
      <c r="A13" s="16" t="s">
        <v>2420</v>
      </c>
      <c r="B13" s="14" t="s">
        <v>2421</v>
      </c>
      <c r="C13" s="14" t="s">
        <v>2398</v>
      </c>
      <c r="E13" s="17" t="s">
        <v>644</v>
      </c>
      <c r="F13" s="17" t="s">
        <v>646</v>
      </c>
    </row>
    <row r="14" s="11" customFormat="1" ht="17.4" spans="1:8">
      <c r="A14" s="16" t="s">
        <v>465</v>
      </c>
      <c r="B14" s="14" t="s">
        <v>2422</v>
      </c>
      <c r="C14" s="14" t="s">
        <v>2398</v>
      </c>
      <c r="E14" s="17" t="s">
        <v>682</v>
      </c>
      <c r="F14" s="17" t="s">
        <v>684</v>
      </c>
    </row>
    <row r="15" s="11" customFormat="1" ht="17.4" spans="1:8">
      <c r="A15" s="16" t="s">
        <v>2423</v>
      </c>
      <c r="B15" s="14" t="s">
        <v>2424</v>
      </c>
      <c r="C15" s="14" t="s">
        <v>2398</v>
      </c>
      <c r="E15" s="17" t="s">
        <v>390</v>
      </c>
      <c r="F15" s="17" t="s">
        <v>392</v>
      </c>
    </row>
    <row r="16" s="11" customFormat="1" ht="17.4" spans="1:8">
      <c r="A16" s="16" t="s">
        <v>2425</v>
      </c>
      <c r="B16" s="14" t="s">
        <v>2426</v>
      </c>
      <c r="C16" s="14" t="s">
        <v>2398</v>
      </c>
      <c r="E16" s="17" t="s">
        <v>133</v>
      </c>
      <c r="F16" s="17" t="s">
        <v>135</v>
      </c>
    </row>
    <row r="17" s="11" customFormat="1" ht="17.4" spans="1:6">
      <c r="A17" s="16" t="s">
        <v>2427</v>
      </c>
      <c r="B17" s="14" t="s">
        <v>2428</v>
      </c>
      <c r="C17" s="14" t="s">
        <v>2398</v>
      </c>
      <c r="E17" s="17" t="s">
        <v>65</v>
      </c>
      <c r="F17" s="17" t="s">
        <v>67</v>
      </c>
    </row>
    <row r="18" s="11" customFormat="1" ht="17.4" spans="1:6">
      <c r="A18" s="16" t="s">
        <v>2429</v>
      </c>
      <c r="B18" s="14" t="s">
        <v>2430</v>
      </c>
      <c r="C18" s="14" t="s">
        <v>2398</v>
      </c>
      <c r="E18" s="17" t="s">
        <v>57</v>
      </c>
      <c r="F18" s="17" t="s">
        <v>59</v>
      </c>
    </row>
    <row r="19" s="11" customFormat="1" ht="17.4" spans="1:6">
      <c r="A19" s="16" t="s">
        <v>216</v>
      </c>
      <c r="B19" s="14" t="s">
        <v>2431</v>
      </c>
      <c r="C19" s="14" t="s">
        <v>2432</v>
      </c>
      <c r="E19" s="17" t="s">
        <v>171</v>
      </c>
      <c r="F19" s="17" t="s">
        <v>173</v>
      </c>
    </row>
    <row r="20" s="11" customFormat="1" ht="17.4" spans="1:6">
      <c r="A20" s="16" t="s">
        <v>457</v>
      </c>
      <c r="B20" s="14" t="s">
        <v>2433</v>
      </c>
      <c r="C20" s="14" t="s">
        <v>2398</v>
      </c>
      <c r="E20" s="17" t="s">
        <v>767</v>
      </c>
      <c r="F20" s="17" t="s">
        <v>769</v>
      </c>
    </row>
    <row r="21" s="11" customFormat="1" ht="17.4" spans="1:6">
      <c r="A21" s="16" t="s">
        <v>2434</v>
      </c>
      <c r="B21" s="14" t="s">
        <v>2435</v>
      </c>
      <c r="C21" s="14" t="s">
        <v>2398</v>
      </c>
      <c r="E21" s="17" t="s">
        <v>776</v>
      </c>
      <c r="F21" s="17" t="s">
        <v>778</v>
      </c>
    </row>
    <row r="22" s="11" customFormat="1" ht="17.4" spans="1:6">
      <c r="A22" s="16" t="s">
        <v>2436</v>
      </c>
      <c r="B22" s="14" t="s">
        <v>2437</v>
      </c>
      <c r="C22" s="14" t="s">
        <v>2398</v>
      </c>
      <c r="E22" s="17" t="s">
        <v>538</v>
      </c>
      <c r="F22" s="17" t="s">
        <v>540</v>
      </c>
    </row>
    <row r="23" s="11" customFormat="1" ht="17.4" spans="1:6">
      <c r="A23" s="16" t="s">
        <v>2438</v>
      </c>
      <c r="B23" s="14" t="s">
        <v>2439</v>
      </c>
      <c r="C23" s="14" t="s">
        <v>2398</v>
      </c>
      <c r="E23" s="17" t="s">
        <v>825</v>
      </c>
      <c r="F23" s="17" t="s">
        <v>827</v>
      </c>
    </row>
    <row r="24" s="11" customFormat="1" ht="17.4" spans="1:6">
      <c r="A24" s="16" t="s">
        <v>1372</v>
      </c>
      <c r="B24" s="14" t="s">
        <v>2440</v>
      </c>
      <c r="C24" s="14" t="s">
        <v>2398</v>
      </c>
      <c r="E24" s="17" t="s">
        <v>383</v>
      </c>
      <c r="F24" s="17" t="s">
        <v>385</v>
      </c>
    </row>
    <row r="25" s="11" customFormat="1" ht="17.4" spans="1:6">
      <c r="A25" s="16" t="s">
        <v>2441</v>
      </c>
      <c r="B25" s="14" t="s">
        <v>2442</v>
      </c>
      <c r="C25" s="14" t="s">
        <v>2398</v>
      </c>
      <c r="E25" s="17" t="s">
        <v>858</v>
      </c>
      <c r="F25" s="17" t="s">
        <v>860</v>
      </c>
    </row>
    <row r="26" s="11" customFormat="1" ht="17.4" spans="1:6">
      <c r="A26" s="16" t="s">
        <v>1583</v>
      </c>
      <c r="B26" s="14" t="s">
        <v>2443</v>
      </c>
      <c r="C26" s="14" t="s">
        <v>2398</v>
      </c>
      <c r="E26" s="17" t="s">
        <v>668</v>
      </c>
      <c r="F26" s="17" t="s">
        <v>670</v>
      </c>
    </row>
    <row r="27" s="11" customFormat="1" ht="17.4" spans="1:6">
      <c r="A27" s="16" t="s">
        <v>2444</v>
      </c>
      <c r="B27" s="14" t="s">
        <v>2445</v>
      </c>
      <c r="C27" s="14" t="s">
        <v>2401</v>
      </c>
      <c r="E27" s="17" t="s">
        <v>893</v>
      </c>
      <c r="F27" s="17" t="s">
        <v>895</v>
      </c>
    </row>
    <row r="28" s="11" customFormat="1" ht="17.4" spans="1:6">
      <c r="A28" s="16" t="s">
        <v>2446</v>
      </c>
      <c r="B28" s="14" t="s">
        <v>2447</v>
      </c>
      <c r="C28" s="14" t="s">
        <v>2398</v>
      </c>
      <c r="E28" s="17" t="s">
        <v>235</v>
      </c>
      <c r="F28" s="17" t="s">
        <v>237</v>
      </c>
    </row>
    <row r="29" s="11" customFormat="1" ht="17.4" spans="1:6">
      <c r="A29" s="16" t="s">
        <v>2448</v>
      </c>
      <c r="B29" s="14" t="s">
        <v>2449</v>
      </c>
      <c r="C29" s="14" t="s">
        <v>2450</v>
      </c>
      <c r="E29" s="17" t="s">
        <v>304</v>
      </c>
      <c r="F29" s="17" t="s">
        <v>306</v>
      </c>
    </row>
    <row r="30" s="11" customFormat="1" ht="17.4" spans="1:6">
      <c r="A30" s="16" t="s">
        <v>2451</v>
      </c>
      <c r="B30" s="14" t="s">
        <v>2452</v>
      </c>
      <c r="C30" s="14" t="s">
        <v>2401</v>
      </c>
      <c r="E30" s="17" t="s">
        <v>97</v>
      </c>
      <c r="F30" s="17" t="s">
        <v>99</v>
      </c>
    </row>
    <row r="31" s="11" customFormat="1" ht="17.4" spans="1:6">
      <c r="A31" s="16" t="s">
        <v>105</v>
      </c>
      <c r="B31" s="14" t="s">
        <v>2453</v>
      </c>
      <c r="C31" s="14" t="s">
        <v>2398</v>
      </c>
      <c r="E31" s="17" t="s">
        <v>1032</v>
      </c>
      <c r="F31" s="17" t="s">
        <v>1034</v>
      </c>
    </row>
    <row r="32" s="11" customFormat="1" ht="17.4" spans="1:6">
      <c r="A32" s="16" t="s">
        <v>2454</v>
      </c>
      <c r="B32" s="14" t="s">
        <v>2455</v>
      </c>
      <c r="C32" s="14" t="s">
        <v>2401</v>
      </c>
      <c r="E32" s="17" t="s">
        <v>365</v>
      </c>
      <c r="F32" s="17" t="s">
        <v>367</v>
      </c>
    </row>
    <row r="33" s="11" customFormat="1" ht="17.4" spans="1:6">
      <c r="A33" s="16" t="s">
        <v>226</v>
      </c>
      <c r="B33" s="14" t="s">
        <v>2456</v>
      </c>
      <c r="C33" s="14" t="s">
        <v>2398</v>
      </c>
      <c r="E33" s="17" t="s">
        <v>1064</v>
      </c>
      <c r="F33" s="17" t="s">
        <v>1066</v>
      </c>
    </row>
    <row r="34" s="11" customFormat="1" ht="17.4" spans="1:6">
      <c r="A34" s="16" t="s">
        <v>158</v>
      </c>
      <c r="B34" s="14" t="s">
        <v>2457</v>
      </c>
      <c r="C34" s="14" t="s">
        <v>2398</v>
      </c>
      <c r="E34" s="17" t="s">
        <v>1072</v>
      </c>
      <c r="F34" s="17" t="s">
        <v>1074</v>
      </c>
    </row>
    <row r="35" s="11" customFormat="1" ht="17.4" spans="1:6">
      <c r="A35" s="16" t="s">
        <v>2458</v>
      </c>
      <c r="B35" s="14" t="s">
        <v>2459</v>
      </c>
      <c r="C35" s="14" t="s">
        <v>2409</v>
      </c>
      <c r="E35" s="17" t="s">
        <v>86</v>
      </c>
      <c r="F35" s="17" t="s">
        <v>88</v>
      </c>
    </row>
    <row r="36" s="11" customFormat="1" ht="17.4" spans="1:6">
      <c r="A36" s="16" t="s">
        <v>2460</v>
      </c>
      <c r="B36" s="14" t="s">
        <v>2461</v>
      </c>
      <c r="C36" s="14" t="s">
        <v>2398</v>
      </c>
      <c r="E36" s="17" t="s">
        <v>1089</v>
      </c>
      <c r="F36" s="17" t="s">
        <v>1091</v>
      </c>
    </row>
    <row r="37" s="11" customFormat="1" ht="17.4" spans="1:6">
      <c r="A37" s="16" t="s">
        <v>151</v>
      </c>
      <c r="B37" s="14" t="s">
        <v>152</v>
      </c>
      <c r="C37" s="14" t="s">
        <v>2432</v>
      </c>
      <c r="E37" s="17" t="s">
        <v>1107</v>
      </c>
      <c r="F37" s="17" t="s">
        <v>1109</v>
      </c>
    </row>
    <row r="38" s="11" customFormat="1" ht="17.4" spans="1:6">
      <c r="A38" s="16" t="s">
        <v>2462</v>
      </c>
      <c r="B38" s="14" t="s">
        <v>2463</v>
      </c>
      <c r="C38" s="14" t="s">
        <v>2398</v>
      </c>
      <c r="E38" s="17" t="s">
        <v>1208</v>
      </c>
      <c r="F38" s="17" t="s">
        <v>1210</v>
      </c>
    </row>
    <row r="39" s="11" customFormat="1" ht="17.4" spans="1:6">
      <c r="A39" s="16" t="s">
        <v>2464</v>
      </c>
      <c r="B39" s="14" t="s">
        <v>2465</v>
      </c>
      <c r="C39" s="14" t="s">
        <v>2398</v>
      </c>
      <c r="E39" s="17" t="s">
        <v>331</v>
      </c>
      <c r="F39" s="17" t="s">
        <v>333</v>
      </c>
    </row>
    <row r="40" s="11" customFormat="1" ht="17.4" spans="1:6">
      <c r="A40" s="16" t="s">
        <v>2466</v>
      </c>
      <c r="B40" s="14" t="s">
        <v>2467</v>
      </c>
      <c r="C40" s="14" t="s">
        <v>2412</v>
      </c>
      <c r="E40" s="17" t="s">
        <v>1308</v>
      </c>
      <c r="F40" s="17" t="s">
        <v>1310</v>
      </c>
    </row>
    <row r="41" s="11" customFormat="1" ht="17.4" spans="1:6">
      <c r="A41" s="16" t="s">
        <v>2468</v>
      </c>
      <c r="B41" s="14" t="s">
        <v>2469</v>
      </c>
      <c r="C41" s="14" t="s">
        <v>2412</v>
      </c>
      <c r="E41" s="17" t="s">
        <v>1328</v>
      </c>
      <c r="F41" s="17" t="s">
        <v>1330</v>
      </c>
    </row>
    <row r="42" s="11" customFormat="1" ht="17.4" spans="1:6">
      <c r="A42" s="16" t="s">
        <v>2470</v>
      </c>
      <c r="B42" s="14" t="s">
        <v>2471</v>
      </c>
      <c r="C42" s="14" t="s">
        <v>2472</v>
      </c>
      <c r="E42" s="17" t="s">
        <v>1334</v>
      </c>
      <c r="F42" s="17" t="s">
        <v>1336</v>
      </c>
    </row>
    <row r="43" s="11" customFormat="1" ht="17.4" spans="1:6">
      <c r="A43" s="16" t="s">
        <v>2473</v>
      </c>
      <c r="B43" s="14" t="s">
        <v>2474</v>
      </c>
      <c r="C43" s="14" t="s">
        <v>2432</v>
      </c>
      <c r="E43" s="17" t="s">
        <v>1372</v>
      </c>
      <c r="F43" s="17" t="s">
        <v>1374</v>
      </c>
    </row>
    <row r="44" s="11" customFormat="1" ht="17.4" spans="1:6">
      <c r="A44" s="16" t="s">
        <v>2475</v>
      </c>
      <c r="B44" s="14" t="s">
        <v>2476</v>
      </c>
      <c r="C44" s="14" t="s">
        <v>2412</v>
      </c>
      <c r="E44" s="17" t="s">
        <v>1380</v>
      </c>
      <c r="F44" s="17" t="s">
        <v>1382</v>
      </c>
    </row>
    <row r="45" s="11" customFormat="1" ht="17.4" spans="1:6">
      <c r="A45" s="16" t="s">
        <v>2477</v>
      </c>
      <c r="B45" s="14" t="s">
        <v>2478</v>
      </c>
      <c r="C45" s="14" t="s">
        <v>2479</v>
      </c>
      <c r="E45" s="17" t="s">
        <v>1386</v>
      </c>
      <c r="F45" s="17" t="s">
        <v>1388</v>
      </c>
    </row>
    <row r="46" s="11" customFormat="1" ht="17.4" spans="1:6">
      <c r="A46" s="16" t="s">
        <v>2480</v>
      </c>
      <c r="B46" s="14" t="s">
        <v>2481</v>
      </c>
      <c r="C46" s="14" t="s">
        <v>2479</v>
      </c>
      <c r="E46" s="17" t="s">
        <v>1401</v>
      </c>
      <c r="F46" s="17" t="s">
        <v>1403</v>
      </c>
    </row>
    <row r="47" s="11" customFormat="1" ht="17.4" spans="1:6">
      <c r="A47" s="16" t="s">
        <v>2482</v>
      </c>
      <c r="B47" s="14" t="s">
        <v>2483</v>
      </c>
      <c r="C47" s="14" t="s">
        <v>2479</v>
      </c>
      <c r="E47" s="17" t="s">
        <v>1425</v>
      </c>
      <c r="F47" s="17" t="s">
        <v>1066</v>
      </c>
    </row>
    <row r="48" s="11" customFormat="1" ht="17.4" spans="1:6">
      <c r="A48" s="16" t="s">
        <v>2484</v>
      </c>
      <c r="B48" s="14" t="s">
        <v>2485</v>
      </c>
      <c r="C48" s="14" t="s">
        <v>2479</v>
      </c>
      <c r="E48" s="17" t="s">
        <v>1460</v>
      </c>
      <c r="F48" s="17" t="s">
        <v>1462</v>
      </c>
    </row>
    <row r="49" s="11" customFormat="1" ht="17.4" spans="1:6">
      <c r="A49" s="16" t="s">
        <v>2486</v>
      </c>
      <c r="B49" s="14" t="s">
        <v>2487</v>
      </c>
      <c r="C49" s="14" t="s">
        <v>2479</v>
      </c>
      <c r="E49" s="17" t="s">
        <v>1218</v>
      </c>
      <c r="F49" s="17" t="s">
        <v>1220</v>
      </c>
    </row>
    <row r="50" s="11" customFormat="1" ht="17.4" spans="1:6">
      <c r="A50" s="16" t="s">
        <v>2488</v>
      </c>
      <c r="B50" s="14" t="s">
        <v>2489</v>
      </c>
      <c r="C50" s="14" t="s">
        <v>2479</v>
      </c>
      <c r="E50" s="17" t="s">
        <v>1474</v>
      </c>
      <c r="F50" s="17" t="s">
        <v>1476</v>
      </c>
    </row>
    <row r="51" s="11" customFormat="1" ht="17.4" spans="1:6">
      <c r="A51" s="16" t="s">
        <v>2490</v>
      </c>
      <c r="B51" s="14" t="s">
        <v>2491</v>
      </c>
      <c r="C51" s="14" t="s">
        <v>2479</v>
      </c>
      <c r="E51" s="17" t="s">
        <v>1482</v>
      </c>
      <c r="F51" s="17" t="s">
        <v>1484</v>
      </c>
    </row>
    <row r="52" s="11" customFormat="1" ht="17.4" spans="1:6">
      <c r="A52" s="16" t="s">
        <v>2492</v>
      </c>
      <c r="B52" s="14" t="s">
        <v>2493</v>
      </c>
      <c r="C52" s="14" t="s">
        <v>2479</v>
      </c>
      <c r="E52" s="17" t="s">
        <v>1583</v>
      </c>
      <c r="F52" s="17" t="s">
        <v>1585</v>
      </c>
    </row>
    <row r="53" s="11" customFormat="1" ht="17.4" spans="1:6">
      <c r="A53" s="16" t="s">
        <v>2494</v>
      </c>
      <c r="B53" s="14" t="s">
        <v>2495</v>
      </c>
      <c r="C53" s="14" t="s">
        <v>2412</v>
      </c>
      <c r="E53" s="17" t="s">
        <v>457</v>
      </c>
      <c r="F53" s="17" t="s">
        <v>459</v>
      </c>
    </row>
    <row r="54" s="11" customFormat="1" ht="17.4" spans="1:6">
      <c r="A54" s="16" t="s">
        <v>2496</v>
      </c>
      <c r="B54" s="14" t="s">
        <v>2497</v>
      </c>
      <c r="C54" s="14" t="s">
        <v>2498</v>
      </c>
      <c r="E54" s="17" t="s">
        <v>1919</v>
      </c>
      <c r="F54" s="17" t="s">
        <v>1921</v>
      </c>
    </row>
    <row r="55" s="11" customFormat="1" ht="17.4" spans="1:6">
      <c r="A55" s="16" t="s">
        <v>2499</v>
      </c>
      <c r="B55" s="14" t="s">
        <v>2500</v>
      </c>
      <c r="C55" s="14" t="s">
        <v>2498</v>
      </c>
      <c r="E55" s="17" t="s">
        <v>2036</v>
      </c>
      <c r="F55" s="17" t="s">
        <v>2038</v>
      </c>
    </row>
    <row r="56" s="11" customFormat="1" ht="17.4" spans="1:6">
      <c r="A56" s="16" t="s">
        <v>2501</v>
      </c>
      <c r="B56" s="14" t="s">
        <v>2502</v>
      </c>
      <c r="C56" s="14" t="s">
        <v>2498</v>
      </c>
      <c r="E56" s="17" t="s">
        <v>2106</v>
      </c>
      <c r="F56" s="17" t="s">
        <v>2108</v>
      </c>
    </row>
    <row r="57" s="11" customFormat="1" ht="17.4" spans="1:6">
      <c r="A57" s="16" t="s">
        <v>2503</v>
      </c>
      <c r="B57" s="14" t="s">
        <v>2504</v>
      </c>
      <c r="C57" s="14" t="s">
        <v>2498</v>
      </c>
      <c r="E57" s="17" t="s">
        <v>2192</v>
      </c>
      <c r="F57" s="17" t="s">
        <v>2194</v>
      </c>
    </row>
    <row r="58" s="11" customFormat="1" ht="17.4" spans="1:6">
      <c r="A58" s="16" t="s">
        <v>2505</v>
      </c>
      <c r="B58" s="14" t="s">
        <v>2506</v>
      </c>
      <c r="C58" s="14" t="s">
        <v>2498</v>
      </c>
      <c r="E58" s="17" t="s">
        <v>2301</v>
      </c>
      <c r="F58" s="17" t="s">
        <v>2303</v>
      </c>
    </row>
    <row r="59" s="11" customFormat="1" ht="17.4" spans="1:6">
      <c r="A59" s="16" t="s">
        <v>2507</v>
      </c>
      <c r="B59" s="14" t="s">
        <v>2508</v>
      </c>
      <c r="C59" s="14" t="s">
        <v>2412</v>
      </c>
      <c r="E59" s="17" t="s">
        <v>2369</v>
      </c>
      <c r="F59" s="17" t="s">
        <v>2371</v>
      </c>
    </row>
    <row r="60" s="11" customFormat="1" ht="17.4" spans="1:6">
      <c r="A60" s="16" t="s">
        <v>2509</v>
      </c>
      <c r="B60" s="14" t="s">
        <v>2510</v>
      </c>
      <c r="C60" s="14" t="s">
        <v>2412</v>
      </c>
      <c r="E60" s="17" t="s">
        <v>465</v>
      </c>
      <c r="F60" s="18" t="s">
        <v>467</v>
      </c>
    </row>
    <row r="61" s="11" customFormat="1" ht="17.4" spans="1:6">
      <c r="A61" s="16" t="s">
        <v>2511</v>
      </c>
      <c r="B61" s="14" t="s">
        <v>2512</v>
      </c>
      <c r="C61" s="14" t="s">
        <v>2412</v>
      </c>
      <c r="E61" s="19" t="s">
        <v>151</v>
      </c>
      <c r="F61" s="20" t="s">
        <v>153</v>
      </c>
    </row>
    <row r="62" s="11" customFormat="1" ht="17.4" spans="1:6">
      <c r="A62" s="16" t="s">
        <v>2513</v>
      </c>
      <c r="B62" s="14" t="s">
        <v>2514</v>
      </c>
      <c r="C62" s="14" t="s">
        <v>2412</v>
      </c>
      <c r="E62" s="11" t="s">
        <v>1536</v>
      </c>
      <c r="F62" s="20" t="s">
        <v>1538</v>
      </c>
    </row>
    <row r="63" s="11" customFormat="1" ht="17.4" spans="1:6">
      <c r="A63" s="16" t="s">
        <v>2515</v>
      </c>
      <c r="B63" s="14" t="s">
        <v>2516</v>
      </c>
      <c r="C63" s="14" t="s">
        <v>2412</v>
      </c>
      <c r="E63" s="21" t="s">
        <v>226</v>
      </c>
      <c r="F63" s="21" t="s">
        <v>228</v>
      </c>
    </row>
    <row r="64" s="11" customFormat="1" ht="17.4" spans="1:6">
      <c r="A64" s="16" t="s">
        <v>2517</v>
      </c>
      <c r="B64" s="14" t="s">
        <v>2518</v>
      </c>
      <c r="C64" s="14" t="s">
        <v>2412</v>
      </c>
      <c r="E64" s="21" t="s">
        <v>2198</v>
      </c>
      <c r="F64" s="21" t="s">
        <v>2200</v>
      </c>
    </row>
    <row r="65" s="11" customFormat="1" ht="17.4" spans="1:3">
      <c r="A65" s="16" t="s">
        <v>2519</v>
      </c>
      <c r="B65" s="14" t="s">
        <v>2520</v>
      </c>
      <c r="C65" s="14" t="s">
        <v>2412</v>
      </c>
    </row>
    <row r="66" s="11" customFormat="1" ht="17.4" spans="1:3">
      <c r="A66" s="16" t="s">
        <v>2521</v>
      </c>
      <c r="B66" s="14" t="s">
        <v>2522</v>
      </c>
      <c r="C66" s="14" t="s">
        <v>2412</v>
      </c>
    </row>
    <row r="67" s="11" customFormat="1" ht="17.4" spans="1:3">
      <c r="A67" s="16" t="s">
        <v>2523</v>
      </c>
      <c r="B67" s="14" t="s">
        <v>2524</v>
      </c>
      <c r="C67" s="14" t="s">
        <v>2412</v>
      </c>
    </row>
    <row r="68" s="11" customFormat="1" ht="17.4" spans="1:3">
      <c r="A68" s="16" t="s">
        <v>2525</v>
      </c>
      <c r="B68" s="14" t="s">
        <v>2526</v>
      </c>
      <c r="C68" s="14" t="s">
        <v>2412</v>
      </c>
    </row>
    <row r="69" s="11" customFormat="1" ht="17.4" spans="1:3">
      <c r="A69" s="16" t="s">
        <v>2527</v>
      </c>
      <c r="B69" s="14" t="s">
        <v>2528</v>
      </c>
      <c r="C69" s="14" t="s">
        <v>2432</v>
      </c>
    </row>
    <row r="70" s="11" customFormat="1" ht="17.4" spans="1:3">
      <c r="A70" s="16" t="s">
        <v>2529</v>
      </c>
      <c r="B70" s="14" t="s">
        <v>2530</v>
      </c>
      <c r="C70" s="14" t="s">
        <v>2412</v>
      </c>
    </row>
    <row r="71" s="11" customFormat="1" ht="17.4" spans="1:3">
      <c r="A71" s="16" t="s">
        <v>2531</v>
      </c>
      <c r="B71" s="14" t="s">
        <v>2532</v>
      </c>
      <c r="C71" s="14" t="s">
        <v>2398</v>
      </c>
    </row>
    <row r="72" s="11" customFormat="1" ht="17.4" spans="1:3">
      <c r="A72" s="16" t="s">
        <v>2533</v>
      </c>
      <c r="B72" s="14" t="s">
        <v>2534</v>
      </c>
      <c r="C72" s="14" t="s">
        <v>2412</v>
      </c>
    </row>
    <row r="73" s="11" customFormat="1" ht="17.4" spans="1:3">
      <c r="A73" s="16" t="s">
        <v>2535</v>
      </c>
      <c r="B73" s="14" t="s">
        <v>2536</v>
      </c>
      <c r="C73" s="14" t="s">
        <v>2398</v>
      </c>
    </row>
    <row r="74" s="11" customFormat="1" ht="17.4" spans="1:3">
      <c r="A74" s="16" t="s">
        <v>2537</v>
      </c>
      <c r="B74" s="14" t="s">
        <v>2538</v>
      </c>
      <c r="C74" s="14" t="s">
        <v>2479</v>
      </c>
    </row>
    <row r="75" s="11" customFormat="1" ht="17.4" spans="1:3">
      <c r="A75" s="16" t="s">
        <v>2539</v>
      </c>
      <c r="B75" s="14" t="s">
        <v>2540</v>
      </c>
      <c r="C75" s="14" t="s">
        <v>2432</v>
      </c>
    </row>
    <row r="76" s="11" customFormat="1" ht="17.4" spans="1:3">
      <c r="A76" s="16" t="s">
        <v>2541</v>
      </c>
      <c r="B76" s="14" t="s">
        <v>2542</v>
      </c>
      <c r="C76" s="14" t="s">
        <v>2398</v>
      </c>
    </row>
    <row r="77" s="11" customFormat="1" ht="17.4" spans="1:3">
      <c r="A77" s="16" t="s">
        <v>2543</v>
      </c>
      <c r="B77" s="14" t="s">
        <v>2544</v>
      </c>
      <c r="C77" s="14" t="s">
        <v>2398</v>
      </c>
    </row>
    <row r="78" s="11" customFormat="1" ht="17.4" spans="1:3">
      <c r="A78" s="16" t="s">
        <v>2545</v>
      </c>
      <c r="B78" s="14" t="s">
        <v>2546</v>
      </c>
      <c r="C78" s="14" t="s">
        <v>2412</v>
      </c>
    </row>
    <row r="79" s="11" customFormat="1" ht="17.4" spans="1:3">
      <c r="A79" s="16" t="s">
        <v>2547</v>
      </c>
      <c r="B79" s="14" t="s">
        <v>2548</v>
      </c>
      <c r="C79" s="14" t="s">
        <v>2412</v>
      </c>
    </row>
    <row r="80" s="11" customFormat="1" ht="17.4" spans="1:3">
      <c r="A80" s="16" t="s">
        <v>2549</v>
      </c>
      <c r="B80" s="14" t="s">
        <v>2550</v>
      </c>
      <c r="C80" s="14" t="s">
        <v>2412</v>
      </c>
    </row>
    <row r="81" s="11" customFormat="1" ht="17.4" spans="1:3">
      <c r="A81" s="16" t="s">
        <v>2551</v>
      </c>
      <c r="B81" s="14" t="s">
        <v>2552</v>
      </c>
      <c r="C81" s="14" t="s">
        <v>2412</v>
      </c>
    </row>
    <row r="82" s="11" customFormat="1" ht="17.4" spans="1:3">
      <c r="A82" s="16" t="s">
        <v>2553</v>
      </c>
      <c r="B82" s="14" t="s">
        <v>2554</v>
      </c>
      <c r="C82" s="14" t="s">
        <v>2555</v>
      </c>
    </row>
    <row r="83" s="11" customFormat="1" ht="17.4" spans="1:3">
      <c r="A83" s="16" t="s">
        <v>2556</v>
      </c>
      <c r="B83" s="14" t="s">
        <v>2557</v>
      </c>
      <c r="C83" s="14" t="s">
        <v>2555</v>
      </c>
    </row>
    <row r="84" s="11" customFormat="1" ht="17.4" spans="1:3">
      <c r="A84" s="16" t="s">
        <v>2558</v>
      </c>
      <c r="B84" s="14" t="s">
        <v>2559</v>
      </c>
      <c r="C84" s="14" t="s">
        <v>2472</v>
      </c>
    </row>
    <row r="85" s="11" customFormat="1" ht="17.4" spans="1:3">
      <c r="A85" s="16" t="s">
        <v>2560</v>
      </c>
      <c r="B85" s="14" t="s">
        <v>2561</v>
      </c>
      <c r="C85" s="14" t="s">
        <v>2412</v>
      </c>
    </row>
    <row r="86" s="11" customFormat="1" ht="17.4" spans="1:3">
      <c r="A86" s="16" t="s">
        <v>2562</v>
      </c>
      <c r="B86" s="14" t="s">
        <v>2563</v>
      </c>
      <c r="C86" s="14" t="s">
        <v>2412</v>
      </c>
    </row>
    <row r="87" s="11" customFormat="1" ht="17.4" spans="1:3">
      <c r="A87" s="16" t="s">
        <v>2564</v>
      </c>
      <c r="B87" s="14" t="s">
        <v>2565</v>
      </c>
      <c r="C87" s="14" t="s">
        <v>2555</v>
      </c>
    </row>
    <row r="88" s="11" customFormat="1" ht="17.4" spans="1:3">
      <c r="A88" s="16" t="s">
        <v>2566</v>
      </c>
      <c r="B88" s="14" t="s">
        <v>2567</v>
      </c>
      <c r="C88" s="14" t="s">
        <v>2412</v>
      </c>
    </row>
    <row r="89" s="11" customFormat="1" ht="17.4" spans="1:3">
      <c r="A89" s="16" t="s">
        <v>2568</v>
      </c>
      <c r="B89" s="14" t="s">
        <v>2569</v>
      </c>
      <c r="C89" s="14" t="s">
        <v>2472</v>
      </c>
    </row>
    <row r="90" s="11" customFormat="1" ht="17.4" spans="1:3">
      <c r="A90" s="16" t="s">
        <v>2570</v>
      </c>
      <c r="B90" s="14" t="s">
        <v>2571</v>
      </c>
      <c r="C90" s="14" t="s">
        <v>2412</v>
      </c>
    </row>
    <row r="91" s="11" customFormat="1" ht="17.4" spans="1:3">
      <c r="A91" s="16" t="s">
        <v>2572</v>
      </c>
      <c r="B91" s="14" t="s">
        <v>2573</v>
      </c>
      <c r="C91" s="14" t="s">
        <v>2412</v>
      </c>
    </row>
    <row r="92" s="11" customFormat="1" ht="17.4" spans="1:3">
      <c r="A92" s="16" t="s">
        <v>304</v>
      </c>
      <c r="B92" s="14" t="s">
        <v>2574</v>
      </c>
      <c r="C92" s="14" t="s">
        <v>2432</v>
      </c>
    </row>
    <row r="93" s="11" customFormat="1" ht="17.4" spans="1:3">
      <c r="A93" s="16" t="s">
        <v>2575</v>
      </c>
      <c r="B93" s="14" t="s">
        <v>2576</v>
      </c>
      <c r="C93" s="14" t="s">
        <v>2398</v>
      </c>
    </row>
    <row r="94" s="11" customFormat="1" ht="17.4" spans="1:3">
      <c r="A94" s="16" t="s">
        <v>2577</v>
      </c>
      <c r="B94" s="14" t="s">
        <v>2578</v>
      </c>
      <c r="C94" s="14" t="s">
        <v>2555</v>
      </c>
    </row>
    <row r="95" s="11" customFormat="1" ht="17.4" spans="1:3">
      <c r="A95" s="16" t="s">
        <v>1401</v>
      </c>
      <c r="B95" s="14" t="s">
        <v>2579</v>
      </c>
      <c r="C95" s="14" t="s">
        <v>2401</v>
      </c>
    </row>
    <row r="96" s="11" customFormat="1" ht="17.4" spans="1:3">
      <c r="A96" s="16" t="s">
        <v>2580</v>
      </c>
      <c r="B96" s="14" t="s">
        <v>2581</v>
      </c>
      <c r="C96" s="14" t="s">
        <v>2398</v>
      </c>
    </row>
    <row r="97" s="11" customFormat="1" ht="17.4" spans="1:3">
      <c r="A97" s="16" t="s">
        <v>1218</v>
      </c>
      <c r="B97" s="14" t="s">
        <v>2582</v>
      </c>
      <c r="C97" s="14" t="s">
        <v>2398</v>
      </c>
    </row>
    <row r="98" s="11" customFormat="1" ht="17.4" spans="1:3">
      <c r="A98" s="16" t="s">
        <v>1474</v>
      </c>
      <c r="B98" s="14" t="s">
        <v>2583</v>
      </c>
      <c r="C98" s="14" t="s">
        <v>2401</v>
      </c>
    </row>
    <row r="99" s="11" customFormat="1" ht="17.4" spans="1:3">
      <c r="A99" s="16" t="s">
        <v>2584</v>
      </c>
      <c r="B99" s="14" t="s">
        <v>2585</v>
      </c>
      <c r="C99" s="14" t="s">
        <v>2398</v>
      </c>
    </row>
    <row r="100" s="11" customFormat="1" ht="17.4" spans="1:3">
      <c r="A100" s="16" t="s">
        <v>2586</v>
      </c>
      <c r="B100" s="14" t="s">
        <v>2587</v>
      </c>
      <c r="C100" s="14" t="s">
        <v>2398</v>
      </c>
    </row>
    <row r="101" s="11" customFormat="1" ht="17.4" spans="1:3">
      <c r="A101" s="16" t="s">
        <v>2588</v>
      </c>
      <c r="B101" s="14" t="s">
        <v>2589</v>
      </c>
      <c r="C101" s="14" t="s">
        <v>2398</v>
      </c>
    </row>
    <row r="102" s="11" customFormat="1" ht="17.4" spans="1:3">
      <c r="A102" s="16" t="s">
        <v>2301</v>
      </c>
      <c r="B102" s="14" t="s">
        <v>2590</v>
      </c>
      <c r="C102" s="14" t="s">
        <v>2450</v>
      </c>
    </row>
    <row r="103" s="11" customFormat="1" ht="17.4" spans="1:3">
      <c r="A103" s="16" t="s">
        <v>1107</v>
      </c>
      <c r="B103" s="14" t="s">
        <v>2591</v>
      </c>
      <c r="C103" s="14" t="s">
        <v>2398</v>
      </c>
    </row>
    <row r="104" s="11" customFormat="1" ht="17.4" spans="1:3">
      <c r="A104" s="16" t="s">
        <v>65</v>
      </c>
      <c r="B104" s="14" t="s">
        <v>2592</v>
      </c>
      <c r="C104" s="14" t="s">
        <v>2398</v>
      </c>
    </row>
    <row r="105" s="11" customFormat="1" ht="17.4" spans="1:3">
      <c r="A105" s="16" t="s">
        <v>2593</v>
      </c>
      <c r="B105" s="14" t="s">
        <v>2594</v>
      </c>
      <c r="C105" s="14" t="s">
        <v>2398</v>
      </c>
    </row>
    <row r="106" s="11" customFormat="1" ht="17.4" spans="1:3">
      <c r="A106" s="16" t="s">
        <v>1482</v>
      </c>
      <c r="B106" s="14" t="s">
        <v>2595</v>
      </c>
      <c r="C106" s="14" t="s">
        <v>2409</v>
      </c>
    </row>
    <row r="107" s="11" customFormat="1" ht="17.4" spans="1:3">
      <c r="A107" s="16" t="s">
        <v>1386</v>
      </c>
      <c r="B107" s="14" t="s">
        <v>2596</v>
      </c>
      <c r="C107" s="14" t="s">
        <v>2398</v>
      </c>
    </row>
    <row r="108" s="11" customFormat="1" ht="17.4" spans="1:3">
      <c r="A108" s="16" t="s">
        <v>2597</v>
      </c>
      <c r="B108" s="14" t="s">
        <v>2598</v>
      </c>
      <c r="C108" s="14" t="s">
        <v>2398</v>
      </c>
    </row>
    <row r="109" s="11" customFormat="1" ht="17.4" spans="1:3">
      <c r="A109" s="16" t="s">
        <v>2599</v>
      </c>
      <c r="B109" s="14" t="s">
        <v>2600</v>
      </c>
      <c r="C109" s="14" t="s">
        <v>2398</v>
      </c>
    </row>
    <row r="110" s="11" customFormat="1" ht="17.4" spans="1:3">
      <c r="A110" s="16" t="s">
        <v>1308</v>
      </c>
      <c r="B110" s="14" t="s">
        <v>2601</v>
      </c>
      <c r="C110" s="14" t="s">
        <v>2432</v>
      </c>
    </row>
    <row r="111" s="11" customFormat="1" ht="17.4" spans="1:3">
      <c r="A111" s="16" t="s">
        <v>2602</v>
      </c>
      <c r="B111" s="14" t="s">
        <v>2603</v>
      </c>
      <c r="C111" s="14" t="s">
        <v>2398</v>
      </c>
    </row>
    <row r="112" s="11" customFormat="1" ht="17.4" spans="1:3">
      <c r="A112" s="16" t="s">
        <v>2604</v>
      </c>
      <c r="B112" s="14" t="s">
        <v>2605</v>
      </c>
      <c r="C112" s="14" t="s">
        <v>2398</v>
      </c>
    </row>
    <row r="113" s="11" customFormat="1" ht="17.4" spans="1:3">
      <c r="A113" s="16" t="s">
        <v>1536</v>
      </c>
      <c r="B113" s="14" t="s">
        <v>2606</v>
      </c>
      <c r="C113" s="14" t="s">
        <v>2409</v>
      </c>
    </row>
    <row r="114" s="11" customFormat="1" ht="17.4" spans="1:3">
      <c r="A114" s="16" t="s">
        <v>2607</v>
      </c>
      <c r="B114" s="14" t="s">
        <v>2608</v>
      </c>
      <c r="C114" s="14" t="s">
        <v>2398</v>
      </c>
    </row>
    <row r="115" s="11" customFormat="1" ht="17.4" spans="1:3">
      <c r="A115" s="16" t="s">
        <v>2609</v>
      </c>
      <c r="B115" s="14" t="s">
        <v>2610</v>
      </c>
      <c r="C115" s="14" t="s">
        <v>2398</v>
      </c>
    </row>
    <row r="116" s="11" customFormat="1" ht="17.4" spans="1:3">
      <c r="A116" s="16" t="s">
        <v>2611</v>
      </c>
      <c r="B116" s="14" t="s">
        <v>2612</v>
      </c>
      <c r="C116" s="14" t="s">
        <v>2401</v>
      </c>
    </row>
    <row r="117" s="11" customFormat="1" ht="17.4" spans="1:3">
      <c r="A117" s="16" t="s">
        <v>2613</v>
      </c>
      <c r="B117" s="14" t="s">
        <v>2614</v>
      </c>
      <c r="C117" s="14" t="s">
        <v>2398</v>
      </c>
    </row>
    <row r="118" s="11" customFormat="1" ht="17.4" spans="1:3">
      <c r="A118" s="16" t="s">
        <v>2615</v>
      </c>
      <c r="B118" s="14" t="s">
        <v>2616</v>
      </c>
      <c r="C118" s="14" t="s">
        <v>2398</v>
      </c>
    </row>
    <row r="119" s="11" customFormat="1" ht="17.4" spans="1:3">
      <c r="A119" s="16" t="s">
        <v>1460</v>
      </c>
      <c r="B119" s="14" t="s">
        <v>1461</v>
      </c>
      <c r="C119" s="14" t="s">
        <v>2398</v>
      </c>
    </row>
    <row r="120" s="11" customFormat="1" ht="17.4" spans="1:3">
      <c r="A120" s="16" t="s">
        <v>2617</v>
      </c>
      <c r="B120" s="14" t="s">
        <v>2618</v>
      </c>
      <c r="C120" s="14" t="s">
        <v>2398</v>
      </c>
    </row>
    <row r="121" s="11" customFormat="1" ht="17.4" spans="1:3">
      <c r="A121" s="16" t="s">
        <v>2619</v>
      </c>
      <c r="B121" s="14" t="s">
        <v>2620</v>
      </c>
      <c r="C121" s="14" t="s">
        <v>2398</v>
      </c>
    </row>
    <row r="122" s="11" customFormat="1" ht="17.4" spans="1:3">
      <c r="A122" s="16" t="s">
        <v>2621</v>
      </c>
      <c r="B122" s="14" t="s">
        <v>2622</v>
      </c>
      <c r="C122" s="14" t="s">
        <v>2398</v>
      </c>
    </row>
    <row r="123" s="11" customFormat="1" ht="17.4" spans="1:3">
      <c r="A123" s="16" t="s">
        <v>2623</v>
      </c>
      <c r="B123" s="14" t="s">
        <v>2624</v>
      </c>
      <c r="C123" s="14" t="s">
        <v>2398</v>
      </c>
    </row>
    <row r="124" s="11" customFormat="1" ht="17.4" spans="1:3">
      <c r="A124" s="16" t="s">
        <v>2625</v>
      </c>
      <c r="B124" s="14" t="s">
        <v>2626</v>
      </c>
      <c r="C124" s="14" t="s">
        <v>2398</v>
      </c>
    </row>
    <row r="125" s="11" customFormat="1" ht="17.4" spans="1:3">
      <c r="A125" s="16" t="s">
        <v>1328</v>
      </c>
      <c r="B125" s="14" t="s">
        <v>2627</v>
      </c>
      <c r="C125" s="14" t="s">
        <v>2398</v>
      </c>
    </row>
    <row r="126" s="11" customFormat="1" ht="17.4" spans="1:3">
      <c r="A126" s="16" t="s">
        <v>2628</v>
      </c>
      <c r="B126" s="14" t="s">
        <v>2629</v>
      </c>
      <c r="C126" s="14" t="s">
        <v>2409</v>
      </c>
    </row>
    <row r="127" s="11" customFormat="1" ht="17.4" spans="1:3">
      <c r="A127" s="16" t="s">
        <v>2630</v>
      </c>
      <c r="B127" s="14" t="s">
        <v>2631</v>
      </c>
      <c r="C127" s="14" t="s">
        <v>2398</v>
      </c>
    </row>
    <row r="128" s="11" customFormat="1" ht="17.4" spans="1:3">
      <c r="A128" s="16" t="s">
        <v>1380</v>
      </c>
      <c r="B128" s="14" t="s">
        <v>2632</v>
      </c>
      <c r="C128" s="14" t="s">
        <v>2401</v>
      </c>
    </row>
    <row r="129" s="11" customFormat="1" ht="17.4" spans="1:3">
      <c r="A129" s="16" t="s">
        <v>2106</v>
      </c>
      <c r="B129" s="14" t="s">
        <v>2633</v>
      </c>
      <c r="C129" s="14" t="s">
        <v>2398</v>
      </c>
    </row>
    <row r="130" s="11" customFormat="1" ht="17.4" spans="1:3">
      <c r="A130" s="16" t="s">
        <v>383</v>
      </c>
      <c r="B130" s="14" t="s">
        <v>2634</v>
      </c>
      <c r="C130" s="14" t="s">
        <v>2398</v>
      </c>
    </row>
    <row r="131" s="11" customFormat="1" ht="17.4" spans="1:3">
      <c r="A131" s="16" t="s">
        <v>2635</v>
      </c>
      <c r="B131" s="14" t="s">
        <v>2636</v>
      </c>
      <c r="C131" s="14" t="s">
        <v>2432</v>
      </c>
    </row>
    <row r="132" s="11" customFormat="1" ht="17.4" spans="1:3">
      <c r="A132" s="16" t="s">
        <v>46</v>
      </c>
      <c r="B132" s="14" t="s">
        <v>2637</v>
      </c>
      <c r="C132" s="14" t="s">
        <v>2409</v>
      </c>
    </row>
    <row r="133" s="11" customFormat="1" ht="17.4" spans="1:3">
      <c r="A133" s="16" t="s">
        <v>72</v>
      </c>
      <c r="B133" s="14" t="s">
        <v>2638</v>
      </c>
      <c r="C133" s="14" t="s">
        <v>2432</v>
      </c>
    </row>
    <row r="134" s="11" customFormat="1" ht="17.4" spans="1:3">
      <c r="A134" s="16" t="s">
        <v>644</v>
      </c>
      <c r="B134" s="14" t="s">
        <v>2639</v>
      </c>
      <c r="C134" s="14" t="s">
        <v>2398</v>
      </c>
    </row>
    <row r="135" s="11" customFormat="1" ht="17.4" spans="1:3">
      <c r="A135" s="16" t="s">
        <v>2369</v>
      </c>
      <c r="B135" s="14" t="s">
        <v>2640</v>
      </c>
      <c r="C135" s="14" t="s">
        <v>2398</v>
      </c>
    </row>
    <row r="136" s="11" customFormat="1" ht="17.4" spans="1:3">
      <c r="A136" s="16" t="s">
        <v>2641</v>
      </c>
      <c r="B136" s="14" t="s">
        <v>2642</v>
      </c>
      <c r="C136" s="14" t="s">
        <v>2398</v>
      </c>
    </row>
    <row r="137" s="11" customFormat="1" ht="17.4" spans="1:3">
      <c r="A137" s="16" t="s">
        <v>776</v>
      </c>
      <c r="B137" s="14" t="s">
        <v>2643</v>
      </c>
      <c r="C137" s="14" t="s">
        <v>2398</v>
      </c>
    </row>
    <row r="138" s="11" customFormat="1" ht="17.4" spans="1:3">
      <c r="A138" s="16" t="s">
        <v>2644</v>
      </c>
      <c r="B138" s="14" t="s">
        <v>2645</v>
      </c>
      <c r="C138" s="14" t="s">
        <v>2398</v>
      </c>
    </row>
    <row r="139" s="11" customFormat="1" ht="17.4" spans="1:3">
      <c r="A139" s="16" t="s">
        <v>2646</v>
      </c>
      <c r="B139" s="14" t="s">
        <v>2647</v>
      </c>
      <c r="C139" s="14" t="s">
        <v>2398</v>
      </c>
    </row>
    <row r="140" s="11" customFormat="1" ht="17.4" spans="1:3">
      <c r="A140" s="16" t="s">
        <v>2648</v>
      </c>
      <c r="B140" s="14" t="s">
        <v>2649</v>
      </c>
      <c r="C140" s="14" t="s">
        <v>2409</v>
      </c>
    </row>
    <row r="141" s="11" customFormat="1" ht="17.4" spans="1:3">
      <c r="A141" s="16" t="s">
        <v>2650</v>
      </c>
      <c r="B141" s="14" t="s">
        <v>2651</v>
      </c>
      <c r="C141" s="14" t="s">
        <v>2432</v>
      </c>
    </row>
    <row r="142" s="11" customFormat="1" ht="17.4" spans="1:3">
      <c r="A142" s="16" t="s">
        <v>1208</v>
      </c>
      <c r="B142" s="14" t="s">
        <v>2652</v>
      </c>
      <c r="C142" s="14" t="s">
        <v>2398</v>
      </c>
    </row>
    <row r="143" s="11" customFormat="1" ht="17.4" spans="1:3">
      <c r="A143" s="16" t="s">
        <v>1089</v>
      </c>
      <c r="B143" s="14" t="s">
        <v>2653</v>
      </c>
      <c r="C143" s="14" t="s">
        <v>2398</v>
      </c>
    </row>
    <row r="144" s="11" customFormat="1" ht="17.4" spans="1:3">
      <c r="A144" s="16" t="s">
        <v>2654</v>
      </c>
      <c r="B144" s="14" t="s">
        <v>2655</v>
      </c>
      <c r="C144" s="14" t="s">
        <v>2398</v>
      </c>
    </row>
    <row r="145" s="11" customFormat="1" ht="17.4" spans="1:3">
      <c r="A145" s="16" t="s">
        <v>2656</v>
      </c>
      <c r="B145" s="14" t="s">
        <v>2657</v>
      </c>
      <c r="C145" s="14" t="s">
        <v>2398</v>
      </c>
    </row>
    <row r="146" s="11" customFormat="1" ht="17.4" spans="1:3">
      <c r="A146" s="16" t="s">
        <v>1064</v>
      </c>
      <c r="B146" s="14" t="s">
        <v>2658</v>
      </c>
      <c r="C146" s="14" t="s">
        <v>2398</v>
      </c>
    </row>
    <row r="147" s="11" customFormat="1" ht="17.4" spans="1:3">
      <c r="A147" s="16" t="s">
        <v>2192</v>
      </c>
      <c r="B147" s="14" t="s">
        <v>2659</v>
      </c>
      <c r="C147" s="14" t="s">
        <v>2398</v>
      </c>
    </row>
    <row r="148" s="11" customFormat="1" ht="17.4" spans="1:3">
      <c r="A148" s="16" t="s">
        <v>2660</v>
      </c>
      <c r="B148" s="14" t="s">
        <v>2661</v>
      </c>
      <c r="C148" s="14" t="s">
        <v>2398</v>
      </c>
    </row>
    <row r="149" s="11" customFormat="1" ht="17.4" spans="1:3">
      <c r="A149" s="16" t="s">
        <v>2662</v>
      </c>
      <c r="B149" s="14" t="s">
        <v>2663</v>
      </c>
      <c r="C149" s="14" t="s">
        <v>2398</v>
      </c>
    </row>
    <row r="150" s="11" customFormat="1" ht="17.4" spans="1:3">
      <c r="A150" s="16" t="s">
        <v>2664</v>
      </c>
      <c r="B150" s="14" t="s">
        <v>2665</v>
      </c>
      <c r="C150" s="14" t="s">
        <v>2398</v>
      </c>
    </row>
    <row r="151" s="11" customFormat="1" ht="17.4" spans="1:3">
      <c r="A151" s="16" t="s">
        <v>2666</v>
      </c>
      <c r="B151" s="14" t="s">
        <v>2667</v>
      </c>
      <c r="C151" s="14" t="s">
        <v>2432</v>
      </c>
    </row>
    <row r="152" s="11" customFormat="1" ht="17.4" spans="1:3">
      <c r="A152" s="16" t="s">
        <v>290</v>
      </c>
      <c r="B152" s="14" t="s">
        <v>291</v>
      </c>
      <c r="C152" s="14" t="s">
        <v>2432</v>
      </c>
    </row>
    <row r="153" s="11" customFormat="1" ht="17.4" spans="1:3">
      <c r="A153" s="16" t="s">
        <v>2668</v>
      </c>
      <c r="B153" s="14" t="s">
        <v>2669</v>
      </c>
      <c r="C153" s="14" t="s">
        <v>2398</v>
      </c>
    </row>
    <row r="154" s="11" customFormat="1" ht="17.4" spans="1:3">
      <c r="A154" s="16" t="s">
        <v>2670</v>
      </c>
      <c r="B154" s="14" t="s">
        <v>2671</v>
      </c>
      <c r="C154" s="14" t="s">
        <v>2398</v>
      </c>
    </row>
    <row r="155" s="11" customFormat="1" ht="17.4" spans="1:3">
      <c r="A155" s="16" t="s">
        <v>2672</v>
      </c>
      <c r="B155" s="14" t="s">
        <v>2673</v>
      </c>
      <c r="C155" s="14" t="s">
        <v>2432</v>
      </c>
    </row>
    <row r="156" s="11" customFormat="1" ht="17.4" spans="1:3">
      <c r="A156" s="16" t="s">
        <v>2674</v>
      </c>
      <c r="B156" s="14" t="s">
        <v>2675</v>
      </c>
      <c r="C156" s="14" t="s">
        <v>2398</v>
      </c>
    </row>
    <row r="157" s="11" customFormat="1" ht="17.4" spans="1:3">
      <c r="A157" s="16" t="s">
        <v>2676</v>
      </c>
      <c r="B157" s="14" t="s">
        <v>2677</v>
      </c>
      <c r="C157" s="14" t="s">
        <v>2398</v>
      </c>
    </row>
    <row r="158" s="11" customFormat="1" ht="17.4" spans="1:3">
      <c r="A158" s="16" t="s">
        <v>2678</v>
      </c>
      <c r="B158" s="14" t="s">
        <v>2679</v>
      </c>
      <c r="C158" s="14" t="s">
        <v>2398</v>
      </c>
    </row>
    <row r="159" s="11" customFormat="1" ht="17.4" spans="1:3">
      <c r="A159" s="16" t="s">
        <v>2680</v>
      </c>
      <c r="B159" s="14" t="s">
        <v>2681</v>
      </c>
      <c r="C159" s="14" t="s">
        <v>2398</v>
      </c>
    </row>
    <row r="160" s="11" customFormat="1" ht="17.4" spans="1:3">
      <c r="A160" s="16" t="s">
        <v>57</v>
      </c>
      <c r="B160" s="14" t="s">
        <v>2682</v>
      </c>
      <c r="C160" s="14" t="s">
        <v>2398</v>
      </c>
    </row>
    <row r="161" s="11" customFormat="1" ht="17.4" spans="1:3">
      <c r="A161" s="16" t="s">
        <v>2683</v>
      </c>
      <c r="B161" s="14" t="s">
        <v>2684</v>
      </c>
      <c r="C161" s="14" t="s">
        <v>2398</v>
      </c>
    </row>
    <row r="162" s="11" customFormat="1" ht="17.4" spans="1:3">
      <c r="A162" s="16" t="s">
        <v>2685</v>
      </c>
      <c r="B162" s="14" t="s">
        <v>2686</v>
      </c>
      <c r="C162" s="14" t="s">
        <v>2398</v>
      </c>
    </row>
    <row r="163" s="11" customFormat="1" ht="17.4" spans="1:3">
      <c r="A163" s="16" t="s">
        <v>2687</v>
      </c>
      <c r="B163" s="14" t="s">
        <v>2688</v>
      </c>
      <c r="C163" s="14" t="s">
        <v>2398</v>
      </c>
    </row>
    <row r="164" s="11" customFormat="1" ht="17.4" spans="1:3">
      <c r="A164" s="16" t="s">
        <v>2689</v>
      </c>
      <c r="B164" s="14" t="s">
        <v>2690</v>
      </c>
      <c r="C164" s="14" t="s">
        <v>2398</v>
      </c>
    </row>
    <row r="165" s="11" customFormat="1" ht="17.4" spans="1:3">
      <c r="A165" s="16" t="s">
        <v>2691</v>
      </c>
      <c r="B165" s="14" t="s">
        <v>2692</v>
      </c>
      <c r="C165" s="14" t="s">
        <v>2432</v>
      </c>
    </row>
    <row r="166" s="11" customFormat="1" ht="17.4" spans="1:3">
      <c r="A166" s="16" t="s">
        <v>2693</v>
      </c>
      <c r="B166" s="14" t="s">
        <v>2694</v>
      </c>
      <c r="C166" s="14" t="s">
        <v>2398</v>
      </c>
    </row>
    <row r="167" s="11" customFormat="1" ht="17.4" spans="1:3">
      <c r="A167" s="16" t="s">
        <v>2695</v>
      </c>
      <c r="B167" s="14" t="s">
        <v>2696</v>
      </c>
      <c r="C167" s="14" t="s">
        <v>2398</v>
      </c>
    </row>
    <row r="168" s="11" customFormat="1" ht="17.4" spans="1:3">
      <c r="A168" s="16" t="s">
        <v>2697</v>
      </c>
      <c r="B168" s="14" t="s">
        <v>2698</v>
      </c>
      <c r="C168" s="14" t="s">
        <v>2398</v>
      </c>
    </row>
    <row r="169" s="11" customFormat="1" ht="17.4" spans="1:3">
      <c r="A169" s="16" t="s">
        <v>2699</v>
      </c>
      <c r="B169" s="14" t="s">
        <v>2700</v>
      </c>
      <c r="C169" s="14" t="s">
        <v>2398</v>
      </c>
    </row>
    <row r="170" s="11" customFormat="1" ht="17.4" spans="1:3">
      <c r="A170" s="16" t="s">
        <v>2701</v>
      </c>
      <c r="B170" s="14" t="s">
        <v>2702</v>
      </c>
      <c r="C170" s="14" t="s">
        <v>2398</v>
      </c>
    </row>
    <row r="171" s="11" customFormat="1" ht="17.4" spans="1:3">
      <c r="A171" s="16" t="s">
        <v>2703</v>
      </c>
      <c r="B171" s="14" t="s">
        <v>2704</v>
      </c>
      <c r="C171" s="14" t="s">
        <v>2398</v>
      </c>
    </row>
    <row r="172" s="11" customFormat="1" ht="17.4" spans="1:3">
      <c r="A172" s="16" t="s">
        <v>2705</v>
      </c>
      <c r="B172" s="14" t="s">
        <v>2706</v>
      </c>
      <c r="C172" s="14" t="s">
        <v>2398</v>
      </c>
    </row>
    <row r="173" s="11" customFormat="1" ht="17.4" spans="1:3">
      <c r="A173" s="16" t="s">
        <v>2707</v>
      </c>
      <c r="B173" s="14" t="s">
        <v>2708</v>
      </c>
      <c r="C173" s="14" t="s">
        <v>2398</v>
      </c>
    </row>
    <row r="174" s="11" customFormat="1" ht="17.4" spans="1:3">
      <c r="A174" s="16" t="s">
        <v>2709</v>
      </c>
      <c r="B174" s="14" t="s">
        <v>2710</v>
      </c>
      <c r="C174" s="14" t="s">
        <v>2398</v>
      </c>
    </row>
    <row r="175" s="11" customFormat="1" ht="17.4" spans="1:3">
      <c r="A175" s="16" t="s">
        <v>2711</v>
      </c>
      <c r="B175" s="14" t="s">
        <v>2712</v>
      </c>
      <c r="C175" s="14" t="s">
        <v>2398</v>
      </c>
    </row>
    <row r="176" s="11" customFormat="1" ht="17.4" spans="1:3">
      <c r="A176" s="16" t="s">
        <v>2713</v>
      </c>
      <c r="B176" s="14" t="s">
        <v>2714</v>
      </c>
      <c r="C176" s="14" t="s">
        <v>2715</v>
      </c>
    </row>
    <row r="177" s="11" customFormat="1" ht="17.4" spans="1:3">
      <c r="A177" s="16" t="s">
        <v>2716</v>
      </c>
      <c r="B177" s="14" t="s">
        <v>2717</v>
      </c>
      <c r="C177" s="14" t="s">
        <v>2398</v>
      </c>
    </row>
    <row r="178" s="11" customFormat="1" ht="17.4" spans="1:3">
      <c r="A178" s="16" t="s">
        <v>2718</v>
      </c>
      <c r="B178" s="14" t="s">
        <v>2719</v>
      </c>
      <c r="C178" s="14" t="s">
        <v>2398</v>
      </c>
    </row>
    <row r="179" s="11" customFormat="1" ht="17.4" spans="1:3">
      <c r="A179" s="16" t="s">
        <v>126</v>
      </c>
      <c r="B179" s="14" t="s">
        <v>127</v>
      </c>
      <c r="C179" s="14" t="s">
        <v>2398</v>
      </c>
    </row>
    <row r="180" s="11" customFormat="1" ht="17.4" spans="1:3">
      <c r="A180" s="16" t="s">
        <v>2720</v>
      </c>
      <c r="B180" s="14" t="s">
        <v>2721</v>
      </c>
      <c r="C180" s="14" t="s">
        <v>2398</v>
      </c>
    </row>
    <row r="181" s="11" customFormat="1" ht="17.4" spans="1:3">
      <c r="A181" s="16" t="s">
        <v>2722</v>
      </c>
      <c r="B181" s="14" t="s">
        <v>2723</v>
      </c>
      <c r="C181" s="14" t="s">
        <v>2398</v>
      </c>
    </row>
    <row r="182" s="11" customFormat="1" ht="17.4" spans="1:3">
      <c r="A182" s="16" t="s">
        <v>2724</v>
      </c>
      <c r="B182" s="14" t="s">
        <v>2725</v>
      </c>
      <c r="C182" s="14" t="s">
        <v>2432</v>
      </c>
    </row>
    <row r="183" s="11" customFormat="1" ht="17.4" spans="1:3">
      <c r="A183" s="16" t="s">
        <v>2726</v>
      </c>
      <c r="B183" s="14" t="s">
        <v>2727</v>
      </c>
      <c r="C183" s="14" t="s">
        <v>2398</v>
      </c>
    </row>
    <row r="184" s="11" customFormat="1" ht="17.4" spans="1:3">
      <c r="A184" s="16" t="s">
        <v>2728</v>
      </c>
      <c r="B184" s="14" t="s">
        <v>2729</v>
      </c>
      <c r="C184" s="14" t="s">
        <v>2398</v>
      </c>
    </row>
    <row r="185" s="11" customFormat="1" ht="17.4" spans="1:3">
      <c r="A185" s="16" t="s">
        <v>2730</v>
      </c>
      <c r="B185" s="14" t="s">
        <v>2731</v>
      </c>
      <c r="C185" s="14" t="s">
        <v>2432</v>
      </c>
    </row>
    <row r="186" s="11" customFormat="1" ht="17.4" spans="1:3">
      <c r="A186" s="16" t="s">
        <v>2732</v>
      </c>
      <c r="B186" s="14" t="s">
        <v>2733</v>
      </c>
      <c r="C186" s="14" t="s">
        <v>2398</v>
      </c>
    </row>
    <row r="187" s="11" customFormat="1" ht="17.4" spans="1:3">
      <c r="A187" s="16" t="s">
        <v>2734</v>
      </c>
      <c r="B187" s="14" t="s">
        <v>2735</v>
      </c>
      <c r="C187" s="14" t="s">
        <v>2398</v>
      </c>
    </row>
    <row r="188" s="11" customFormat="1" ht="17.4" spans="1:3">
      <c r="A188" s="16" t="s">
        <v>2736</v>
      </c>
      <c r="B188" s="14" t="s">
        <v>2737</v>
      </c>
      <c r="C188" s="14" t="s">
        <v>2409</v>
      </c>
    </row>
    <row r="189" s="11" customFormat="1" ht="17.4" spans="1:3">
      <c r="A189" s="16" t="s">
        <v>2738</v>
      </c>
      <c r="B189" s="14" t="s">
        <v>2739</v>
      </c>
      <c r="C189" s="14" t="s">
        <v>2398</v>
      </c>
    </row>
    <row r="190" s="11" customFormat="1" ht="17.4" spans="1:3">
      <c r="A190" s="16" t="s">
        <v>2740</v>
      </c>
      <c r="B190" s="14" t="s">
        <v>2741</v>
      </c>
      <c r="C190" s="14" t="s">
        <v>2398</v>
      </c>
    </row>
    <row r="191" s="11" customFormat="1" ht="17.4" spans="1:3">
      <c r="A191" s="16" t="s">
        <v>2742</v>
      </c>
      <c r="B191" s="14" t="s">
        <v>2743</v>
      </c>
      <c r="C191" s="14" t="s">
        <v>2398</v>
      </c>
    </row>
    <row r="192" s="11" customFormat="1" ht="17.4" spans="1:3">
      <c r="A192" s="16" t="s">
        <v>2744</v>
      </c>
      <c r="B192" s="14" t="s">
        <v>2745</v>
      </c>
      <c r="C192" s="14" t="s">
        <v>2409</v>
      </c>
    </row>
    <row r="193" s="11" customFormat="1" ht="17.4" spans="1:3">
      <c r="A193" s="16" t="s">
        <v>2377</v>
      </c>
      <c r="B193" s="14" t="s">
        <v>2746</v>
      </c>
      <c r="C193" s="14" t="s">
        <v>2398</v>
      </c>
    </row>
    <row r="194" s="11" customFormat="1" ht="17.4" spans="1:3">
      <c r="A194" s="16" t="s">
        <v>2747</v>
      </c>
      <c r="B194" s="14" t="s">
        <v>2748</v>
      </c>
      <c r="C194" s="14" t="s">
        <v>2398</v>
      </c>
    </row>
    <row r="195" s="11" customFormat="1" ht="17.4" spans="1:3">
      <c r="A195" s="16" t="s">
        <v>2749</v>
      </c>
      <c r="B195" s="14" t="s">
        <v>2750</v>
      </c>
      <c r="C195" s="14" t="s">
        <v>2398</v>
      </c>
    </row>
    <row r="196" s="11" customFormat="1" ht="17.4" spans="1:3">
      <c r="A196" s="16" t="s">
        <v>2751</v>
      </c>
      <c r="B196" s="14" t="s">
        <v>2752</v>
      </c>
      <c r="C196" s="14" t="s">
        <v>2398</v>
      </c>
    </row>
    <row r="197" s="11" customFormat="1" ht="17.4" spans="1:3">
      <c r="A197" s="16" t="s">
        <v>2753</v>
      </c>
      <c r="B197" s="14" t="s">
        <v>2754</v>
      </c>
      <c r="C197" s="14" t="s">
        <v>2398</v>
      </c>
    </row>
    <row r="198" s="11" customFormat="1" ht="17.4" spans="1:3">
      <c r="A198" s="16" t="s">
        <v>2755</v>
      </c>
      <c r="B198" s="14" t="s">
        <v>2756</v>
      </c>
      <c r="C198" s="14" t="s">
        <v>2398</v>
      </c>
    </row>
    <row r="199" s="11" customFormat="1" ht="17.4" spans="1:3">
      <c r="A199" s="16" t="s">
        <v>2757</v>
      </c>
      <c r="B199" s="14" t="s">
        <v>2758</v>
      </c>
      <c r="C199" s="14" t="s">
        <v>2398</v>
      </c>
    </row>
    <row r="200" s="11" customFormat="1" ht="17.4" spans="1:3">
      <c r="A200" s="16" t="s">
        <v>2759</v>
      </c>
      <c r="B200" s="14" t="s">
        <v>2760</v>
      </c>
      <c r="C200" s="14" t="s">
        <v>2409</v>
      </c>
    </row>
    <row r="201" s="11" customFormat="1" ht="17.4" spans="1:3">
      <c r="A201" s="16" t="s">
        <v>2198</v>
      </c>
      <c r="B201" s="14" t="s">
        <v>2761</v>
      </c>
      <c r="C201" s="14" t="s">
        <v>2398</v>
      </c>
    </row>
    <row r="202" s="11" customFormat="1" ht="17.4" spans="1:3">
      <c r="A202" s="16" t="s">
        <v>2762</v>
      </c>
      <c r="B202" s="14" t="s">
        <v>2763</v>
      </c>
      <c r="C202" s="14" t="s">
        <v>2398</v>
      </c>
    </row>
    <row r="203" s="11" customFormat="1" ht="17.4" spans="1:3">
      <c r="A203" s="16" t="s">
        <v>2764</v>
      </c>
      <c r="B203" s="14" t="s">
        <v>2765</v>
      </c>
      <c r="C203" s="14" t="s">
        <v>2398</v>
      </c>
    </row>
    <row r="204" s="11" customFormat="1" ht="17.4" spans="1:3">
      <c r="A204" s="16" t="s">
        <v>1919</v>
      </c>
      <c r="B204" s="14" t="s">
        <v>2766</v>
      </c>
      <c r="C204" s="14" t="s">
        <v>2398</v>
      </c>
    </row>
    <row r="205" s="11" customFormat="1" ht="17.4" spans="1:3">
      <c r="A205" s="16" t="s">
        <v>2767</v>
      </c>
      <c r="B205" s="14" t="s">
        <v>2768</v>
      </c>
      <c r="C205" s="14" t="s">
        <v>2409</v>
      </c>
    </row>
    <row r="206" s="11" customFormat="1" ht="17.4" spans="1:3">
      <c r="A206" s="16" t="s">
        <v>2769</v>
      </c>
      <c r="B206" s="14" t="s">
        <v>2770</v>
      </c>
      <c r="C206" s="14" t="s">
        <v>2401</v>
      </c>
    </row>
    <row r="207" s="11" customFormat="1" ht="17.4" spans="1:3">
      <c r="A207" s="16" t="s">
        <v>2771</v>
      </c>
      <c r="B207" s="14" t="s">
        <v>2772</v>
      </c>
      <c r="C207" s="14" t="s">
        <v>2432</v>
      </c>
    </row>
    <row r="208" s="11" customFormat="1" ht="17.4" spans="1:3">
      <c r="A208" s="16" t="s">
        <v>2773</v>
      </c>
      <c r="B208" s="14" t="s">
        <v>2774</v>
      </c>
      <c r="C208" s="14" t="s">
        <v>2398</v>
      </c>
    </row>
    <row r="209" s="11" customFormat="1" ht="17.4" spans="1:3">
      <c r="A209" s="16" t="s">
        <v>2775</v>
      </c>
      <c r="B209" s="14" t="s">
        <v>2776</v>
      </c>
      <c r="C209" s="14" t="s">
        <v>2409</v>
      </c>
    </row>
    <row r="210" s="11" customFormat="1" ht="17.4" spans="1:3">
      <c r="A210" s="16" t="s">
        <v>2777</v>
      </c>
      <c r="B210" s="14" t="s">
        <v>2778</v>
      </c>
      <c r="C210" s="14" t="s">
        <v>2432</v>
      </c>
    </row>
    <row r="211" s="11" customFormat="1" ht="17.4" spans="1:3">
      <c r="A211" s="16" t="s">
        <v>2779</v>
      </c>
      <c r="B211" s="14" t="s">
        <v>2780</v>
      </c>
      <c r="C211" s="14" t="s">
        <v>2432</v>
      </c>
    </row>
    <row r="212" s="11" customFormat="1" ht="17.4" spans="1:3">
      <c r="A212" s="16" t="s">
        <v>2781</v>
      </c>
      <c r="B212" s="14" t="s">
        <v>2782</v>
      </c>
      <c r="C212" s="14" t="s">
        <v>2398</v>
      </c>
    </row>
    <row r="213" s="11" customFormat="1" ht="17.4" spans="1:3">
      <c r="A213" s="16" t="s">
        <v>2783</v>
      </c>
      <c r="B213" s="14" t="s">
        <v>2784</v>
      </c>
      <c r="C213" s="14" t="s">
        <v>2398</v>
      </c>
    </row>
    <row r="214" s="11" customFormat="1" ht="17.4" spans="1:3">
      <c r="A214" s="16" t="s">
        <v>2785</v>
      </c>
      <c r="B214" s="14" t="s">
        <v>2786</v>
      </c>
      <c r="C214" s="14" t="s">
        <v>2409</v>
      </c>
    </row>
    <row r="215" s="11" customFormat="1" ht="17.4" spans="1:3">
      <c r="A215" s="16" t="s">
        <v>2787</v>
      </c>
      <c r="B215" s="14" t="s">
        <v>2788</v>
      </c>
      <c r="C215" s="14" t="s">
        <v>2398</v>
      </c>
    </row>
    <row r="216" s="11" customFormat="1" ht="17.4" spans="1:3">
      <c r="A216" s="16" t="s">
        <v>2789</v>
      </c>
      <c r="B216" s="14" t="s">
        <v>2790</v>
      </c>
      <c r="C216" s="14" t="s">
        <v>2409</v>
      </c>
    </row>
    <row r="217" s="11" customFormat="1" ht="17.4" spans="1:3">
      <c r="A217" s="16" t="s">
        <v>2791</v>
      </c>
      <c r="B217" s="14" t="s">
        <v>2792</v>
      </c>
      <c r="C217" s="14" t="s">
        <v>2398</v>
      </c>
    </row>
    <row r="218" s="11" customFormat="1" ht="17.4" spans="1:3">
      <c r="A218" s="16" t="s">
        <v>2793</v>
      </c>
      <c r="B218" s="14" t="s">
        <v>2794</v>
      </c>
      <c r="C218" s="14" t="s">
        <v>2412</v>
      </c>
    </row>
    <row r="219" s="11" customFormat="1" ht="17.4" spans="1:3">
      <c r="A219" s="16" t="s">
        <v>2795</v>
      </c>
      <c r="B219" s="14" t="s">
        <v>2796</v>
      </c>
      <c r="C219" s="14" t="s">
        <v>2409</v>
      </c>
    </row>
    <row r="220" s="11" customFormat="1" ht="17.4" spans="1:3">
      <c r="A220" s="16" t="s">
        <v>2797</v>
      </c>
      <c r="B220" s="14" t="s">
        <v>2798</v>
      </c>
      <c r="C220" s="14" t="s">
        <v>2398</v>
      </c>
    </row>
    <row r="221" s="11" customFormat="1" ht="17.4" spans="1:3">
      <c r="A221" s="16" t="s">
        <v>1072</v>
      </c>
      <c r="B221" s="14" t="s">
        <v>2799</v>
      </c>
      <c r="C221" s="14" t="s">
        <v>2432</v>
      </c>
    </row>
    <row r="222" s="11" customFormat="1" ht="17.4" spans="1:3">
      <c r="A222" s="16" t="s">
        <v>2800</v>
      </c>
      <c r="B222" s="14" t="s">
        <v>2801</v>
      </c>
      <c r="C222" s="14" t="s">
        <v>2432</v>
      </c>
    </row>
    <row r="223" s="11" customFormat="1" ht="17.4" spans="1:3">
      <c r="A223" s="16" t="s">
        <v>2802</v>
      </c>
      <c r="B223" s="14" t="s">
        <v>2803</v>
      </c>
      <c r="C223" s="14" t="s">
        <v>2409</v>
      </c>
    </row>
    <row r="224" s="11" customFormat="1" ht="17.4" spans="1:3">
      <c r="A224" s="16" t="s">
        <v>2804</v>
      </c>
      <c r="B224" s="14" t="s">
        <v>2805</v>
      </c>
      <c r="C224" s="14" t="s">
        <v>2398</v>
      </c>
    </row>
    <row r="225" s="11" customFormat="1" ht="17.4" spans="1:3">
      <c r="A225" s="16" t="s">
        <v>2806</v>
      </c>
      <c r="B225" s="14" t="s">
        <v>2807</v>
      </c>
      <c r="C225" s="14" t="s">
        <v>2450</v>
      </c>
    </row>
    <row r="226" s="11" customFormat="1" ht="17.4" spans="1:3">
      <c r="A226" s="16" t="s">
        <v>2808</v>
      </c>
      <c r="B226" s="14" t="s">
        <v>2809</v>
      </c>
      <c r="C226" s="14" t="s">
        <v>2432</v>
      </c>
    </row>
    <row r="227" s="11" customFormat="1" ht="17.4" spans="1:3">
      <c r="A227" s="16" t="s">
        <v>2810</v>
      </c>
      <c r="B227" s="14" t="s">
        <v>2811</v>
      </c>
      <c r="C227" s="14" t="s">
        <v>2432</v>
      </c>
    </row>
    <row r="228" s="11" customFormat="1" ht="17.4" spans="1:3">
      <c r="A228" s="16" t="s">
        <v>2812</v>
      </c>
      <c r="B228" s="14" t="s">
        <v>2813</v>
      </c>
      <c r="C228" s="14" t="s">
        <v>2412</v>
      </c>
    </row>
    <row r="229" s="11" customFormat="1" ht="17.4" spans="1:3">
      <c r="A229" s="16" t="s">
        <v>2814</v>
      </c>
      <c r="B229" s="14" t="s">
        <v>2815</v>
      </c>
      <c r="C229" s="14" t="s">
        <v>2398</v>
      </c>
    </row>
    <row r="230" s="11" customFormat="1" ht="17.4" spans="1:3">
      <c r="A230" s="16" t="s">
        <v>2816</v>
      </c>
      <c r="B230" s="14" t="s">
        <v>2817</v>
      </c>
      <c r="C230" s="14" t="s">
        <v>2398</v>
      </c>
    </row>
    <row r="231" s="11" customFormat="1" ht="17.4" spans="1:3">
      <c r="A231" s="16" t="s">
        <v>2818</v>
      </c>
      <c r="B231" s="14" t="s">
        <v>2819</v>
      </c>
      <c r="C231" s="14" t="s">
        <v>2398</v>
      </c>
    </row>
    <row r="232" s="11" customFormat="1" ht="17.4" spans="1:3">
      <c r="A232" s="16" t="s">
        <v>2820</v>
      </c>
      <c r="B232" s="14" t="s">
        <v>2821</v>
      </c>
      <c r="C232" s="14" t="s">
        <v>2401</v>
      </c>
    </row>
    <row r="233" s="11" customFormat="1" ht="17.4" spans="1:3">
      <c r="A233" s="16" t="s">
        <v>2822</v>
      </c>
      <c r="B233" s="14" t="s">
        <v>2823</v>
      </c>
      <c r="C233" s="14" t="s">
        <v>2409</v>
      </c>
    </row>
    <row r="234" s="11" customFormat="1" ht="17.4" spans="1:3">
      <c r="A234" s="16" t="s">
        <v>2824</v>
      </c>
      <c r="B234" s="14" t="s">
        <v>2825</v>
      </c>
      <c r="C234" s="14" t="s">
        <v>2398</v>
      </c>
    </row>
    <row r="235" s="11" customFormat="1" ht="17.4" spans="1:3">
      <c r="A235" s="16" t="s">
        <v>2826</v>
      </c>
      <c r="B235" s="14" t="s">
        <v>2827</v>
      </c>
      <c r="C235" s="14" t="s">
        <v>2398</v>
      </c>
    </row>
    <row r="236" s="11" customFormat="1" ht="17.4" spans="1:3">
      <c r="A236" s="16" t="s">
        <v>2828</v>
      </c>
      <c r="B236" s="14" t="s">
        <v>2829</v>
      </c>
      <c r="C236" s="14" t="s">
        <v>2409</v>
      </c>
    </row>
    <row r="237" s="11" customFormat="1" ht="17.4" spans="1:3">
      <c r="A237" s="16" t="s">
        <v>2830</v>
      </c>
      <c r="B237" s="14" t="s">
        <v>2831</v>
      </c>
      <c r="C237" s="14" t="s">
        <v>2398</v>
      </c>
    </row>
    <row r="238" s="11" customFormat="1" ht="17.4" spans="1:3">
      <c r="A238" s="16" t="s">
        <v>235</v>
      </c>
      <c r="B238" s="14" t="s">
        <v>2832</v>
      </c>
      <c r="C238" s="14" t="s">
        <v>2398</v>
      </c>
    </row>
    <row r="239" s="11" customFormat="1" ht="17.4" spans="1:3">
      <c r="A239" s="16" t="s">
        <v>2833</v>
      </c>
      <c r="B239" s="14" t="s">
        <v>2834</v>
      </c>
      <c r="C239" s="14" t="s">
        <v>2398</v>
      </c>
    </row>
    <row r="240" s="11" customFormat="1" ht="17.4" spans="1:3">
      <c r="A240" s="16" t="s">
        <v>2835</v>
      </c>
      <c r="B240" s="14" t="s">
        <v>2836</v>
      </c>
      <c r="C240" s="14" t="s">
        <v>2398</v>
      </c>
    </row>
    <row r="241" s="11" customFormat="1" ht="17.4" spans="1:3">
      <c r="A241" s="16" t="s">
        <v>2837</v>
      </c>
      <c r="B241" s="14" t="s">
        <v>2838</v>
      </c>
      <c r="C241" s="14" t="s">
        <v>2401</v>
      </c>
    </row>
    <row r="242" s="11" customFormat="1" ht="17.4" spans="1:3">
      <c r="A242" s="16" t="s">
        <v>2839</v>
      </c>
      <c r="B242" s="14" t="s">
        <v>2840</v>
      </c>
      <c r="C242" s="14" t="s">
        <v>2398</v>
      </c>
    </row>
    <row r="243" s="11" customFormat="1" ht="17.4" spans="1:3">
      <c r="A243" s="16" t="s">
        <v>2841</v>
      </c>
      <c r="B243" s="14" t="s">
        <v>2842</v>
      </c>
      <c r="C243" s="14" t="s">
        <v>2398</v>
      </c>
    </row>
    <row r="244" s="11" customFormat="1" ht="17.4" spans="1:3">
      <c r="A244" s="16" t="s">
        <v>2843</v>
      </c>
      <c r="B244" s="14" t="s">
        <v>2844</v>
      </c>
      <c r="C244" s="14" t="s">
        <v>2409</v>
      </c>
    </row>
    <row r="245" s="11" customFormat="1" ht="17.4" spans="1:3">
      <c r="A245" s="16" t="s">
        <v>2845</v>
      </c>
      <c r="B245" s="14" t="s">
        <v>2846</v>
      </c>
      <c r="C245" s="14" t="s">
        <v>2398</v>
      </c>
    </row>
    <row r="246" s="11" customFormat="1" ht="17.4" spans="1:3">
      <c r="A246" s="16" t="s">
        <v>2847</v>
      </c>
      <c r="B246" s="14" t="s">
        <v>2848</v>
      </c>
      <c r="C246" s="14" t="s">
        <v>2398</v>
      </c>
    </row>
    <row r="247" s="11" customFormat="1" ht="17.4" spans="1:3">
      <c r="A247" s="16" t="s">
        <v>2849</v>
      </c>
      <c r="B247" s="14" t="s">
        <v>2850</v>
      </c>
      <c r="C247" s="14" t="s">
        <v>2409</v>
      </c>
    </row>
    <row r="248" s="11" customFormat="1" ht="17.4" spans="1:3">
      <c r="A248" s="16" t="s">
        <v>2851</v>
      </c>
      <c r="B248" s="14" t="s">
        <v>2852</v>
      </c>
      <c r="C248" s="14" t="s">
        <v>2398</v>
      </c>
    </row>
    <row r="249" s="11" customFormat="1" ht="17.4" spans="1:3">
      <c r="A249" s="16" t="s">
        <v>2853</v>
      </c>
      <c r="B249" s="14" t="s">
        <v>2854</v>
      </c>
      <c r="C249" s="14" t="s">
        <v>2398</v>
      </c>
    </row>
    <row r="250" s="11" customFormat="1" ht="17.4" spans="1:3">
      <c r="A250" s="16" t="s">
        <v>2855</v>
      </c>
      <c r="B250" s="14" t="s">
        <v>2856</v>
      </c>
      <c r="C250" s="14" t="s">
        <v>2398</v>
      </c>
    </row>
    <row r="251" s="11" customFormat="1" ht="17.4" spans="1:3">
      <c r="A251" s="16" t="s">
        <v>2857</v>
      </c>
      <c r="B251" s="14" t="s">
        <v>2858</v>
      </c>
      <c r="C251" s="14" t="s">
        <v>2398</v>
      </c>
    </row>
    <row r="252" s="11" customFormat="1" ht="17.4" spans="1:3">
      <c r="A252" s="16" t="s">
        <v>2859</v>
      </c>
      <c r="B252" s="14" t="s">
        <v>2860</v>
      </c>
      <c r="C252" s="14" t="s">
        <v>2398</v>
      </c>
    </row>
    <row r="253" s="11" customFormat="1" ht="17.4" spans="1:3">
      <c r="A253" s="16" t="s">
        <v>2861</v>
      </c>
      <c r="B253" s="14" t="s">
        <v>2862</v>
      </c>
      <c r="C253" s="14" t="s">
        <v>2398</v>
      </c>
    </row>
    <row r="254" s="11" customFormat="1" ht="17.4" spans="1:3">
      <c r="A254" s="16" t="s">
        <v>2863</v>
      </c>
      <c r="B254" s="14" t="s">
        <v>2864</v>
      </c>
      <c r="C254" s="14" t="s">
        <v>2398</v>
      </c>
    </row>
    <row r="255" s="11" customFormat="1" ht="17.4" spans="1:3">
      <c r="A255" s="16" t="s">
        <v>2865</v>
      </c>
      <c r="B255" s="14" t="s">
        <v>2866</v>
      </c>
      <c r="C255" s="14" t="s">
        <v>2409</v>
      </c>
    </row>
    <row r="256" s="11" customFormat="1" ht="17.4" spans="1:3">
      <c r="A256" s="16" t="s">
        <v>2867</v>
      </c>
      <c r="B256" s="14" t="s">
        <v>2868</v>
      </c>
      <c r="C256" s="14" t="s">
        <v>2450</v>
      </c>
    </row>
    <row r="257" s="11" customFormat="1" ht="17.4" spans="1:3">
      <c r="A257" s="16" t="s">
        <v>2869</v>
      </c>
      <c r="B257" s="14" t="s">
        <v>2870</v>
      </c>
      <c r="C257" s="14" t="s">
        <v>2398</v>
      </c>
    </row>
    <row r="258" s="11" customFormat="1" ht="17.4" spans="1:3">
      <c r="A258" s="16" t="s">
        <v>2871</v>
      </c>
      <c r="B258" s="14" t="s">
        <v>2872</v>
      </c>
      <c r="C258" s="14" t="s">
        <v>2398</v>
      </c>
    </row>
    <row r="259" s="11" customFormat="1" ht="17.4" spans="1:3">
      <c r="A259" s="16" t="s">
        <v>2873</v>
      </c>
      <c r="B259" s="14" t="s">
        <v>2874</v>
      </c>
      <c r="C259" s="14" t="s">
        <v>2409</v>
      </c>
    </row>
    <row r="260" s="11" customFormat="1" ht="17.4" spans="1:3">
      <c r="A260" s="16" t="s">
        <v>2875</v>
      </c>
      <c r="B260" s="14" t="s">
        <v>2876</v>
      </c>
      <c r="C260" s="14" t="s">
        <v>2398</v>
      </c>
    </row>
    <row r="261" s="11" customFormat="1" ht="17.4" spans="1:3">
      <c r="A261" s="16" t="s">
        <v>2877</v>
      </c>
      <c r="B261" s="14" t="s">
        <v>2878</v>
      </c>
      <c r="C261" s="14" t="s">
        <v>2398</v>
      </c>
    </row>
    <row r="262" s="11" customFormat="1" ht="17.4" spans="1:3">
      <c r="A262" s="16" t="s">
        <v>2879</v>
      </c>
      <c r="B262" s="14" t="s">
        <v>2880</v>
      </c>
      <c r="C262" s="14" t="s">
        <v>2398</v>
      </c>
    </row>
    <row r="263" s="11" customFormat="1" ht="17.4" spans="1:3">
      <c r="A263" s="16" t="s">
        <v>2881</v>
      </c>
      <c r="B263" s="14" t="s">
        <v>2882</v>
      </c>
      <c r="C263" s="14" t="s">
        <v>2432</v>
      </c>
    </row>
    <row r="264" s="11" customFormat="1" ht="17.4" spans="1:3">
      <c r="A264" s="16" t="s">
        <v>2883</v>
      </c>
      <c r="B264" s="14" t="s">
        <v>2884</v>
      </c>
      <c r="C264" s="14" t="s">
        <v>2412</v>
      </c>
    </row>
    <row r="265" s="11" customFormat="1" ht="17.4" spans="1:3">
      <c r="A265" s="16" t="s">
        <v>2885</v>
      </c>
      <c r="B265" s="14" t="s">
        <v>2886</v>
      </c>
      <c r="C265" s="14" t="s">
        <v>2398</v>
      </c>
    </row>
    <row r="266" s="11" customFormat="1" ht="17.4" spans="1:3">
      <c r="A266" s="16" t="s">
        <v>2887</v>
      </c>
      <c r="B266" s="14" t="s">
        <v>2888</v>
      </c>
      <c r="C266" s="14" t="s">
        <v>2398</v>
      </c>
    </row>
    <row r="267" s="11" customFormat="1" ht="17.4" spans="1:3">
      <c r="A267" s="16" t="s">
        <v>2889</v>
      </c>
      <c r="B267" s="14" t="s">
        <v>2890</v>
      </c>
      <c r="C267" s="14" t="s">
        <v>2398</v>
      </c>
    </row>
    <row r="268" s="11" customFormat="1" ht="17.4" spans="1:3">
      <c r="A268" s="16" t="s">
        <v>2891</v>
      </c>
      <c r="B268" s="14" t="s">
        <v>2892</v>
      </c>
      <c r="C268" s="14" t="s">
        <v>2398</v>
      </c>
    </row>
    <row r="269" s="11" customFormat="1" ht="17.4" spans="1:3">
      <c r="A269" s="16" t="s">
        <v>2893</v>
      </c>
      <c r="B269" s="14" t="s">
        <v>2894</v>
      </c>
      <c r="C269" s="14" t="s">
        <v>2412</v>
      </c>
    </row>
    <row r="270" s="11" customFormat="1" ht="17.4" spans="1:3">
      <c r="A270" s="16" t="s">
        <v>2895</v>
      </c>
      <c r="B270" s="14" t="s">
        <v>2896</v>
      </c>
      <c r="C270" s="14" t="s">
        <v>2409</v>
      </c>
    </row>
    <row r="271" s="11" customFormat="1" ht="17.4" spans="1:3">
      <c r="A271" s="16" t="s">
        <v>2897</v>
      </c>
      <c r="B271" s="14" t="s">
        <v>2898</v>
      </c>
      <c r="C271" s="14" t="s">
        <v>2409</v>
      </c>
    </row>
    <row r="272" s="11" customFormat="1" ht="17.4" spans="1:3">
      <c r="A272" s="16" t="s">
        <v>2899</v>
      </c>
      <c r="B272" s="14" t="s">
        <v>2900</v>
      </c>
      <c r="C272" s="14" t="s">
        <v>2412</v>
      </c>
    </row>
    <row r="273" s="11" customFormat="1" ht="17.4" spans="1:3">
      <c r="A273" s="16" t="s">
        <v>2901</v>
      </c>
      <c r="B273" s="14" t="s">
        <v>2902</v>
      </c>
      <c r="C273" s="14" t="s">
        <v>2412</v>
      </c>
    </row>
    <row r="274" s="11" customFormat="1" ht="17.4" spans="1:3">
      <c r="A274" s="16" t="s">
        <v>2903</v>
      </c>
      <c r="B274" s="14" t="s">
        <v>2904</v>
      </c>
      <c r="C274" s="14" t="s">
        <v>2398</v>
      </c>
    </row>
    <row r="275" s="11" customFormat="1" ht="17.4" spans="1:3">
      <c r="A275" s="16" t="s">
        <v>2905</v>
      </c>
      <c r="B275" s="14" t="s">
        <v>2906</v>
      </c>
      <c r="C275" s="14" t="s">
        <v>2412</v>
      </c>
    </row>
    <row r="276" s="11" customFormat="1" ht="17.4" spans="1:3">
      <c r="A276" s="16" t="s">
        <v>2907</v>
      </c>
      <c r="B276" s="14" t="s">
        <v>2908</v>
      </c>
      <c r="C276" s="14" t="s">
        <v>2409</v>
      </c>
    </row>
    <row r="277" s="11" customFormat="1" ht="17.4" spans="1:3">
      <c r="A277" s="16" t="s">
        <v>2909</v>
      </c>
      <c r="B277" s="14" t="s">
        <v>2910</v>
      </c>
      <c r="C277" s="14" t="s">
        <v>2398</v>
      </c>
    </row>
    <row r="278" s="11" customFormat="1" ht="17.4" spans="1:3">
      <c r="A278" s="16" t="s">
        <v>1814</v>
      </c>
      <c r="B278" s="14" t="s">
        <v>2911</v>
      </c>
      <c r="C278" s="14" t="s">
        <v>2398</v>
      </c>
    </row>
    <row r="279" s="11" customFormat="1" ht="17.4" spans="1:3">
      <c r="A279" s="16" t="s">
        <v>2912</v>
      </c>
      <c r="B279" s="14" t="s">
        <v>2913</v>
      </c>
      <c r="C279" s="14" t="s">
        <v>2398</v>
      </c>
    </row>
    <row r="280" s="11" customFormat="1" ht="17.4" spans="1:3">
      <c r="A280" s="16" t="s">
        <v>2914</v>
      </c>
      <c r="B280" s="14" t="s">
        <v>2915</v>
      </c>
      <c r="C280" s="14" t="s">
        <v>2398</v>
      </c>
    </row>
    <row r="281" s="11" customFormat="1" ht="17.4" spans="1:3">
      <c r="A281" s="16" t="s">
        <v>682</v>
      </c>
      <c r="B281" s="14" t="s">
        <v>683</v>
      </c>
      <c r="C281" s="14" t="s">
        <v>2432</v>
      </c>
    </row>
    <row r="282" s="11" customFormat="1" ht="17.4" spans="1:3">
      <c r="A282" s="16" t="s">
        <v>133</v>
      </c>
      <c r="B282" s="14" t="s">
        <v>2916</v>
      </c>
      <c r="C282" s="14" t="s">
        <v>2398</v>
      </c>
    </row>
    <row r="283" s="11" customFormat="1" ht="17.4" spans="1:3">
      <c r="A283" s="16" t="s">
        <v>2917</v>
      </c>
      <c r="B283" s="14" t="s">
        <v>2918</v>
      </c>
      <c r="C283" s="14" t="s">
        <v>2398</v>
      </c>
    </row>
    <row r="284" s="11" customFormat="1" ht="17.4" spans="1:3">
      <c r="A284" s="16" t="s">
        <v>2919</v>
      </c>
      <c r="B284" s="14" t="s">
        <v>2920</v>
      </c>
      <c r="C284" s="14" t="s">
        <v>2398</v>
      </c>
    </row>
    <row r="285" s="11" customFormat="1" ht="17.4" spans="1:3">
      <c r="A285" s="16" t="s">
        <v>2921</v>
      </c>
      <c r="B285" s="14" t="s">
        <v>2922</v>
      </c>
      <c r="C285" s="14" t="s">
        <v>2398</v>
      </c>
    </row>
    <row r="286" s="11" customFormat="1" ht="17.4" spans="1:3">
      <c r="A286" s="16" t="s">
        <v>2923</v>
      </c>
      <c r="B286" s="14" t="s">
        <v>2924</v>
      </c>
      <c r="C286" s="14" t="s">
        <v>2398</v>
      </c>
    </row>
    <row r="287" s="11" customFormat="1" ht="17.4" spans="1:3">
      <c r="A287" s="16" t="s">
        <v>1334</v>
      </c>
      <c r="B287" s="14" t="s">
        <v>2925</v>
      </c>
      <c r="C287" s="14" t="s">
        <v>2398</v>
      </c>
    </row>
    <row r="288" s="11" customFormat="1" ht="17.4" spans="1:3">
      <c r="A288" s="16" t="s">
        <v>2926</v>
      </c>
      <c r="B288" s="14" t="s">
        <v>2927</v>
      </c>
      <c r="C288" s="14" t="s">
        <v>2398</v>
      </c>
    </row>
    <row r="289" s="11" customFormat="1" ht="17.4" spans="1:3">
      <c r="A289" s="16" t="s">
        <v>2928</v>
      </c>
      <c r="B289" s="14" t="s">
        <v>2929</v>
      </c>
      <c r="C289" s="14" t="s">
        <v>2401</v>
      </c>
    </row>
    <row r="290" s="11" customFormat="1" ht="17.4" spans="1:3">
      <c r="A290" s="16" t="s">
        <v>2930</v>
      </c>
      <c r="B290" s="14" t="s">
        <v>2931</v>
      </c>
      <c r="C290" s="14" t="s">
        <v>2398</v>
      </c>
    </row>
    <row r="291" s="11" customFormat="1" ht="17.4" spans="1:3">
      <c r="A291" s="16" t="s">
        <v>2932</v>
      </c>
      <c r="B291" s="14" t="s">
        <v>2933</v>
      </c>
      <c r="C291" s="14" t="s">
        <v>2432</v>
      </c>
    </row>
    <row r="292" s="11" customFormat="1" ht="17.4" spans="1:3">
      <c r="A292" s="16" t="s">
        <v>538</v>
      </c>
      <c r="B292" s="14" t="s">
        <v>2934</v>
      </c>
      <c r="C292" s="14" t="s">
        <v>2409</v>
      </c>
    </row>
    <row r="293" s="11" customFormat="1" ht="17.4" spans="1:3">
      <c r="A293" s="16" t="s">
        <v>331</v>
      </c>
      <c r="B293" s="14" t="s">
        <v>332</v>
      </c>
      <c r="C293" s="14" t="s">
        <v>2409</v>
      </c>
    </row>
    <row r="294" s="11" customFormat="1" ht="17.4" spans="1:3">
      <c r="A294" s="16" t="s">
        <v>2935</v>
      </c>
      <c r="B294" s="14" t="s">
        <v>2936</v>
      </c>
      <c r="C294" s="14" t="s">
        <v>2398</v>
      </c>
    </row>
    <row r="295" s="11" customFormat="1" ht="17.4" spans="1:3">
      <c r="A295" s="16" t="s">
        <v>2937</v>
      </c>
      <c r="B295" s="14" t="s">
        <v>2938</v>
      </c>
      <c r="C295" s="14" t="s">
        <v>2398</v>
      </c>
    </row>
    <row r="296" s="11" customFormat="1" ht="17.4" spans="1:3">
      <c r="A296" s="16" t="s">
        <v>858</v>
      </c>
      <c r="B296" s="14" t="s">
        <v>2939</v>
      </c>
      <c r="C296" s="14" t="s">
        <v>2398</v>
      </c>
    </row>
    <row r="297" s="11" customFormat="1" ht="17.4" spans="1:3">
      <c r="A297" s="16" t="s">
        <v>2940</v>
      </c>
      <c r="B297" s="14" t="s">
        <v>2941</v>
      </c>
      <c r="C297" s="14" t="s">
        <v>2409</v>
      </c>
    </row>
    <row r="298" s="11" customFormat="1" ht="17.4" spans="1:3">
      <c r="A298" s="16" t="s">
        <v>2942</v>
      </c>
      <c r="B298" s="14" t="s">
        <v>2943</v>
      </c>
      <c r="C298" s="14" t="s">
        <v>2409</v>
      </c>
    </row>
    <row r="299" s="11" customFormat="1" ht="17.4" spans="1:3">
      <c r="A299" s="16" t="s">
        <v>825</v>
      </c>
      <c r="B299" s="14" t="s">
        <v>2944</v>
      </c>
      <c r="C299" s="14" t="s">
        <v>2398</v>
      </c>
    </row>
    <row r="300" s="11" customFormat="1" ht="17.4" spans="1:3">
      <c r="A300" s="16" t="s">
        <v>2945</v>
      </c>
      <c r="B300" s="14" t="s">
        <v>2946</v>
      </c>
      <c r="C300" s="14" t="s">
        <v>2432</v>
      </c>
    </row>
    <row r="301" s="11" customFormat="1" ht="17.4" spans="1:3">
      <c r="A301" s="16" t="s">
        <v>2947</v>
      </c>
      <c r="B301" s="14" t="s">
        <v>2948</v>
      </c>
      <c r="C301" s="14" t="s">
        <v>2412</v>
      </c>
    </row>
    <row r="302" s="11" customFormat="1" ht="17.4" spans="1:3">
      <c r="A302" s="16" t="s">
        <v>2949</v>
      </c>
      <c r="B302" s="14" t="s">
        <v>2950</v>
      </c>
      <c r="C302" s="14" t="s">
        <v>2412</v>
      </c>
    </row>
    <row r="303" s="11" customFormat="1" ht="17.4" spans="1:3">
      <c r="A303" s="16" t="s">
        <v>2951</v>
      </c>
      <c r="B303" s="14" t="s">
        <v>2952</v>
      </c>
      <c r="C303" s="14" t="s">
        <v>2412</v>
      </c>
    </row>
    <row r="304" s="11" customFormat="1" ht="17.4" spans="1:3">
      <c r="A304" s="16" t="s">
        <v>2953</v>
      </c>
      <c r="B304" s="14" t="s">
        <v>2954</v>
      </c>
      <c r="C304" s="14" t="s">
        <v>2412</v>
      </c>
    </row>
    <row r="305" s="11" customFormat="1" ht="17.4" spans="1:3">
      <c r="A305" s="16" t="s">
        <v>2955</v>
      </c>
      <c r="B305" s="14" t="s">
        <v>2956</v>
      </c>
      <c r="C305" s="14" t="s">
        <v>2412</v>
      </c>
    </row>
    <row r="306" s="11" customFormat="1" ht="17.4" spans="1:3">
      <c r="A306" s="16" t="s">
        <v>2957</v>
      </c>
      <c r="B306" s="14" t="s">
        <v>2958</v>
      </c>
      <c r="C306" s="14" t="s">
        <v>2398</v>
      </c>
    </row>
    <row r="307" s="11" customFormat="1" ht="17.4" spans="1:3">
      <c r="A307" s="16" t="s">
        <v>2959</v>
      </c>
      <c r="B307" s="14" t="s">
        <v>2960</v>
      </c>
      <c r="C307" s="14" t="s">
        <v>2398</v>
      </c>
    </row>
    <row r="308" s="11" customFormat="1" ht="17.4" spans="1:3">
      <c r="A308" s="16" t="s">
        <v>365</v>
      </c>
      <c r="B308" s="14" t="s">
        <v>366</v>
      </c>
      <c r="C308" s="14" t="s">
        <v>2432</v>
      </c>
    </row>
    <row r="309" s="11" customFormat="1" ht="17.4" spans="1:3">
      <c r="A309" s="16" t="s">
        <v>2961</v>
      </c>
      <c r="B309" s="14" t="s">
        <v>2962</v>
      </c>
      <c r="C309" s="14" t="s">
        <v>2398</v>
      </c>
    </row>
    <row r="310" s="11" customFormat="1" ht="17.4" spans="1:3">
      <c r="A310" s="16" t="s">
        <v>2963</v>
      </c>
      <c r="B310" s="14" t="s">
        <v>2964</v>
      </c>
      <c r="C310" s="14" t="s">
        <v>2412</v>
      </c>
    </row>
    <row r="311" s="11" customFormat="1" ht="17.4" spans="1:3">
      <c r="A311" s="16" t="s">
        <v>2965</v>
      </c>
      <c r="B311" s="14" t="s">
        <v>2966</v>
      </c>
      <c r="C311" s="14" t="s">
        <v>2398</v>
      </c>
    </row>
    <row r="312" s="11" customFormat="1" ht="17.4" spans="1:3">
      <c r="A312" s="16" t="s">
        <v>2967</v>
      </c>
      <c r="B312" s="14" t="s">
        <v>2968</v>
      </c>
      <c r="C312" s="14" t="s">
        <v>2398</v>
      </c>
    </row>
    <row r="313" s="11" customFormat="1" ht="17.4" spans="1:3">
      <c r="A313" s="16" t="s">
        <v>197</v>
      </c>
      <c r="B313" s="14" t="s">
        <v>2969</v>
      </c>
      <c r="C313" s="14" t="s">
        <v>2398</v>
      </c>
    </row>
    <row r="314" s="11" customFormat="1" ht="17.4" spans="1:3">
      <c r="A314" s="16" t="s">
        <v>2970</v>
      </c>
      <c r="B314" s="14" t="s">
        <v>2971</v>
      </c>
      <c r="C314" s="14" t="s">
        <v>2412</v>
      </c>
    </row>
    <row r="315" s="11" customFormat="1" ht="17.4" spans="1:3">
      <c r="A315" s="16" t="s">
        <v>2972</v>
      </c>
      <c r="B315" s="14" t="s">
        <v>2973</v>
      </c>
      <c r="C315" s="14" t="s">
        <v>2409</v>
      </c>
    </row>
    <row r="316" s="11" customFormat="1" ht="17.4" spans="1:3">
      <c r="A316" s="16" t="s">
        <v>2974</v>
      </c>
      <c r="B316" s="14" t="s">
        <v>2975</v>
      </c>
      <c r="C316" s="14" t="s">
        <v>2432</v>
      </c>
    </row>
    <row r="317" s="11" customFormat="1" ht="17.4" spans="1:3">
      <c r="A317" s="16" t="s">
        <v>2976</v>
      </c>
      <c r="B317" s="14" t="s">
        <v>2977</v>
      </c>
      <c r="C317" s="14" t="s">
        <v>2450</v>
      </c>
    </row>
    <row r="318" s="11" customFormat="1" ht="17.4" spans="1:3">
      <c r="A318" s="16" t="s">
        <v>2978</v>
      </c>
      <c r="B318" s="14" t="s">
        <v>2979</v>
      </c>
      <c r="C318" s="14" t="s">
        <v>2409</v>
      </c>
    </row>
    <row r="319" s="11" customFormat="1" ht="17.4" spans="1:3">
      <c r="A319" s="16" t="s">
        <v>2980</v>
      </c>
      <c r="B319" s="14" t="s">
        <v>2981</v>
      </c>
      <c r="C319" s="14" t="s">
        <v>2398</v>
      </c>
    </row>
    <row r="320" s="11" customFormat="1" ht="17.4" spans="1:3">
      <c r="A320" s="16" t="s">
        <v>2982</v>
      </c>
      <c r="B320" s="14" t="s">
        <v>2983</v>
      </c>
      <c r="C320" s="14" t="s">
        <v>2401</v>
      </c>
    </row>
    <row r="321" s="11" customFormat="1" ht="17.4" spans="1:3">
      <c r="A321" s="16" t="s">
        <v>2984</v>
      </c>
      <c r="B321" s="14" t="s">
        <v>2985</v>
      </c>
      <c r="C321" s="14" t="s">
        <v>2432</v>
      </c>
    </row>
    <row r="322" s="11" customFormat="1" ht="17.4" spans="1:3">
      <c r="A322" s="16" t="s">
        <v>2986</v>
      </c>
      <c r="B322" s="14" t="s">
        <v>2987</v>
      </c>
      <c r="C322" s="14" t="s">
        <v>2409</v>
      </c>
    </row>
    <row r="323" s="11" customFormat="1" ht="17.4" spans="1:3">
      <c r="A323" s="16" t="s">
        <v>2988</v>
      </c>
      <c r="B323" s="14" t="s">
        <v>2989</v>
      </c>
      <c r="C323" s="14" t="s">
        <v>2409</v>
      </c>
    </row>
    <row r="324" s="11" customFormat="1" ht="17.4" spans="1:3">
      <c r="A324" s="16" t="s">
        <v>2990</v>
      </c>
      <c r="B324" s="14" t="s">
        <v>2991</v>
      </c>
      <c r="C324" s="14" t="s">
        <v>2398</v>
      </c>
    </row>
    <row r="325" s="11" customFormat="1" ht="17.4" spans="1:3">
      <c r="A325" s="16" t="s">
        <v>2992</v>
      </c>
      <c r="B325" s="14" t="s">
        <v>2993</v>
      </c>
      <c r="C325" s="14" t="s">
        <v>2409</v>
      </c>
    </row>
    <row r="326" s="11" customFormat="1" ht="17.4" spans="1:3">
      <c r="A326" s="16" t="s">
        <v>2994</v>
      </c>
      <c r="B326" s="14" t="s">
        <v>2995</v>
      </c>
      <c r="C326" s="14" t="s">
        <v>2412</v>
      </c>
    </row>
    <row r="327" s="11" customFormat="1" ht="17.4" spans="1:3">
      <c r="A327" s="16" t="s">
        <v>2996</v>
      </c>
      <c r="B327" s="14" t="s">
        <v>2997</v>
      </c>
      <c r="C327" s="14" t="s">
        <v>2409</v>
      </c>
    </row>
    <row r="328" s="11" customFormat="1" ht="17.4" spans="1:3">
      <c r="A328" s="16" t="s">
        <v>2998</v>
      </c>
      <c r="B328" s="14" t="s">
        <v>2999</v>
      </c>
      <c r="C328" s="14" t="s">
        <v>2412</v>
      </c>
    </row>
    <row r="329" s="11" customFormat="1" ht="17.4" spans="1:3">
      <c r="A329" s="16" t="s">
        <v>3000</v>
      </c>
      <c r="B329" s="14" t="s">
        <v>3001</v>
      </c>
      <c r="C329" s="14" t="s">
        <v>2409</v>
      </c>
    </row>
    <row r="330" s="11" customFormat="1" ht="17.4" spans="1:3">
      <c r="A330" s="16" t="s">
        <v>3002</v>
      </c>
      <c r="B330" s="14" t="s">
        <v>3003</v>
      </c>
      <c r="C330" s="14" t="s">
        <v>2409</v>
      </c>
    </row>
    <row r="331" s="11" customFormat="1" ht="17.4" spans="1:3">
      <c r="A331" s="16" t="s">
        <v>3004</v>
      </c>
      <c r="B331" s="14" t="s">
        <v>3005</v>
      </c>
      <c r="C331" s="14" t="s">
        <v>2409</v>
      </c>
    </row>
    <row r="332" s="11" customFormat="1" ht="17.4" spans="1:3">
      <c r="A332" s="16" t="s">
        <v>3006</v>
      </c>
      <c r="B332" s="14" t="s">
        <v>3007</v>
      </c>
      <c r="C332" s="14" t="s">
        <v>2450</v>
      </c>
    </row>
    <row r="333" s="11" customFormat="1" ht="17.4" spans="1:3">
      <c r="A333" s="16" t="s">
        <v>3008</v>
      </c>
      <c r="B333" s="14" t="s">
        <v>3009</v>
      </c>
      <c r="C333" s="14" t="s">
        <v>2398</v>
      </c>
    </row>
    <row r="334" s="11" customFormat="1" ht="17.4" spans="1:3">
      <c r="A334" s="16" t="s">
        <v>3010</v>
      </c>
      <c r="B334" s="14" t="s">
        <v>3011</v>
      </c>
      <c r="C334" s="14" t="s">
        <v>2398</v>
      </c>
    </row>
    <row r="335" s="11" customFormat="1" ht="17.4" spans="1:3">
      <c r="A335" s="16" t="s">
        <v>3012</v>
      </c>
      <c r="B335" s="14" t="s">
        <v>3013</v>
      </c>
      <c r="C335" s="14" t="s">
        <v>2398</v>
      </c>
    </row>
    <row r="336" s="11" customFormat="1" ht="17.4" spans="1:3">
      <c r="A336" s="16" t="s">
        <v>3014</v>
      </c>
      <c r="B336" s="14" t="s">
        <v>3015</v>
      </c>
      <c r="C336" s="14" t="s">
        <v>2409</v>
      </c>
    </row>
    <row r="337" s="11" customFormat="1" ht="17.4" spans="1:3">
      <c r="A337" s="16" t="s">
        <v>3016</v>
      </c>
      <c r="B337" s="14" t="s">
        <v>3017</v>
      </c>
      <c r="C337" s="14" t="s">
        <v>2432</v>
      </c>
    </row>
    <row r="338" s="11" customFormat="1" ht="17.4" spans="1:3">
      <c r="A338" s="16" t="s">
        <v>3018</v>
      </c>
      <c r="B338" s="14" t="s">
        <v>3019</v>
      </c>
      <c r="C338" s="14" t="s">
        <v>2409</v>
      </c>
    </row>
    <row r="339" s="11" customFormat="1" ht="17.4" spans="1:3">
      <c r="A339" s="16" t="s">
        <v>3020</v>
      </c>
      <c r="B339" s="14" t="s">
        <v>3021</v>
      </c>
      <c r="C339" s="14" t="s">
        <v>2432</v>
      </c>
    </row>
    <row r="340" s="11" customFormat="1" ht="17.4" spans="1:3">
      <c r="A340" s="16" t="s">
        <v>3022</v>
      </c>
      <c r="B340" s="14" t="s">
        <v>3023</v>
      </c>
      <c r="C340" s="14" t="s">
        <v>2409</v>
      </c>
    </row>
    <row r="341" s="11" customFormat="1" ht="17.4" spans="1:3">
      <c r="A341" s="16" t="s">
        <v>3024</v>
      </c>
      <c r="B341" s="14" t="s">
        <v>3025</v>
      </c>
      <c r="C341" s="14" t="s">
        <v>2398</v>
      </c>
    </row>
    <row r="342" s="11" customFormat="1" ht="17.4" spans="1:3">
      <c r="A342" s="16" t="s">
        <v>3026</v>
      </c>
      <c r="B342" s="14" t="s">
        <v>3027</v>
      </c>
      <c r="C342" s="14" t="s">
        <v>2398</v>
      </c>
    </row>
    <row r="343" s="11" customFormat="1" ht="17.4" spans="1:3">
      <c r="A343" s="16" t="s">
        <v>3028</v>
      </c>
      <c r="B343" s="14" t="s">
        <v>3029</v>
      </c>
      <c r="C343" s="14" t="s">
        <v>2398</v>
      </c>
    </row>
    <row r="344" s="11" customFormat="1" ht="17.4" spans="1:3">
      <c r="A344" s="16" t="s">
        <v>3030</v>
      </c>
      <c r="B344" s="14" t="s">
        <v>3031</v>
      </c>
      <c r="C344" s="14" t="s">
        <v>2409</v>
      </c>
    </row>
    <row r="345" s="11" customFormat="1" ht="17.4" spans="1:3">
      <c r="A345" s="16" t="s">
        <v>3032</v>
      </c>
      <c r="B345" s="14" t="s">
        <v>3033</v>
      </c>
      <c r="C345" s="14" t="s">
        <v>2398</v>
      </c>
    </row>
    <row r="346" s="11" customFormat="1" ht="17.4" spans="1:3">
      <c r="A346" s="16" t="s">
        <v>3034</v>
      </c>
      <c r="B346" s="14" t="s">
        <v>3035</v>
      </c>
      <c r="C346" s="14" t="s">
        <v>2409</v>
      </c>
    </row>
    <row r="347" s="11" customFormat="1" ht="17.4" spans="1:3">
      <c r="A347" s="16" t="s">
        <v>3036</v>
      </c>
      <c r="B347" s="14" t="s">
        <v>3037</v>
      </c>
      <c r="C347" s="14" t="s">
        <v>2409</v>
      </c>
    </row>
    <row r="348" s="11" customFormat="1" ht="17.4" spans="1:3">
      <c r="A348" s="16" t="s">
        <v>3038</v>
      </c>
      <c r="B348" s="14" t="s">
        <v>3039</v>
      </c>
      <c r="C348" s="14" t="s">
        <v>2398</v>
      </c>
    </row>
    <row r="349" s="11" customFormat="1" ht="17.4" spans="1:3">
      <c r="A349" s="16" t="s">
        <v>3040</v>
      </c>
      <c r="B349" s="14" t="s">
        <v>3041</v>
      </c>
      <c r="C349" s="14" t="s">
        <v>2398</v>
      </c>
    </row>
    <row r="350" s="11" customFormat="1" ht="17.4" spans="1:3">
      <c r="A350" s="16" t="s">
        <v>3042</v>
      </c>
      <c r="B350" s="14" t="s">
        <v>3043</v>
      </c>
      <c r="C350" s="14" t="s">
        <v>2409</v>
      </c>
    </row>
    <row r="351" s="11" customFormat="1" ht="17.4" spans="1:3">
      <c r="A351" s="16" t="s">
        <v>3044</v>
      </c>
      <c r="B351" s="14" t="s">
        <v>3045</v>
      </c>
      <c r="C351" s="14" t="s">
        <v>2432</v>
      </c>
    </row>
    <row r="352" s="11" customFormat="1" ht="17.4" spans="1:3">
      <c r="A352" s="16" t="s">
        <v>3046</v>
      </c>
      <c r="B352" s="14" t="s">
        <v>3047</v>
      </c>
      <c r="C352" s="14" t="s">
        <v>2398</v>
      </c>
    </row>
    <row r="353" s="11" customFormat="1" ht="17.4" spans="1:3">
      <c r="A353" s="16" t="s">
        <v>3048</v>
      </c>
      <c r="B353" s="14" t="s">
        <v>3049</v>
      </c>
      <c r="C353" s="14" t="s">
        <v>2398</v>
      </c>
    </row>
    <row r="354" s="11" customFormat="1" ht="17.4" spans="1:3">
      <c r="A354" s="16" t="s">
        <v>1032</v>
      </c>
      <c r="B354" s="14" t="s">
        <v>3050</v>
      </c>
      <c r="C354" s="14" t="s">
        <v>2432</v>
      </c>
    </row>
    <row r="355" s="11" customFormat="1" ht="17.4" spans="1:3">
      <c r="A355" s="16" t="s">
        <v>3051</v>
      </c>
      <c r="B355" s="14" t="s">
        <v>3052</v>
      </c>
      <c r="C355" s="14" t="s">
        <v>2409</v>
      </c>
    </row>
    <row r="356" s="11" customFormat="1" ht="17.4" spans="1:3">
      <c r="A356" s="16" t="s">
        <v>3053</v>
      </c>
      <c r="B356" s="14" t="s">
        <v>3054</v>
      </c>
      <c r="C356" s="14" t="s">
        <v>2409</v>
      </c>
    </row>
    <row r="357" s="11" customFormat="1" ht="17.4" spans="1:3">
      <c r="A357" s="16" t="s">
        <v>3055</v>
      </c>
      <c r="B357" s="14" t="s">
        <v>3056</v>
      </c>
      <c r="C357" s="14" t="s">
        <v>2409</v>
      </c>
    </row>
    <row r="358" s="11" customFormat="1" ht="17.4" spans="1:3">
      <c r="A358" s="16" t="s">
        <v>3057</v>
      </c>
      <c r="B358" s="14" t="s">
        <v>3058</v>
      </c>
      <c r="C358" s="14" t="s">
        <v>2409</v>
      </c>
    </row>
    <row r="359" s="11" customFormat="1" ht="17.4" spans="1:3">
      <c r="A359" s="16" t="s">
        <v>3059</v>
      </c>
      <c r="B359" s="14" t="s">
        <v>3060</v>
      </c>
      <c r="C359" s="14" t="s">
        <v>2412</v>
      </c>
    </row>
    <row r="360" s="11" customFormat="1" ht="17.4" spans="1:3">
      <c r="A360" s="16" t="s">
        <v>3061</v>
      </c>
      <c r="B360" s="14" t="s">
        <v>3062</v>
      </c>
      <c r="C360" s="14" t="s">
        <v>2398</v>
      </c>
    </row>
    <row r="361" s="11" customFormat="1" ht="17.4" spans="1:3">
      <c r="A361" s="16" t="s">
        <v>3063</v>
      </c>
      <c r="B361" s="14" t="s">
        <v>3064</v>
      </c>
      <c r="C361" s="14" t="s">
        <v>2398</v>
      </c>
    </row>
    <row r="362" s="11" customFormat="1" ht="17.4" spans="1:3">
      <c r="A362" s="16" t="s">
        <v>3065</v>
      </c>
      <c r="B362" s="14" t="s">
        <v>3066</v>
      </c>
      <c r="C362" s="14" t="s">
        <v>2401</v>
      </c>
    </row>
    <row r="363" s="11" customFormat="1" ht="17.4" spans="1:3">
      <c r="A363" s="16" t="s">
        <v>3067</v>
      </c>
      <c r="B363" s="14" t="s">
        <v>3068</v>
      </c>
      <c r="C363" s="14" t="s">
        <v>2409</v>
      </c>
    </row>
    <row r="364" s="11" customFormat="1" ht="17.4" spans="1:3">
      <c r="A364" s="16" t="s">
        <v>3069</v>
      </c>
      <c r="B364" s="14" t="s">
        <v>3070</v>
      </c>
      <c r="C364" s="14" t="s">
        <v>2409</v>
      </c>
    </row>
    <row r="365" s="11" customFormat="1" ht="17.4" spans="1:3">
      <c r="A365" s="16" t="s">
        <v>3071</v>
      </c>
      <c r="B365" s="14" t="s">
        <v>3072</v>
      </c>
      <c r="C365" s="14" t="s">
        <v>2409</v>
      </c>
    </row>
    <row r="366" s="11" customFormat="1" ht="17.4" spans="1:3">
      <c r="A366" s="16" t="s">
        <v>3073</v>
      </c>
      <c r="B366" s="14" t="s">
        <v>3074</v>
      </c>
      <c r="C366" s="14" t="s">
        <v>2432</v>
      </c>
    </row>
    <row r="367" s="11" customFormat="1" ht="17.4" spans="1:3">
      <c r="A367" s="16" t="s">
        <v>3075</v>
      </c>
      <c r="B367" s="14" t="s">
        <v>3076</v>
      </c>
      <c r="C367" s="14" t="s">
        <v>2398</v>
      </c>
    </row>
    <row r="368" s="11" customFormat="1" ht="17.4" spans="1:3">
      <c r="A368" s="16" t="s">
        <v>3077</v>
      </c>
      <c r="B368" s="14" t="s">
        <v>3078</v>
      </c>
      <c r="C368" s="14" t="s">
        <v>2432</v>
      </c>
    </row>
    <row r="369" s="11" customFormat="1" ht="17.4" spans="1:3">
      <c r="A369" s="16" t="s">
        <v>3079</v>
      </c>
      <c r="B369" s="14" t="s">
        <v>3080</v>
      </c>
      <c r="C369" s="14" t="s">
        <v>2432</v>
      </c>
    </row>
    <row r="370" s="11" customFormat="1" ht="17.4" spans="1:3">
      <c r="A370" s="16" t="s">
        <v>3081</v>
      </c>
      <c r="B370" s="14" t="s">
        <v>3082</v>
      </c>
      <c r="C370" s="14" t="s">
        <v>2398</v>
      </c>
    </row>
    <row r="371" s="11" customFormat="1" ht="17.4" spans="1:3">
      <c r="A371" s="16" t="s">
        <v>3083</v>
      </c>
      <c r="B371" s="14" t="s">
        <v>3084</v>
      </c>
      <c r="C371" s="14" t="s">
        <v>2432</v>
      </c>
    </row>
    <row r="372" s="11" customFormat="1" ht="17.4" spans="1:3">
      <c r="A372" s="16" t="s">
        <v>3085</v>
      </c>
      <c r="B372" s="14" t="s">
        <v>3086</v>
      </c>
      <c r="C372" s="14" t="s">
        <v>3087</v>
      </c>
    </row>
    <row r="373" s="11" customFormat="1" ht="17.4" spans="1:3">
      <c r="A373" s="16" t="s">
        <v>3088</v>
      </c>
      <c r="B373" s="14" t="s">
        <v>3089</v>
      </c>
      <c r="C373" s="14" t="s">
        <v>2432</v>
      </c>
    </row>
    <row r="374" s="11" customFormat="1" ht="17.4" spans="1:3">
      <c r="A374" s="16" t="s">
        <v>3090</v>
      </c>
      <c r="B374" s="14" t="s">
        <v>3091</v>
      </c>
      <c r="C374" s="14" t="s">
        <v>2401</v>
      </c>
    </row>
    <row r="375" s="11" customFormat="1" ht="17.4" spans="1:3">
      <c r="A375" s="16" t="s">
        <v>3092</v>
      </c>
      <c r="B375" s="14" t="s">
        <v>3093</v>
      </c>
      <c r="C375" s="14" t="s">
        <v>2412</v>
      </c>
    </row>
    <row r="376" s="11" customFormat="1" ht="17.4" spans="1:3">
      <c r="A376" s="16" t="s">
        <v>3094</v>
      </c>
      <c r="B376" s="14" t="s">
        <v>3095</v>
      </c>
      <c r="C376" s="14" t="s">
        <v>2398</v>
      </c>
    </row>
    <row r="377" s="11" customFormat="1" ht="17.4" spans="1:3">
      <c r="A377" s="16" t="s">
        <v>3096</v>
      </c>
      <c r="B377" s="14" t="s">
        <v>3097</v>
      </c>
      <c r="C377" s="14" t="s">
        <v>2401</v>
      </c>
    </row>
    <row r="378" s="11" customFormat="1" ht="17.4" spans="1:3">
      <c r="A378" s="16" t="s">
        <v>171</v>
      </c>
      <c r="B378" s="14" t="s">
        <v>3098</v>
      </c>
      <c r="C378" s="14" t="s">
        <v>2398</v>
      </c>
    </row>
    <row r="379" s="11" customFormat="1" ht="17.4" spans="1:3">
      <c r="A379" s="16" t="s">
        <v>3099</v>
      </c>
      <c r="B379" s="14" t="s">
        <v>3100</v>
      </c>
      <c r="C379" s="14" t="s">
        <v>2432</v>
      </c>
    </row>
    <row r="380" s="11" customFormat="1" ht="17.4" spans="1:3">
      <c r="A380" s="16" t="s">
        <v>3101</v>
      </c>
      <c r="B380" s="14" t="s">
        <v>3102</v>
      </c>
      <c r="C380" s="14" t="s">
        <v>2401</v>
      </c>
    </row>
    <row r="381" s="11" customFormat="1" ht="17.4" spans="1:3">
      <c r="A381" s="16" t="s">
        <v>2383</v>
      </c>
      <c r="B381" s="14" t="s">
        <v>3103</v>
      </c>
      <c r="C381" s="14" t="s">
        <v>2398</v>
      </c>
    </row>
    <row r="382" s="11" customFormat="1" ht="17.4" spans="1:3">
      <c r="A382" s="16" t="s">
        <v>3104</v>
      </c>
      <c r="B382" s="14" t="s">
        <v>3105</v>
      </c>
      <c r="C382" s="14" t="s">
        <v>2398</v>
      </c>
    </row>
    <row r="383" s="11" customFormat="1" ht="17.4" spans="1:3">
      <c r="A383" s="16" t="s">
        <v>3106</v>
      </c>
      <c r="B383" s="14" t="s">
        <v>3107</v>
      </c>
      <c r="C383" s="14" t="s">
        <v>2398</v>
      </c>
    </row>
    <row r="384" s="11" customFormat="1" ht="17.4" spans="1:3">
      <c r="A384" s="16" t="s">
        <v>3108</v>
      </c>
      <c r="B384" s="14" t="s">
        <v>3109</v>
      </c>
      <c r="C384" s="14" t="s">
        <v>2412</v>
      </c>
    </row>
    <row r="385" s="11" customFormat="1" ht="17.4" spans="1:3">
      <c r="A385" s="16" t="s">
        <v>3110</v>
      </c>
      <c r="B385" s="14" t="s">
        <v>3111</v>
      </c>
      <c r="C385" s="14" t="s">
        <v>2412</v>
      </c>
    </row>
    <row r="386" s="11" customFormat="1" ht="17.4" spans="1:3">
      <c r="A386" s="16" t="s">
        <v>390</v>
      </c>
      <c r="B386" s="14" t="s">
        <v>3112</v>
      </c>
      <c r="C386" s="14" t="s">
        <v>2398</v>
      </c>
    </row>
    <row r="387" s="11" customFormat="1" ht="17.4" spans="1:3">
      <c r="A387" s="16" t="s">
        <v>3113</v>
      </c>
      <c r="B387" s="14" t="s">
        <v>3114</v>
      </c>
      <c r="C387" s="14" t="s">
        <v>2715</v>
      </c>
    </row>
    <row r="388" s="11" customFormat="1" ht="17.4" spans="1:3">
      <c r="A388" s="16" t="s">
        <v>3115</v>
      </c>
      <c r="B388" s="14" t="s">
        <v>3116</v>
      </c>
      <c r="C388" s="14" t="s">
        <v>2398</v>
      </c>
    </row>
    <row r="389" s="11" customFormat="1" ht="17.4" spans="1:3">
      <c r="A389" s="16" t="s">
        <v>2036</v>
      </c>
      <c r="B389" s="14" t="s">
        <v>3117</v>
      </c>
      <c r="C389" s="14" t="s">
        <v>2409</v>
      </c>
    </row>
    <row r="390" s="11" customFormat="1" ht="17.4" spans="1:3">
      <c r="A390" s="16" t="s">
        <v>3118</v>
      </c>
      <c r="B390" s="14" t="s">
        <v>3119</v>
      </c>
      <c r="C390" s="14" t="s">
        <v>2398</v>
      </c>
    </row>
    <row r="391" s="11" customFormat="1" ht="17.4" spans="1:3">
      <c r="A391" s="16" t="s">
        <v>3120</v>
      </c>
      <c r="B391" s="14" t="s">
        <v>3121</v>
      </c>
      <c r="C391" s="14" t="s">
        <v>2398</v>
      </c>
    </row>
    <row r="392" s="11" customFormat="1" ht="17.4" spans="1:3">
      <c r="A392" s="16" t="s">
        <v>114</v>
      </c>
      <c r="B392" s="14" t="s">
        <v>3122</v>
      </c>
      <c r="C392" s="14" t="s">
        <v>2432</v>
      </c>
    </row>
    <row r="393" s="11" customFormat="1" ht="17.4" spans="1:3">
      <c r="A393" s="16" t="s">
        <v>2388</v>
      </c>
      <c r="B393" s="14" t="s">
        <v>2389</v>
      </c>
      <c r="C393" s="14" t="s">
        <v>2432</v>
      </c>
    </row>
    <row r="394" s="11" customFormat="1" ht="17.4" spans="1:3">
      <c r="A394" s="16" t="s">
        <v>3123</v>
      </c>
      <c r="B394" s="14" t="s">
        <v>3124</v>
      </c>
      <c r="C394" s="14" t="s">
        <v>2398</v>
      </c>
    </row>
    <row r="395" s="11" customFormat="1" ht="17.4" spans="1:3">
      <c r="A395" s="16" t="s">
        <v>86</v>
      </c>
      <c r="B395" s="14" t="s">
        <v>3125</v>
      </c>
      <c r="C395" s="14" t="s">
        <v>2398</v>
      </c>
    </row>
    <row r="396" s="11" customFormat="1" ht="17.4" spans="1:3">
      <c r="A396" s="16" t="s">
        <v>97</v>
      </c>
      <c r="B396" s="14" t="s">
        <v>98</v>
      </c>
      <c r="C396" s="14" t="s">
        <v>2432</v>
      </c>
    </row>
    <row r="397" s="11" customFormat="1" ht="17.4" spans="1:3">
      <c r="A397" s="16" t="s">
        <v>141</v>
      </c>
      <c r="B397" s="14" t="s">
        <v>3126</v>
      </c>
      <c r="C397" s="14" t="s">
        <v>2409</v>
      </c>
    </row>
    <row r="398" s="11" customFormat="1" ht="17.4" spans="1:3">
      <c r="A398" s="16" t="s">
        <v>3127</v>
      </c>
      <c r="B398" s="14" t="s">
        <v>3128</v>
      </c>
      <c r="C398" s="14" t="s">
        <v>2432</v>
      </c>
    </row>
    <row r="399" s="11" customFormat="1" ht="17.4" spans="1:3">
      <c r="A399" s="16" t="s">
        <v>3129</v>
      </c>
      <c r="B399" s="14" t="s">
        <v>3130</v>
      </c>
      <c r="C399" s="14" t="s">
        <v>2412</v>
      </c>
    </row>
    <row r="400" s="11" customFormat="1" ht="17.4" spans="1:3">
      <c r="A400" s="16" t="s">
        <v>3131</v>
      </c>
      <c r="B400" s="14" t="s">
        <v>3132</v>
      </c>
      <c r="C400" s="14" t="s">
        <v>2555</v>
      </c>
    </row>
    <row r="401" s="11" customFormat="1" ht="17.4" spans="1:3">
      <c r="A401" s="16" t="s">
        <v>3133</v>
      </c>
      <c r="B401" s="14" t="s">
        <v>3134</v>
      </c>
      <c r="C401" s="14" t="s">
        <v>2398</v>
      </c>
    </row>
    <row r="402" s="11" customFormat="1" ht="17.4" spans="1:3">
      <c r="A402" s="16" t="s">
        <v>3135</v>
      </c>
      <c r="B402" s="14" t="s">
        <v>3136</v>
      </c>
      <c r="C402" s="14" t="s">
        <v>2432</v>
      </c>
    </row>
    <row r="403" s="11" customFormat="1" ht="17.4" spans="1:3">
      <c r="A403" s="16" t="s">
        <v>3137</v>
      </c>
      <c r="B403" s="14" t="s">
        <v>3138</v>
      </c>
      <c r="C403" s="14" t="s">
        <v>2412</v>
      </c>
    </row>
    <row r="404" s="11" customFormat="1" ht="17.4" spans="1:3">
      <c r="A404" s="16" t="s">
        <v>3139</v>
      </c>
      <c r="B404" s="14" t="s">
        <v>3140</v>
      </c>
      <c r="C404" s="14" t="s">
        <v>2555</v>
      </c>
    </row>
    <row r="405" s="11" customFormat="1" ht="17.4" spans="1:3">
      <c r="A405" s="16" t="s">
        <v>3141</v>
      </c>
      <c r="B405" s="14" t="s">
        <v>3142</v>
      </c>
      <c r="C405" s="14" t="s">
        <v>2412</v>
      </c>
    </row>
    <row r="406" s="11" customFormat="1" ht="17.4" spans="1:3">
      <c r="A406" s="16" t="s">
        <v>3143</v>
      </c>
      <c r="B406" s="14" t="s">
        <v>3144</v>
      </c>
      <c r="C406" s="14" t="s">
        <v>2398</v>
      </c>
    </row>
    <row r="407" s="11" customFormat="1" ht="17.4" spans="1:3">
      <c r="A407" s="16" t="s">
        <v>3145</v>
      </c>
      <c r="B407" s="14" t="s">
        <v>3146</v>
      </c>
      <c r="C407" s="14" t="s">
        <v>2409</v>
      </c>
    </row>
    <row r="408" s="11" customFormat="1" ht="17.4" spans="1:3">
      <c r="A408" s="16" t="s">
        <v>3147</v>
      </c>
      <c r="B408" s="14" t="s">
        <v>3148</v>
      </c>
      <c r="C408" s="14" t="s">
        <v>2401</v>
      </c>
    </row>
    <row r="409" s="11" customFormat="1" ht="17.4" spans="1:3">
      <c r="A409" s="16" t="s">
        <v>3149</v>
      </c>
      <c r="B409" s="14" t="s">
        <v>3150</v>
      </c>
      <c r="C409" s="14" t="s">
        <v>2398</v>
      </c>
    </row>
    <row r="410" s="11" customFormat="1" ht="17.4" spans="1:3">
      <c r="A410" s="16" t="s">
        <v>3151</v>
      </c>
      <c r="B410" s="14" t="s">
        <v>3152</v>
      </c>
      <c r="C410" s="14" t="s">
        <v>2412</v>
      </c>
    </row>
    <row r="411" s="11" customFormat="1" ht="17.4" spans="1:3">
      <c r="A411" s="16" t="s">
        <v>3153</v>
      </c>
      <c r="B411" s="14" t="s">
        <v>3154</v>
      </c>
      <c r="C411" s="14" t="s">
        <v>2412</v>
      </c>
    </row>
    <row r="412" s="11" customFormat="1" ht="17.4" spans="1:3">
      <c r="A412" s="16" t="s">
        <v>3155</v>
      </c>
      <c r="B412" s="14" t="s">
        <v>3156</v>
      </c>
      <c r="C412" s="14" t="s">
        <v>2555</v>
      </c>
    </row>
    <row r="413" s="11" customFormat="1" ht="17.4" spans="1:3">
      <c r="A413" s="16" t="s">
        <v>3157</v>
      </c>
      <c r="B413" s="14" t="s">
        <v>3158</v>
      </c>
      <c r="C413" s="14" t="s">
        <v>2398</v>
      </c>
    </row>
    <row r="414" s="11" customFormat="1" ht="17.4" spans="1:3">
      <c r="A414" s="16" t="s">
        <v>3159</v>
      </c>
      <c r="B414" s="14" t="s">
        <v>3160</v>
      </c>
      <c r="C414" s="14" t="s">
        <v>2398</v>
      </c>
    </row>
    <row r="415" s="11" customFormat="1" ht="17.4" spans="1:3">
      <c r="A415" s="16" t="s">
        <v>3161</v>
      </c>
      <c r="B415" s="14" t="s">
        <v>3162</v>
      </c>
      <c r="C415" s="14" t="s">
        <v>2398</v>
      </c>
    </row>
    <row r="416" s="11" customFormat="1" ht="17.4" spans="1:3">
      <c r="A416" s="16" t="s">
        <v>3163</v>
      </c>
      <c r="B416" s="14" t="s">
        <v>3164</v>
      </c>
      <c r="C416" s="14" t="s">
        <v>2398</v>
      </c>
    </row>
    <row r="417" s="11" customFormat="1" ht="17.4" spans="1:3">
      <c r="A417" s="16" t="s">
        <v>3165</v>
      </c>
      <c r="B417" s="14" t="s">
        <v>3166</v>
      </c>
      <c r="C417" s="14" t="s">
        <v>2398</v>
      </c>
    </row>
    <row r="418" s="11" customFormat="1" ht="17.4" spans="1:3">
      <c r="A418" s="16" t="s">
        <v>3167</v>
      </c>
      <c r="B418" s="14" t="s">
        <v>3168</v>
      </c>
      <c r="C418" s="14" t="s">
        <v>2401</v>
      </c>
    </row>
    <row r="419" s="11" customFormat="1" ht="17.4" spans="1:3">
      <c r="A419" s="16" t="s">
        <v>3169</v>
      </c>
      <c r="B419" s="14" t="s">
        <v>3170</v>
      </c>
      <c r="C419" s="14" t="s">
        <v>2412</v>
      </c>
    </row>
    <row r="420" s="11" customFormat="1" ht="17.4" spans="1:3">
      <c r="A420" s="16" t="s">
        <v>3171</v>
      </c>
      <c r="B420" s="14" t="s">
        <v>3172</v>
      </c>
      <c r="C420" s="14" t="s">
        <v>2450</v>
      </c>
    </row>
    <row r="421" s="11" customFormat="1" ht="17.4" spans="1:3">
      <c r="A421" s="16" t="s">
        <v>3173</v>
      </c>
      <c r="B421" s="14" t="s">
        <v>3174</v>
      </c>
      <c r="C421" s="14" t="s">
        <v>2409</v>
      </c>
    </row>
    <row r="422" s="11" customFormat="1" ht="17.4" spans="1:3">
      <c r="A422" s="16" t="s">
        <v>3175</v>
      </c>
      <c r="B422" s="14" t="s">
        <v>3176</v>
      </c>
      <c r="C422" s="14" t="s">
        <v>2479</v>
      </c>
    </row>
    <row r="423" s="11" customFormat="1" ht="17.4" spans="1:3">
      <c r="A423" s="16" t="s">
        <v>3177</v>
      </c>
      <c r="B423" s="14" t="s">
        <v>3178</v>
      </c>
      <c r="C423" s="14" t="s">
        <v>2412</v>
      </c>
    </row>
    <row r="424" s="11" customFormat="1" ht="17.4" spans="1:3">
      <c r="A424" s="16" t="s">
        <v>3179</v>
      </c>
      <c r="B424" s="14" t="s">
        <v>3180</v>
      </c>
      <c r="C424" s="14" t="s">
        <v>3087</v>
      </c>
    </row>
    <row r="425" s="11" customFormat="1" ht="17.4" spans="1:3">
      <c r="A425" s="16" t="s">
        <v>3181</v>
      </c>
      <c r="B425" s="14" t="s">
        <v>3182</v>
      </c>
      <c r="C425" s="14" t="s">
        <v>2401</v>
      </c>
    </row>
    <row r="426" s="11" customFormat="1" ht="17.4" spans="1:3">
      <c r="A426" s="16" t="s">
        <v>767</v>
      </c>
      <c r="B426" s="14" t="s">
        <v>768</v>
      </c>
      <c r="C426" s="14" t="s">
        <v>2432</v>
      </c>
    </row>
    <row r="427" s="11" customFormat="1" ht="17.4" spans="1:3">
      <c r="A427" s="16" t="s">
        <v>3183</v>
      </c>
      <c r="B427" s="14" t="s">
        <v>3184</v>
      </c>
      <c r="C427" s="14" t="s">
        <v>2412</v>
      </c>
    </row>
    <row r="428" s="11" customFormat="1" ht="17.4" spans="1:3">
      <c r="A428" s="16" t="s">
        <v>3185</v>
      </c>
      <c r="B428" s="14" t="s">
        <v>3186</v>
      </c>
      <c r="C428" s="14" t="s">
        <v>2412</v>
      </c>
    </row>
    <row r="429" s="11" customFormat="1" ht="17.4" spans="1:3">
      <c r="A429" s="16" t="s">
        <v>668</v>
      </c>
      <c r="B429" s="14" t="s">
        <v>669</v>
      </c>
      <c r="C429" s="14" t="s">
        <v>2432</v>
      </c>
    </row>
    <row r="430" s="11" customFormat="1" ht="17.4" spans="1:3">
      <c r="A430" s="16" t="s">
        <v>3187</v>
      </c>
      <c r="B430" s="14" t="s">
        <v>3188</v>
      </c>
      <c r="C430" s="14" t="s">
        <v>2398</v>
      </c>
    </row>
    <row r="431" s="11" customFormat="1" ht="17.4" spans="1:3">
      <c r="A431" s="16" t="s">
        <v>3189</v>
      </c>
      <c r="B431" s="14" t="s">
        <v>3190</v>
      </c>
      <c r="C431" s="14" t="s">
        <v>2398</v>
      </c>
    </row>
    <row r="432" s="11" customFormat="1" ht="17.4" spans="1:3">
      <c r="A432" s="16" t="s">
        <v>3191</v>
      </c>
      <c r="B432" s="14" t="s">
        <v>3192</v>
      </c>
      <c r="C432" s="14" t="s">
        <v>2412</v>
      </c>
    </row>
    <row r="433" s="11" customFormat="1" ht="17.4" spans="1:3">
      <c r="A433" s="16" t="s">
        <v>3193</v>
      </c>
      <c r="B433" s="14" t="s">
        <v>3194</v>
      </c>
      <c r="C433" s="14" t="s">
        <v>2479</v>
      </c>
    </row>
    <row r="434" s="11" customFormat="1" ht="17.4" spans="1:3">
      <c r="A434" s="16" t="s">
        <v>3195</v>
      </c>
      <c r="B434" s="14" t="s">
        <v>3196</v>
      </c>
      <c r="C434" s="14" t="s">
        <v>2398</v>
      </c>
    </row>
    <row r="435" s="11" customFormat="1" ht="17.4" spans="1:3">
      <c r="A435" s="16" t="s">
        <v>3197</v>
      </c>
      <c r="B435" s="14" t="s">
        <v>3198</v>
      </c>
      <c r="C435" s="14" t="s">
        <v>2398</v>
      </c>
    </row>
    <row r="436" s="11" customFormat="1" ht="17.4" spans="1:3">
      <c r="A436" s="16" t="s">
        <v>3199</v>
      </c>
      <c r="B436" s="14" t="s">
        <v>3200</v>
      </c>
      <c r="C436" s="14" t="s">
        <v>2398</v>
      </c>
    </row>
    <row r="437" s="11" customFormat="1" ht="17.4" spans="1:3">
      <c r="A437" s="16" t="s">
        <v>3201</v>
      </c>
      <c r="B437" s="14" t="s">
        <v>3202</v>
      </c>
      <c r="C437" s="14" t="s">
        <v>2412</v>
      </c>
    </row>
    <row r="438" s="11" customFormat="1" ht="17.4" spans="1:3">
      <c r="A438" s="16" t="s">
        <v>3203</v>
      </c>
      <c r="B438" s="14" t="s">
        <v>3204</v>
      </c>
      <c r="C438" s="14" t="s">
        <v>2412</v>
      </c>
    </row>
    <row r="439" s="11" customFormat="1" ht="17.4" spans="1:3">
      <c r="A439" s="16" t="s">
        <v>3205</v>
      </c>
      <c r="B439" s="14" t="s">
        <v>3206</v>
      </c>
      <c r="C439" s="14" t="s">
        <v>2401</v>
      </c>
    </row>
    <row r="440" s="11" customFormat="1" ht="17.4" spans="1:3">
      <c r="A440" s="16" t="s">
        <v>3207</v>
      </c>
      <c r="B440" s="14" t="s">
        <v>894</v>
      </c>
      <c r="C440" s="14" t="s">
        <v>2398</v>
      </c>
    </row>
    <row r="441" s="11" customFormat="1" ht="17.4" spans="1:3">
      <c r="A441" s="16" t="s">
        <v>3208</v>
      </c>
      <c r="B441" s="14" t="s">
        <v>3209</v>
      </c>
      <c r="C441" s="14" t="s">
        <v>2479</v>
      </c>
    </row>
    <row r="442" s="11" customFormat="1" ht="17.4" spans="1:3">
      <c r="A442" s="16" t="s">
        <v>3210</v>
      </c>
      <c r="B442" s="14" t="s">
        <v>3211</v>
      </c>
      <c r="C442" s="14" t="s">
        <v>2409</v>
      </c>
    </row>
    <row r="443" s="11" customFormat="1" ht="17.4" spans="1:3">
      <c r="A443" s="16" t="s">
        <v>3212</v>
      </c>
      <c r="B443" s="14" t="s">
        <v>3213</v>
      </c>
      <c r="C443" s="14" t="s">
        <v>3087</v>
      </c>
    </row>
    <row r="444" s="11" customFormat="1" ht="17.4" spans="1:3">
      <c r="A444" s="16" t="s">
        <v>3214</v>
      </c>
      <c r="B444" s="14" t="s">
        <v>3215</v>
      </c>
      <c r="C444" s="14" t="s">
        <v>2398</v>
      </c>
    </row>
    <row r="445" s="11" customFormat="1" ht="17.4" spans="1:3">
      <c r="A445" s="16" t="s">
        <v>3216</v>
      </c>
      <c r="B445" s="14" t="s">
        <v>3217</v>
      </c>
      <c r="C445" s="14" t="s">
        <v>2398</v>
      </c>
    </row>
    <row r="446" s="11" customFormat="1" ht="17.4" spans="1:3">
      <c r="A446" s="16" t="s">
        <v>3218</v>
      </c>
      <c r="B446" s="14" t="s">
        <v>3219</v>
      </c>
      <c r="C446" s="14" t="s">
        <v>2432</v>
      </c>
    </row>
    <row r="447" s="11" customFormat="1" ht="17.4" spans="1:3">
      <c r="A447" s="16" t="s">
        <v>3220</v>
      </c>
      <c r="B447" s="14" t="s">
        <v>3196</v>
      </c>
      <c r="C447" s="14" t="s">
        <v>2398</v>
      </c>
    </row>
    <row r="448" s="11" customFormat="1" ht="17.4" spans="1:3">
      <c r="A448" s="16" t="s">
        <v>3221</v>
      </c>
      <c r="B448" s="14" t="s">
        <v>3222</v>
      </c>
      <c r="C448" s="14" t="s">
        <v>3223</v>
      </c>
    </row>
    <row r="449" s="11" customFormat="1" ht="17.4" spans="1:3">
      <c r="A449" s="16" t="s">
        <v>3224</v>
      </c>
      <c r="B449" s="14" t="s">
        <v>3225</v>
      </c>
      <c r="C449" s="14" t="s">
        <v>3223</v>
      </c>
    </row>
    <row r="450" s="11" customFormat="1" ht="17.4" spans="1:3">
      <c r="A450" s="16" t="s">
        <v>3226</v>
      </c>
      <c r="B450" s="14" t="s">
        <v>3227</v>
      </c>
      <c r="C450" s="14" t="s">
        <v>3223</v>
      </c>
    </row>
    <row r="451" s="11" customFormat="1" ht="17.4" spans="1:3">
      <c r="A451" s="16" t="s">
        <v>893</v>
      </c>
      <c r="B451" s="14" t="s">
        <v>894</v>
      </c>
      <c r="C451" s="14" t="s">
        <v>2398</v>
      </c>
    </row>
    <row r="452" s="11" customFormat="1" ht="17.4" spans="1:3">
      <c r="A452" s="16" t="s">
        <v>3228</v>
      </c>
      <c r="B452" s="14" t="s">
        <v>3229</v>
      </c>
      <c r="C452" s="14" t="s">
        <v>2409</v>
      </c>
    </row>
    <row r="453" s="11" customFormat="1" ht="17.4" spans="1:3">
      <c r="A453" s="16" t="s">
        <v>3230</v>
      </c>
      <c r="B453" s="14" t="s">
        <v>3231</v>
      </c>
      <c r="C453" s="14" t="s">
        <v>2432</v>
      </c>
    </row>
    <row r="454" s="11" customFormat="1" ht="17.4" spans="1:3">
      <c r="A454" s="16" t="s">
        <v>3232</v>
      </c>
      <c r="B454" s="14" t="s">
        <v>3233</v>
      </c>
      <c r="C454" s="14" t="s">
        <v>2401</v>
      </c>
    </row>
    <row r="455" s="11" customFormat="1" ht="17.4" spans="1:3">
      <c r="A455" s="16" t="s">
        <v>3234</v>
      </c>
      <c r="B455" s="14" t="s">
        <v>3235</v>
      </c>
      <c r="C455" s="14" t="s">
        <v>2401</v>
      </c>
    </row>
    <row r="456" s="11" customFormat="1" ht="17.4" spans="1:3">
      <c r="A456" s="16" t="s">
        <v>3236</v>
      </c>
      <c r="B456" s="14" t="s">
        <v>3237</v>
      </c>
      <c r="C456" s="14" t="s">
        <v>2412</v>
      </c>
    </row>
    <row r="457" s="11" customFormat="1" ht="17.4" spans="1:3">
      <c r="A457" s="16" t="s">
        <v>3238</v>
      </c>
      <c r="B457" s="14" t="s">
        <v>3239</v>
      </c>
      <c r="C457" s="14" t="s">
        <v>2398</v>
      </c>
    </row>
    <row r="458" s="11" customFormat="1" ht="17.4" spans="1:3">
      <c r="A458" s="16" t="s">
        <v>3240</v>
      </c>
      <c r="B458" s="14" t="s">
        <v>3241</v>
      </c>
      <c r="C458" s="14" t="s">
        <v>2412</v>
      </c>
    </row>
    <row r="459" s="11" customFormat="1" ht="17.4" spans="1:3">
      <c r="A459" s="16" t="s">
        <v>3242</v>
      </c>
      <c r="B459" s="14" t="s">
        <v>3206</v>
      </c>
      <c r="C459" s="14" t="s">
        <v>2401</v>
      </c>
    </row>
    <row r="460" s="11" customFormat="1" ht="17.4" spans="1:3">
      <c r="A460" s="16" t="s">
        <v>3243</v>
      </c>
      <c r="B460" s="14" t="s">
        <v>3244</v>
      </c>
      <c r="C460" s="14" t="s">
        <v>2412</v>
      </c>
    </row>
    <row r="461" s="11" customFormat="1" ht="17.4" spans="1:3">
      <c r="A461" s="16" t="s">
        <v>3245</v>
      </c>
      <c r="B461" s="14" t="s">
        <v>3246</v>
      </c>
      <c r="C461" s="14" t="s">
        <v>2412</v>
      </c>
    </row>
    <row r="462" s="11" customFormat="1" ht="17.4" spans="1:3">
      <c r="A462" s="16" t="s">
        <v>3247</v>
      </c>
      <c r="B462" s="14" t="s">
        <v>3248</v>
      </c>
      <c r="C462" s="14" t="s">
        <v>2398</v>
      </c>
    </row>
    <row r="463" s="11" customFormat="1" ht="17.4" spans="1:3">
      <c r="A463" s="16" t="s">
        <v>3249</v>
      </c>
      <c r="B463" s="14" t="s">
        <v>3250</v>
      </c>
      <c r="C463" s="14" t="s">
        <v>2401</v>
      </c>
    </row>
    <row r="464" s="11" customFormat="1" ht="17.4" spans="1:3">
      <c r="A464" s="16" t="s">
        <v>3251</v>
      </c>
      <c r="B464" s="14" t="s">
        <v>3252</v>
      </c>
      <c r="C464" s="14" t="s">
        <v>2401</v>
      </c>
    </row>
    <row r="465" s="11" customFormat="1" ht="17.4" spans="1:3">
      <c r="A465" s="16" t="s">
        <v>3253</v>
      </c>
      <c r="B465" s="14" t="s">
        <v>3254</v>
      </c>
      <c r="C465" s="14" t="s">
        <v>2409</v>
      </c>
    </row>
    <row r="466" s="11" customFormat="1" ht="17.4" spans="1:3">
      <c r="A466" s="16" t="s">
        <v>3255</v>
      </c>
      <c r="B466" s="14" t="s">
        <v>3256</v>
      </c>
      <c r="C466" s="14" t="s">
        <v>2398</v>
      </c>
    </row>
    <row r="467" s="11" customFormat="1" ht="17.4" spans="1:3">
      <c r="A467" s="16" t="s">
        <v>3257</v>
      </c>
      <c r="B467" s="14" t="s">
        <v>3258</v>
      </c>
      <c r="C467" s="14" t="s">
        <v>2398</v>
      </c>
    </row>
    <row r="468" s="11" customFormat="1" ht="17.4" spans="1:3">
      <c r="A468" s="16" t="s">
        <v>3259</v>
      </c>
      <c r="B468" s="14" t="s">
        <v>3260</v>
      </c>
      <c r="C468" s="14" t="s">
        <v>3087</v>
      </c>
    </row>
    <row r="469" s="11" customFormat="1" ht="17.4" spans="1:3">
      <c r="A469" s="16" t="s">
        <v>3261</v>
      </c>
      <c r="B469" s="14" t="s">
        <v>3262</v>
      </c>
      <c r="C469" s="14" t="s">
        <v>3087</v>
      </c>
    </row>
    <row r="470" s="11" customFormat="1" ht="17.4" spans="1:3">
      <c r="A470" s="16" t="s">
        <v>3263</v>
      </c>
      <c r="B470" s="14" t="s">
        <v>3264</v>
      </c>
      <c r="C470" s="14" t="s">
        <v>2498</v>
      </c>
    </row>
    <row r="471" s="11" customFormat="1" ht="17.4" spans="1:3">
      <c r="A471" s="16" t="s">
        <v>3265</v>
      </c>
      <c r="B471" s="14" t="s">
        <v>3266</v>
      </c>
      <c r="C471" s="14" t="s">
        <v>2398</v>
      </c>
    </row>
    <row r="472" s="11" customFormat="1" ht="17.4" spans="1:3">
      <c r="A472" s="16" t="s">
        <v>3267</v>
      </c>
      <c r="B472" s="14" t="s">
        <v>3268</v>
      </c>
      <c r="C472" s="14" t="s">
        <v>2479</v>
      </c>
    </row>
    <row r="473" s="11" customFormat="1" ht="17.4" spans="1:3">
      <c r="A473" s="16" t="s">
        <v>3269</v>
      </c>
      <c r="B473" s="14" t="s">
        <v>3270</v>
      </c>
      <c r="C473" s="14" t="s">
        <v>2432</v>
      </c>
    </row>
    <row r="474" s="11" customFormat="1" ht="17.4" spans="1:3">
      <c r="A474" s="16" t="s">
        <v>3271</v>
      </c>
      <c r="B474" s="14" t="s">
        <v>3272</v>
      </c>
      <c r="C474" s="14" t="s">
        <v>2412</v>
      </c>
    </row>
    <row r="475" s="11" customFormat="1" ht="17.4" spans="1:3">
      <c r="A475" s="16" t="s">
        <v>3273</v>
      </c>
      <c r="B475" s="14" t="s">
        <v>1690</v>
      </c>
      <c r="C475" s="14" t="s">
        <v>2412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328"/>
  <sheetViews>
    <sheetView workbookViewId="0">
      <selection activeCell="A1" sqref="$A1:$XFD1048576"/>
    </sheetView>
  </sheetViews>
  <sheetFormatPr defaultColWidth="9" defaultRowHeight="14.4" outlineLevelCol="2"/>
  <cols>
    <col min="1" max="1" width="17.7037037037037" style="8" customWidth="1"/>
    <col min="2" max="2" width="27" style="9" customWidth="1"/>
    <col min="3" max="3" width="15" style="8" customWidth="1"/>
    <col min="4" max="16384" width="8.7962962962963" style="1"/>
  </cols>
  <sheetData>
    <row r="1" s="1" customFormat="1" ht="19.2" spans="1:3">
      <c r="A1" s="3" t="s">
        <v>23</v>
      </c>
      <c r="B1" s="6"/>
      <c r="C1" s="3" t="s">
        <v>23</v>
      </c>
    </row>
    <row r="2" s="1" customFormat="1" ht="15.6" spans="1:3">
      <c r="A2" s="5" t="s">
        <v>3274</v>
      </c>
      <c r="B2" s="5" t="s">
        <v>2394</v>
      </c>
      <c r="C2" s="5" t="s">
        <v>3274</v>
      </c>
    </row>
    <row r="3" s="1" customFormat="1" spans="1:3">
      <c r="A3" s="6" t="s">
        <v>3275</v>
      </c>
      <c r="B3" s="6" t="s">
        <v>3276</v>
      </c>
      <c r="C3" s="6" t="s">
        <v>3275</v>
      </c>
    </row>
    <row r="4" s="1" customFormat="1" spans="1:3">
      <c r="A4" s="6" t="s">
        <v>3238</v>
      </c>
      <c r="B4" s="6" t="s">
        <v>3239</v>
      </c>
      <c r="C4" s="6" t="s">
        <v>3238</v>
      </c>
    </row>
    <row r="5" s="1" customFormat="1" spans="1:3">
      <c r="A5" s="6" t="s">
        <v>2837</v>
      </c>
      <c r="B5" s="6" t="s">
        <v>3277</v>
      </c>
      <c r="C5" s="6" t="s">
        <v>2837</v>
      </c>
    </row>
    <row r="6" s="1" customFormat="1" spans="1:3">
      <c r="A6" s="6" t="s">
        <v>3210</v>
      </c>
      <c r="B6" s="6" t="s">
        <v>3211</v>
      </c>
      <c r="C6" s="6" t="s">
        <v>3210</v>
      </c>
    </row>
    <row r="7" s="1" customFormat="1" spans="1:3">
      <c r="A7" s="6" t="s">
        <v>3278</v>
      </c>
      <c r="B7" s="6" t="s">
        <v>3279</v>
      </c>
      <c r="C7" s="6" t="s">
        <v>3278</v>
      </c>
    </row>
    <row r="8" s="1" customFormat="1" spans="1:3">
      <c r="A8" s="6" t="s">
        <v>3253</v>
      </c>
      <c r="B8" s="6" t="s">
        <v>3254</v>
      </c>
      <c r="C8" s="6" t="s">
        <v>3253</v>
      </c>
    </row>
    <row r="9" s="1" customFormat="1" spans="1:3">
      <c r="A9" s="6" t="s">
        <v>133</v>
      </c>
      <c r="B9" s="6" t="s">
        <v>134</v>
      </c>
      <c r="C9" s="6" t="s">
        <v>133</v>
      </c>
    </row>
    <row r="10" s="1" customFormat="1" spans="1:3">
      <c r="A10" s="6" t="s">
        <v>3228</v>
      </c>
      <c r="B10" s="6" t="s">
        <v>3229</v>
      </c>
      <c r="C10" s="6" t="s">
        <v>3228</v>
      </c>
    </row>
    <row r="11" s="1" customFormat="1" spans="1:3">
      <c r="A11" s="6" t="s">
        <v>2907</v>
      </c>
      <c r="B11" s="6" t="s">
        <v>3280</v>
      </c>
      <c r="C11" s="6" t="s">
        <v>2907</v>
      </c>
    </row>
    <row r="12" s="1" customFormat="1" spans="1:3">
      <c r="A12" s="6" t="s">
        <v>2828</v>
      </c>
      <c r="B12" s="6" t="s">
        <v>3281</v>
      </c>
      <c r="C12" s="6" t="s">
        <v>2828</v>
      </c>
    </row>
    <row r="13" s="1" customFormat="1" spans="1:3">
      <c r="A13" s="6" t="s">
        <v>2545</v>
      </c>
      <c r="B13" s="6" t="s">
        <v>2546</v>
      </c>
      <c r="C13" s="6" t="s">
        <v>2545</v>
      </c>
    </row>
    <row r="14" s="1" customFormat="1" spans="1:3">
      <c r="A14" s="6" t="s">
        <v>2826</v>
      </c>
      <c r="B14" s="6" t="s">
        <v>3282</v>
      </c>
      <c r="C14" s="6" t="s">
        <v>2826</v>
      </c>
    </row>
    <row r="15" s="1" customFormat="1" spans="1:3">
      <c r="A15" s="6" t="s">
        <v>2549</v>
      </c>
      <c r="B15" s="6" t="s">
        <v>2550</v>
      </c>
      <c r="C15" s="6" t="s">
        <v>2549</v>
      </c>
    </row>
    <row r="16" s="1" customFormat="1" spans="1:3">
      <c r="A16" s="6" t="s">
        <v>2820</v>
      </c>
      <c r="B16" s="6" t="s">
        <v>3283</v>
      </c>
      <c r="C16" s="6" t="s">
        <v>2820</v>
      </c>
    </row>
    <row r="17" s="1" customFormat="1" spans="1:3">
      <c r="A17" s="6" t="s">
        <v>2818</v>
      </c>
      <c r="B17" s="6" t="s">
        <v>2819</v>
      </c>
      <c r="C17" s="6" t="s">
        <v>2818</v>
      </c>
    </row>
    <row r="18" s="1" customFormat="1" spans="1:3">
      <c r="A18" s="6" t="s">
        <v>2816</v>
      </c>
      <c r="B18" s="6" t="s">
        <v>3284</v>
      </c>
      <c r="C18" s="6" t="s">
        <v>2816</v>
      </c>
    </row>
    <row r="19" s="1" customFormat="1" spans="1:3">
      <c r="A19" s="6" t="s">
        <v>2814</v>
      </c>
      <c r="B19" s="6" t="s">
        <v>3285</v>
      </c>
      <c r="C19" s="6" t="s">
        <v>2814</v>
      </c>
    </row>
    <row r="20" s="1" customFormat="1" spans="1:3">
      <c r="A20" s="6" t="s">
        <v>2812</v>
      </c>
      <c r="B20" s="6" t="s">
        <v>3286</v>
      </c>
      <c r="C20" s="6" t="s">
        <v>2812</v>
      </c>
    </row>
    <row r="21" s="1" customFormat="1" spans="1:3">
      <c r="A21" s="6" t="s">
        <v>2525</v>
      </c>
      <c r="B21" s="6" t="s">
        <v>3287</v>
      </c>
      <c r="C21" s="6" t="s">
        <v>2525</v>
      </c>
    </row>
    <row r="22" s="1" customFormat="1" spans="1:3">
      <c r="A22" s="6" t="s">
        <v>2808</v>
      </c>
      <c r="B22" s="6" t="s">
        <v>3288</v>
      </c>
      <c r="C22" s="6" t="s">
        <v>2808</v>
      </c>
    </row>
    <row r="23" s="1" customFormat="1" spans="1:3">
      <c r="A23" s="6" t="s">
        <v>2800</v>
      </c>
      <c r="B23" s="6" t="s">
        <v>3289</v>
      </c>
      <c r="C23" s="6" t="s">
        <v>2800</v>
      </c>
    </row>
    <row r="24" s="1" customFormat="1" spans="1:3">
      <c r="A24" s="6" t="s">
        <v>2804</v>
      </c>
      <c r="B24" s="6" t="s">
        <v>2805</v>
      </c>
      <c r="C24" s="6" t="s">
        <v>2804</v>
      </c>
    </row>
    <row r="25" s="1" customFormat="1" spans="1:3">
      <c r="A25" s="6" t="s">
        <v>2797</v>
      </c>
      <c r="B25" s="6" t="s">
        <v>3290</v>
      </c>
      <c r="C25" s="6" t="s">
        <v>2797</v>
      </c>
    </row>
    <row r="26" s="1" customFormat="1" spans="1:3">
      <c r="A26" s="6" t="s">
        <v>1072</v>
      </c>
      <c r="B26" s="6" t="s">
        <v>1073</v>
      </c>
      <c r="C26" s="6" t="s">
        <v>1072</v>
      </c>
    </row>
    <row r="27" s="1" customFormat="1" spans="1:3">
      <c r="A27" s="6" t="s">
        <v>2802</v>
      </c>
      <c r="B27" s="6" t="s">
        <v>3291</v>
      </c>
      <c r="C27" s="6" t="s">
        <v>2802</v>
      </c>
    </row>
    <row r="28" s="1" customFormat="1" spans="1:3">
      <c r="A28" s="6" t="s">
        <v>2793</v>
      </c>
      <c r="B28" s="6" t="s">
        <v>3292</v>
      </c>
      <c r="C28" s="6" t="s">
        <v>2793</v>
      </c>
    </row>
    <row r="29" s="1" customFormat="1" spans="1:3">
      <c r="A29" s="6" t="s">
        <v>2791</v>
      </c>
      <c r="B29" s="6" t="s">
        <v>3293</v>
      </c>
      <c r="C29" s="6" t="s">
        <v>2791</v>
      </c>
    </row>
    <row r="30" s="1" customFormat="1" spans="1:3">
      <c r="A30" s="6" t="s">
        <v>2789</v>
      </c>
      <c r="B30" s="6" t="s">
        <v>3294</v>
      </c>
      <c r="C30" s="6" t="s">
        <v>2789</v>
      </c>
    </row>
    <row r="31" s="1" customFormat="1" spans="1:3">
      <c r="A31" s="6" t="s">
        <v>3006</v>
      </c>
      <c r="B31" s="6" t="s">
        <v>3007</v>
      </c>
      <c r="C31" s="6" t="s">
        <v>3006</v>
      </c>
    </row>
    <row r="32" s="1" customFormat="1" spans="1:3">
      <c r="A32" s="6" t="s">
        <v>2824</v>
      </c>
      <c r="B32" s="6" t="s">
        <v>2825</v>
      </c>
      <c r="C32" s="6" t="s">
        <v>2824</v>
      </c>
    </row>
    <row r="33" s="1" customFormat="1" spans="1:3">
      <c r="A33" s="6" t="s">
        <v>2822</v>
      </c>
      <c r="B33" s="6" t="s">
        <v>2823</v>
      </c>
      <c r="C33" s="6" t="s">
        <v>2822</v>
      </c>
    </row>
    <row r="34" s="1" customFormat="1" spans="1:3">
      <c r="A34" s="6" t="s">
        <v>2767</v>
      </c>
      <c r="B34" s="6" t="s">
        <v>3295</v>
      </c>
      <c r="C34" s="6" t="s">
        <v>2767</v>
      </c>
    </row>
    <row r="35" s="1" customFormat="1" spans="1:3">
      <c r="A35" s="6" t="s">
        <v>2787</v>
      </c>
      <c r="B35" s="6" t="s">
        <v>2788</v>
      </c>
      <c r="C35" s="6" t="s">
        <v>2787</v>
      </c>
    </row>
    <row r="36" s="1" customFormat="1" spans="1:3">
      <c r="A36" s="6" t="s">
        <v>2785</v>
      </c>
      <c r="B36" s="6" t="s">
        <v>3296</v>
      </c>
      <c r="C36" s="6" t="s">
        <v>2785</v>
      </c>
    </row>
    <row r="37" s="1" customFormat="1" spans="1:3">
      <c r="A37" s="6" t="s">
        <v>2769</v>
      </c>
      <c r="B37" s="6" t="s">
        <v>3297</v>
      </c>
      <c r="C37" s="6" t="s">
        <v>2769</v>
      </c>
    </row>
    <row r="38" s="1" customFormat="1" spans="1:3">
      <c r="A38" s="6" t="s">
        <v>2773</v>
      </c>
      <c r="B38" s="6" t="s">
        <v>3298</v>
      </c>
      <c r="C38" s="6" t="s">
        <v>2773</v>
      </c>
    </row>
    <row r="39" s="1" customFormat="1" spans="1:3">
      <c r="A39" s="6" t="s">
        <v>2976</v>
      </c>
      <c r="B39" s="6" t="s">
        <v>2977</v>
      </c>
      <c r="C39" s="6" t="s">
        <v>2976</v>
      </c>
    </row>
    <row r="40" s="1" customFormat="1" spans="1:3">
      <c r="A40" s="6" t="s">
        <v>2771</v>
      </c>
      <c r="B40" s="6" t="s">
        <v>2772</v>
      </c>
      <c r="C40" s="6" t="s">
        <v>2771</v>
      </c>
    </row>
    <row r="41" s="1" customFormat="1" spans="1:3">
      <c r="A41" s="6" t="s">
        <v>2806</v>
      </c>
      <c r="B41" s="6" t="s">
        <v>2807</v>
      </c>
      <c r="C41" s="6" t="s">
        <v>2806</v>
      </c>
    </row>
    <row r="42" s="1" customFormat="1" spans="1:3">
      <c r="A42" s="6" t="s">
        <v>3299</v>
      </c>
      <c r="B42" s="6" t="s">
        <v>3300</v>
      </c>
      <c r="C42" s="6" t="s">
        <v>3299</v>
      </c>
    </row>
    <row r="43" s="1" customFormat="1" spans="1:3">
      <c r="A43" s="6" t="s">
        <v>2781</v>
      </c>
      <c r="B43" s="6" t="s">
        <v>3301</v>
      </c>
      <c r="C43" s="6" t="s">
        <v>2781</v>
      </c>
    </row>
    <row r="44" s="1" customFormat="1" spans="1:3">
      <c r="A44" s="6" t="s">
        <v>2779</v>
      </c>
      <c r="B44" s="6" t="s">
        <v>3302</v>
      </c>
      <c r="C44" s="6" t="s">
        <v>2779</v>
      </c>
    </row>
    <row r="45" s="1" customFormat="1" spans="1:3">
      <c r="A45" s="6" t="s">
        <v>2777</v>
      </c>
      <c r="B45" s="6" t="s">
        <v>3303</v>
      </c>
      <c r="C45" s="6" t="s">
        <v>2777</v>
      </c>
    </row>
    <row r="46" s="1" customFormat="1" spans="1:3">
      <c r="A46" s="6" t="s">
        <v>2764</v>
      </c>
      <c r="B46" s="6" t="s">
        <v>3304</v>
      </c>
      <c r="C46" s="6" t="s">
        <v>2764</v>
      </c>
    </row>
    <row r="47" s="1" customFormat="1" spans="1:3">
      <c r="A47" s="6" t="s">
        <v>2775</v>
      </c>
      <c r="B47" s="6" t="s">
        <v>3305</v>
      </c>
      <c r="C47" s="6" t="s">
        <v>2775</v>
      </c>
    </row>
    <row r="48" s="1" customFormat="1" spans="1:3">
      <c r="A48" s="6" t="s">
        <v>2762</v>
      </c>
      <c r="B48" s="6" t="s">
        <v>3306</v>
      </c>
      <c r="C48" s="6" t="s">
        <v>2762</v>
      </c>
    </row>
    <row r="49" s="1" customFormat="1" spans="1:3">
      <c r="A49" s="6" t="s">
        <v>1919</v>
      </c>
      <c r="B49" s="6" t="s">
        <v>1920</v>
      </c>
      <c r="C49" s="6" t="s">
        <v>1919</v>
      </c>
    </row>
    <row r="50" s="1" customFormat="1" spans="1:3">
      <c r="A50" s="6" t="s">
        <v>2198</v>
      </c>
      <c r="B50" s="6" t="s">
        <v>2199</v>
      </c>
      <c r="C50" s="6" t="s">
        <v>2198</v>
      </c>
    </row>
    <row r="51" s="1" customFormat="1" spans="1:3">
      <c r="A51" s="6" t="s">
        <v>3221</v>
      </c>
      <c r="B51" s="6" t="s">
        <v>3222</v>
      </c>
      <c r="C51" s="6" t="s">
        <v>3221</v>
      </c>
    </row>
    <row r="52" s="1" customFormat="1" spans="1:3">
      <c r="A52" s="6" t="s">
        <v>3167</v>
      </c>
      <c r="B52" s="6" t="s">
        <v>3307</v>
      </c>
      <c r="C52" s="6" t="s">
        <v>3167</v>
      </c>
    </row>
    <row r="53" s="1" customFormat="1" ht="28.8" spans="1:3">
      <c r="A53" s="6" t="s">
        <v>390</v>
      </c>
      <c r="B53" s="6" t="s">
        <v>391</v>
      </c>
      <c r="C53" s="6" t="s">
        <v>390</v>
      </c>
    </row>
    <row r="54" s="1" customFormat="1" spans="1:3">
      <c r="A54" s="6" t="s">
        <v>3308</v>
      </c>
      <c r="B54" s="6" t="s">
        <v>3309</v>
      </c>
      <c r="C54" s="6" t="s">
        <v>3308</v>
      </c>
    </row>
    <row r="55" s="1" customFormat="1" spans="1:3">
      <c r="A55" s="6" t="s">
        <v>3127</v>
      </c>
      <c r="B55" s="6" t="s">
        <v>3310</v>
      </c>
      <c r="C55" s="6" t="s">
        <v>3127</v>
      </c>
    </row>
    <row r="56" s="1" customFormat="1" spans="1:3">
      <c r="A56" s="6" t="s">
        <v>2036</v>
      </c>
      <c r="B56" s="6" t="s">
        <v>2037</v>
      </c>
      <c r="C56" s="6" t="s">
        <v>2036</v>
      </c>
    </row>
    <row r="57" s="1" customFormat="1" spans="1:3">
      <c r="A57" s="6" t="s">
        <v>86</v>
      </c>
      <c r="B57" s="6" t="s">
        <v>87</v>
      </c>
      <c r="C57" s="6" t="s">
        <v>86</v>
      </c>
    </row>
    <row r="58" s="1" customFormat="1" spans="1:3">
      <c r="A58" s="6" t="s">
        <v>97</v>
      </c>
      <c r="B58" s="6" t="s">
        <v>98</v>
      </c>
      <c r="C58" s="6" t="s">
        <v>97</v>
      </c>
    </row>
    <row r="59" s="1" customFormat="1" spans="1:3">
      <c r="A59" s="6" t="s">
        <v>2388</v>
      </c>
      <c r="B59" s="6" t="s">
        <v>2389</v>
      </c>
      <c r="C59" s="6" t="s">
        <v>2388</v>
      </c>
    </row>
    <row r="60" s="1" customFormat="1" spans="1:3">
      <c r="A60" s="6" t="s">
        <v>3123</v>
      </c>
      <c r="B60" s="6" t="s">
        <v>3311</v>
      </c>
      <c r="C60" s="6" t="s">
        <v>3123</v>
      </c>
    </row>
    <row r="61" s="1" customFormat="1" spans="1:3">
      <c r="A61" s="6" t="s">
        <v>3118</v>
      </c>
      <c r="B61" s="6" t="s">
        <v>3312</v>
      </c>
      <c r="C61" s="6" t="s">
        <v>3118</v>
      </c>
    </row>
    <row r="62" s="1" customFormat="1" spans="1:3">
      <c r="A62" s="6" t="s">
        <v>3120</v>
      </c>
      <c r="B62" s="6" t="s">
        <v>3313</v>
      </c>
      <c r="C62" s="6" t="s">
        <v>3120</v>
      </c>
    </row>
    <row r="63" s="1" customFormat="1" spans="1:3">
      <c r="A63" s="6" t="s">
        <v>114</v>
      </c>
      <c r="B63" s="6" t="s">
        <v>115</v>
      </c>
      <c r="C63" s="6" t="s">
        <v>114</v>
      </c>
    </row>
    <row r="64" s="1" customFormat="1" spans="1:3">
      <c r="A64" s="6" t="s">
        <v>141</v>
      </c>
      <c r="B64" s="6" t="s">
        <v>142</v>
      </c>
      <c r="C64" s="6" t="s">
        <v>141</v>
      </c>
    </row>
    <row r="65" s="1" customFormat="1" spans="1:3">
      <c r="A65" s="6" t="s">
        <v>2879</v>
      </c>
      <c r="B65" s="6" t="s">
        <v>3314</v>
      </c>
      <c r="C65" s="6" t="s">
        <v>2879</v>
      </c>
    </row>
    <row r="66" s="1" customFormat="1" spans="1:3">
      <c r="A66" s="6" t="s">
        <v>2883</v>
      </c>
      <c r="B66" s="6" t="s">
        <v>3315</v>
      </c>
      <c r="C66" s="6" t="s">
        <v>2883</v>
      </c>
    </row>
    <row r="67" s="1" customFormat="1" spans="1:3">
      <c r="A67" s="6" t="s">
        <v>2881</v>
      </c>
      <c r="B67" s="6" t="s">
        <v>3316</v>
      </c>
      <c r="C67" s="6" t="s">
        <v>2881</v>
      </c>
    </row>
    <row r="68" s="1" customFormat="1" spans="1:3">
      <c r="A68" s="6" t="s">
        <v>2887</v>
      </c>
      <c r="B68" s="6" t="s">
        <v>3317</v>
      </c>
      <c r="C68" s="6" t="s">
        <v>2887</v>
      </c>
    </row>
    <row r="69" s="1" customFormat="1" spans="1:3">
      <c r="A69" s="6" t="s">
        <v>2889</v>
      </c>
      <c r="B69" s="6" t="s">
        <v>3318</v>
      </c>
      <c r="C69" s="6" t="s">
        <v>2889</v>
      </c>
    </row>
    <row r="70" s="1" customFormat="1" spans="1:3">
      <c r="A70" s="6" t="s">
        <v>2891</v>
      </c>
      <c r="B70" s="6" t="s">
        <v>3319</v>
      </c>
      <c r="C70" s="6" t="s">
        <v>2891</v>
      </c>
    </row>
    <row r="71" s="1" customFormat="1" spans="1:3">
      <c r="A71" s="6" t="s">
        <v>3177</v>
      </c>
      <c r="B71" s="6" t="s">
        <v>3320</v>
      </c>
      <c r="C71" s="6" t="s">
        <v>3177</v>
      </c>
    </row>
    <row r="72" s="1" customFormat="1" spans="1:3">
      <c r="A72" s="6" t="s">
        <v>3115</v>
      </c>
      <c r="B72" s="6" t="s">
        <v>3321</v>
      </c>
      <c r="C72" s="6" t="s">
        <v>3115</v>
      </c>
    </row>
    <row r="73" s="1" customFormat="1" spans="1:3">
      <c r="A73" s="6" t="s">
        <v>2863</v>
      </c>
      <c r="B73" s="6" t="s">
        <v>3322</v>
      </c>
      <c r="C73" s="6" t="s">
        <v>2863</v>
      </c>
    </row>
    <row r="74" s="1" customFormat="1" spans="1:3">
      <c r="A74" s="6" t="s">
        <v>2994</v>
      </c>
      <c r="B74" s="6" t="s">
        <v>3323</v>
      </c>
      <c r="C74" s="6" t="s">
        <v>2994</v>
      </c>
    </row>
    <row r="75" s="1" customFormat="1" spans="1:3">
      <c r="A75" s="6" t="s">
        <v>2865</v>
      </c>
      <c r="B75" s="6" t="s">
        <v>3324</v>
      </c>
      <c r="C75" s="6" t="s">
        <v>2865</v>
      </c>
    </row>
    <row r="76" s="1" customFormat="1" spans="1:3">
      <c r="A76" s="6" t="s">
        <v>2869</v>
      </c>
      <c r="B76" s="6" t="s">
        <v>2870</v>
      </c>
      <c r="C76" s="6" t="s">
        <v>2869</v>
      </c>
    </row>
    <row r="77" s="1" customFormat="1" spans="1:3">
      <c r="A77" s="6" t="s">
        <v>2871</v>
      </c>
      <c r="B77" s="6" t="s">
        <v>3325</v>
      </c>
      <c r="C77" s="6" t="s">
        <v>2871</v>
      </c>
    </row>
    <row r="78" s="1" customFormat="1" spans="1:3">
      <c r="A78" s="6" t="s">
        <v>2873</v>
      </c>
      <c r="B78" s="6" t="s">
        <v>3326</v>
      </c>
      <c r="C78" s="6" t="s">
        <v>2873</v>
      </c>
    </row>
    <row r="79" s="1" customFormat="1" spans="1:3">
      <c r="A79" s="6" t="s">
        <v>2877</v>
      </c>
      <c r="B79" s="6" t="s">
        <v>3327</v>
      </c>
      <c r="C79" s="6" t="s">
        <v>2877</v>
      </c>
    </row>
    <row r="80" s="1" customFormat="1" spans="1:3">
      <c r="A80" s="6" t="s">
        <v>3010</v>
      </c>
      <c r="B80" s="6" t="s">
        <v>3328</v>
      </c>
      <c r="C80" s="6" t="s">
        <v>3010</v>
      </c>
    </row>
    <row r="81" s="1" customFormat="1" spans="1:3">
      <c r="A81" s="6" t="s">
        <v>2841</v>
      </c>
      <c r="B81" s="6" t="s">
        <v>3329</v>
      </c>
      <c r="C81" s="6" t="s">
        <v>2841</v>
      </c>
    </row>
    <row r="82" s="1" customFormat="1" spans="1:3">
      <c r="A82" s="6" t="s">
        <v>2855</v>
      </c>
      <c r="B82" s="6" t="s">
        <v>3330</v>
      </c>
      <c r="C82" s="6" t="s">
        <v>2855</v>
      </c>
    </row>
    <row r="83" s="1" customFormat="1" spans="1:3">
      <c r="A83" s="6" t="s">
        <v>2857</v>
      </c>
      <c r="B83" s="6" t="s">
        <v>3331</v>
      </c>
      <c r="C83" s="6" t="s">
        <v>2857</v>
      </c>
    </row>
    <row r="84" s="1" customFormat="1" spans="1:3">
      <c r="A84" s="6" t="s">
        <v>3332</v>
      </c>
      <c r="B84" s="6" t="s">
        <v>3333</v>
      </c>
      <c r="C84" s="6" t="s">
        <v>3332</v>
      </c>
    </row>
    <row r="85" s="1" customFormat="1" spans="1:3">
      <c r="A85" s="6" t="s">
        <v>2990</v>
      </c>
      <c r="B85" s="6" t="s">
        <v>3334</v>
      </c>
      <c r="C85" s="6" t="s">
        <v>2990</v>
      </c>
    </row>
    <row r="86" s="1" customFormat="1" spans="1:3">
      <c r="A86" s="6" t="s">
        <v>2847</v>
      </c>
      <c r="B86" s="6" t="s">
        <v>2848</v>
      </c>
      <c r="C86" s="6" t="s">
        <v>2847</v>
      </c>
    </row>
    <row r="87" s="1" customFormat="1" spans="1:3">
      <c r="A87" s="6" t="s">
        <v>2849</v>
      </c>
      <c r="B87" s="6" t="s">
        <v>3335</v>
      </c>
      <c r="C87" s="6" t="s">
        <v>2849</v>
      </c>
    </row>
    <row r="88" s="1" customFormat="1" spans="1:3">
      <c r="A88" s="6" t="s">
        <v>2853</v>
      </c>
      <c r="B88" s="6" t="s">
        <v>2854</v>
      </c>
      <c r="C88" s="6" t="s">
        <v>2853</v>
      </c>
    </row>
    <row r="89" s="1" customFormat="1" spans="1:3">
      <c r="A89" s="6" t="s">
        <v>2851</v>
      </c>
      <c r="B89" s="6" t="s">
        <v>3336</v>
      </c>
      <c r="C89" s="6" t="s">
        <v>2851</v>
      </c>
    </row>
    <row r="90" s="1" customFormat="1" spans="1:3">
      <c r="A90" s="6" t="s">
        <v>3337</v>
      </c>
      <c r="B90" s="6" t="s">
        <v>3338</v>
      </c>
      <c r="C90" s="6" t="s">
        <v>3337</v>
      </c>
    </row>
    <row r="91" s="1" customFormat="1" spans="1:3">
      <c r="A91" s="6" t="s">
        <v>2835</v>
      </c>
      <c r="B91" s="6" t="s">
        <v>3339</v>
      </c>
      <c r="C91" s="6" t="s">
        <v>2835</v>
      </c>
    </row>
    <row r="92" s="1" customFormat="1" spans="1:3">
      <c r="A92" s="6" t="s">
        <v>2843</v>
      </c>
      <c r="B92" s="6" t="s">
        <v>3340</v>
      </c>
      <c r="C92" s="6" t="s">
        <v>2843</v>
      </c>
    </row>
    <row r="93" s="1" customFormat="1" spans="1:3">
      <c r="A93" s="6" t="s">
        <v>2845</v>
      </c>
      <c r="B93" s="6" t="s">
        <v>3341</v>
      </c>
      <c r="C93" s="6" t="s">
        <v>2845</v>
      </c>
    </row>
    <row r="94" s="1" customFormat="1" spans="1:3">
      <c r="A94" s="6" t="s">
        <v>2839</v>
      </c>
      <c r="B94" s="6" t="s">
        <v>3342</v>
      </c>
      <c r="C94" s="6" t="s">
        <v>2839</v>
      </c>
    </row>
    <row r="95" s="1" customFormat="1" spans="1:3">
      <c r="A95" s="6" t="s">
        <v>3020</v>
      </c>
      <c r="B95" s="6" t="s">
        <v>3343</v>
      </c>
      <c r="C95" s="6" t="s">
        <v>3020</v>
      </c>
    </row>
    <row r="96" s="1" customFormat="1" spans="1:3">
      <c r="A96" s="6" t="s">
        <v>2676</v>
      </c>
      <c r="B96" s="6" t="s">
        <v>3344</v>
      </c>
      <c r="C96" s="6" t="s">
        <v>2676</v>
      </c>
    </row>
    <row r="97" s="1" customFormat="1" spans="1:3">
      <c r="A97" s="6" t="s">
        <v>2678</v>
      </c>
      <c r="B97" s="6" t="s">
        <v>2679</v>
      </c>
      <c r="C97" s="6" t="s">
        <v>2678</v>
      </c>
    </row>
    <row r="98" s="1" customFormat="1" spans="1:3">
      <c r="A98" s="6" t="s">
        <v>2674</v>
      </c>
      <c r="B98" s="6" t="s">
        <v>3345</v>
      </c>
      <c r="C98" s="6" t="s">
        <v>2674</v>
      </c>
    </row>
    <row r="99" s="1" customFormat="1" spans="1:3">
      <c r="A99" s="6" t="s">
        <v>3135</v>
      </c>
      <c r="B99" s="6" t="s">
        <v>3136</v>
      </c>
      <c r="C99" s="6" t="s">
        <v>3135</v>
      </c>
    </row>
    <row r="100" s="1" customFormat="1" ht="28.8" spans="1:3">
      <c r="A100" s="6" t="s">
        <v>3346</v>
      </c>
      <c r="B100" s="6" t="s">
        <v>3347</v>
      </c>
      <c r="C100" s="6" t="s">
        <v>3346</v>
      </c>
    </row>
    <row r="101" s="1" customFormat="1" spans="1:3">
      <c r="A101" s="6" t="s">
        <v>57</v>
      </c>
      <c r="B101" s="6" t="s">
        <v>58</v>
      </c>
      <c r="C101" s="6" t="s">
        <v>57</v>
      </c>
    </row>
    <row r="102" s="1" customFormat="1" spans="1:3">
      <c r="A102" s="6" t="s">
        <v>2680</v>
      </c>
      <c r="B102" s="6" t="s">
        <v>2681</v>
      </c>
      <c r="C102" s="6" t="s">
        <v>2680</v>
      </c>
    </row>
    <row r="103" s="1" customFormat="1" spans="1:3">
      <c r="A103" s="6" t="s">
        <v>2664</v>
      </c>
      <c r="B103" s="6" t="s">
        <v>3348</v>
      </c>
      <c r="C103" s="6" t="s">
        <v>2664</v>
      </c>
    </row>
    <row r="104" s="1" customFormat="1" spans="1:3">
      <c r="A104" s="6" t="s">
        <v>3349</v>
      </c>
      <c r="B104" s="6" t="s">
        <v>3350</v>
      </c>
      <c r="C104" s="6" t="s">
        <v>3349</v>
      </c>
    </row>
    <row r="105" s="1" customFormat="1" spans="1:3">
      <c r="A105" s="6" t="s">
        <v>2666</v>
      </c>
      <c r="B105" s="6" t="s">
        <v>3351</v>
      </c>
      <c r="C105" s="6" t="s">
        <v>2666</v>
      </c>
    </row>
    <row r="106" s="1" customFormat="1" spans="1:3">
      <c r="A106" s="6" t="s">
        <v>290</v>
      </c>
      <c r="B106" s="6" t="s">
        <v>291</v>
      </c>
      <c r="C106" s="6" t="s">
        <v>290</v>
      </c>
    </row>
    <row r="107" s="1" customFormat="1" spans="1:3">
      <c r="A107" s="6" t="s">
        <v>2668</v>
      </c>
      <c r="B107" s="6" t="s">
        <v>3352</v>
      </c>
      <c r="C107" s="6" t="s">
        <v>2668</v>
      </c>
    </row>
    <row r="108" s="1" customFormat="1" spans="1:3">
      <c r="A108" s="6" t="s">
        <v>2672</v>
      </c>
      <c r="B108" s="6" t="s">
        <v>3353</v>
      </c>
      <c r="C108" s="6" t="s">
        <v>2672</v>
      </c>
    </row>
    <row r="109" s="1" customFormat="1" spans="1:3">
      <c r="A109" s="6" t="s">
        <v>72</v>
      </c>
      <c r="B109" s="6" t="s">
        <v>73</v>
      </c>
      <c r="C109" s="6" t="s">
        <v>72</v>
      </c>
    </row>
    <row r="110" s="1" customFormat="1" spans="1:3">
      <c r="A110" s="6" t="s">
        <v>644</v>
      </c>
      <c r="B110" s="6" t="s">
        <v>645</v>
      </c>
      <c r="C110" s="6" t="s">
        <v>644</v>
      </c>
    </row>
    <row r="111" s="1" customFormat="1" ht="28.8" spans="1:3">
      <c r="A111" s="6" t="s">
        <v>3354</v>
      </c>
      <c r="B111" s="6" t="s">
        <v>3355</v>
      </c>
      <c r="C111" s="6" t="s">
        <v>3354</v>
      </c>
    </row>
    <row r="112" s="1" customFormat="1" spans="1:3">
      <c r="A112" s="6" t="s">
        <v>1064</v>
      </c>
      <c r="B112" s="6" t="s">
        <v>1065</v>
      </c>
      <c r="C112" s="6" t="s">
        <v>1064</v>
      </c>
    </row>
    <row r="113" s="1" customFormat="1" spans="1:3">
      <c r="A113" s="6" t="s">
        <v>2656</v>
      </c>
      <c r="B113" s="6" t="s">
        <v>3356</v>
      </c>
      <c r="C113" s="6" t="s">
        <v>2656</v>
      </c>
    </row>
    <row r="114" s="1" customFormat="1" spans="1:3">
      <c r="A114" s="6" t="s">
        <v>2192</v>
      </c>
      <c r="B114" s="6" t="s">
        <v>2193</v>
      </c>
      <c r="C114" s="6" t="s">
        <v>2192</v>
      </c>
    </row>
    <row r="115" s="1" customFormat="1" spans="1:3">
      <c r="A115" s="6" t="s">
        <v>3357</v>
      </c>
      <c r="B115" s="6" t="s">
        <v>3358</v>
      </c>
      <c r="C115" s="6" t="s">
        <v>3357</v>
      </c>
    </row>
    <row r="116" s="1" customFormat="1" spans="1:3">
      <c r="A116" s="6" t="s">
        <v>2660</v>
      </c>
      <c r="B116" s="6" t="s">
        <v>3359</v>
      </c>
      <c r="C116" s="6" t="s">
        <v>2660</v>
      </c>
    </row>
    <row r="117" s="1" customFormat="1" spans="1:3">
      <c r="A117" s="6" t="s">
        <v>2683</v>
      </c>
      <c r="B117" s="6" t="s">
        <v>2684</v>
      </c>
      <c r="C117" s="6" t="s">
        <v>2683</v>
      </c>
    </row>
    <row r="118" s="1" customFormat="1" spans="1:3">
      <c r="A118" s="6" t="s">
        <v>2662</v>
      </c>
      <c r="B118" s="6" t="s">
        <v>3360</v>
      </c>
      <c r="C118" s="6" t="s">
        <v>2662</v>
      </c>
    </row>
    <row r="119" s="1" customFormat="1" spans="1:3">
      <c r="A119" s="6" t="s">
        <v>2685</v>
      </c>
      <c r="B119" s="6" t="s">
        <v>3361</v>
      </c>
      <c r="C119" s="6" t="s">
        <v>2685</v>
      </c>
    </row>
    <row r="120" s="1" customFormat="1" spans="1:3">
      <c r="A120" s="6" t="s">
        <v>2650</v>
      </c>
      <c r="B120" s="6" t="s">
        <v>3362</v>
      </c>
      <c r="C120" s="6" t="s">
        <v>2650</v>
      </c>
    </row>
    <row r="121" s="1" customFormat="1" spans="1:3">
      <c r="A121" s="6" t="s">
        <v>1208</v>
      </c>
      <c r="B121" s="6" t="s">
        <v>1209</v>
      </c>
      <c r="C121" s="6" t="s">
        <v>1208</v>
      </c>
    </row>
    <row r="122" s="1" customFormat="1" spans="1:3">
      <c r="A122" s="6" t="s">
        <v>1089</v>
      </c>
      <c r="B122" s="6" t="s">
        <v>1090</v>
      </c>
      <c r="C122" s="6" t="s">
        <v>1089</v>
      </c>
    </row>
    <row r="123" s="1" customFormat="1" spans="1:3">
      <c r="A123" s="6" t="s">
        <v>2654</v>
      </c>
      <c r="B123" s="6" t="s">
        <v>3363</v>
      </c>
      <c r="C123" s="6" t="s">
        <v>2654</v>
      </c>
    </row>
    <row r="124" s="1" customFormat="1" spans="1:3">
      <c r="A124" s="6" t="s">
        <v>776</v>
      </c>
      <c r="B124" s="6" t="s">
        <v>777</v>
      </c>
      <c r="C124" s="6" t="s">
        <v>776</v>
      </c>
    </row>
    <row r="125" s="1" customFormat="1" spans="1:3">
      <c r="A125" s="6" t="s">
        <v>2644</v>
      </c>
      <c r="B125" s="6" t="s">
        <v>3364</v>
      </c>
      <c r="C125" s="6" t="s">
        <v>2644</v>
      </c>
    </row>
    <row r="126" s="1" customFormat="1" spans="1:3">
      <c r="A126" s="6" t="s">
        <v>2646</v>
      </c>
      <c r="B126" s="6" t="s">
        <v>3365</v>
      </c>
      <c r="C126" s="6" t="s">
        <v>2646</v>
      </c>
    </row>
    <row r="127" s="1" customFormat="1" spans="1:3">
      <c r="A127" s="6" t="s">
        <v>2648</v>
      </c>
      <c r="B127" s="6" t="s">
        <v>3366</v>
      </c>
      <c r="C127" s="6" t="s">
        <v>2648</v>
      </c>
    </row>
    <row r="128" s="1" customFormat="1" spans="1:3">
      <c r="A128" s="6" t="s">
        <v>46</v>
      </c>
      <c r="B128" s="6" t="s">
        <v>47</v>
      </c>
      <c r="C128" s="6" t="s">
        <v>46</v>
      </c>
    </row>
    <row r="129" s="1" customFormat="1" ht="28.8" spans="1:3">
      <c r="A129" s="6" t="s">
        <v>3367</v>
      </c>
      <c r="B129" s="6" t="s">
        <v>3368</v>
      </c>
      <c r="C129" s="6" t="s">
        <v>3367</v>
      </c>
    </row>
    <row r="130" s="1" customFormat="1" spans="1:3">
      <c r="A130" s="6" t="s">
        <v>2369</v>
      </c>
      <c r="B130" s="6" t="s">
        <v>2370</v>
      </c>
      <c r="C130" s="6" t="s">
        <v>2369</v>
      </c>
    </row>
    <row r="131" s="1" customFormat="1" spans="1:3">
      <c r="A131" s="6" t="s">
        <v>383</v>
      </c>
      <c r="B131" s="6" t="s">
        <v>384</v>
      </c>
      <c r="C131" s="6" t="s">
        <v>383</v>
      </c>
    </row>
    <row r="132" s="1" customFormat="1" spans="1:3">
      <c r="A132" s="6" t="s">
        <v>2106</v>
      </c>
      <c r="B132" s="6" t="s">
        <v>2107</v>
      </c>
      <c r="C132" s="6" t="s">
        <v>2106</v>
      </c>
    </row>
    <row r="133" s="1" customFormat="1" spans="1:3">
      <c r="A133" s="6" t="s">
        <v>2635</v>
      </c>
      <c r="B133" s="6" t="s">
        <v>3369</v>
      </c>
      <c r="C133" s="6" t="s">
        <v>2635</v>
      </c>
    </row>
    <row r="134" s="1" customFormat="1" spans="1:3">
      <c r="A134" s="6" t="s">
        <v>2641</v>
      </c>
      <c r="B134" s="6" t="s">
        <v>3370</v>
      </c>
      <c r="C134" s="6" t="s">
        <v>2641</v>
      </c>
    </row>
    <row r="135" s="1" customFormat="1" spans="1:3">
      <c r="A135" s="6" t="s">
        <v>668</v>
      </c>
      <c r="B135" s="6" t="s">
        <v>669</v>
      </c>
      <c r="C135" s="6" t="s">
        <v>668</v>
      </c>
    </row>
    <row r="136" s="1" customFormat="1" spans="1:3">
      <c r="A136" s="6" t="s">
        <v>3067</v>
      </c>
      <c r="B136" s="6" t="s">
        <v>3371</v>
      </c>
      <c r="C136" s="6" t="s">
        <v>3067</v>
      </c>
    </row>
    <row r="137" s="1" customFormat="1" spans="1:3">
      <c r="A137" s="6" t="s">
        <v>2899</v>
      </c>
      <c r="B137" s="6" t="s">
        <v>3372</v>
      </c>
      <c r="C137" s="6" t="s">
        <v>2899</v>
      </c>
    </row>
    <row r="138" s="1" customFormat="1" spans="1:3">
      <c r="A138" s="6" t="s">
        <v>2996</v>
      </c>
      <c r="B138" s="6" t="s">
        <v>3373</v>
      </c>
      <c r="C138" s="6" t="s">
        <v>2996</v>
      </c>
    </row>
    <row r="139" s="1" customFormat="1" ht="28.8" spans="1:3">
      <c r="A139" s="6" t="s">
        <v>3036</v>
      </c>
      <c r="B139" s="6" t="s">
        <v>3374</v>
      </c>
      <c r="C139" s="6" t="s">
        <v>3036</v>
      </c>
    </row>
    <row r="140" s="1" customFormat="1" spans="1:3">
      <c r="A140" s="6" t="s">
        <v>3040</v>
      </c>
      <c r="B140" s="6" t="s">
        <v>3375</v>
      </c>
      <c r="C140" s="6" t="s">
        <v>3040</v>
      </c>
    </row>
    <row r="141" s="1" customFormat="1" spans="1:3">
      <c r="A141" s="6" t="s">
        <v>3055</v>
      </c>
      <c r="B141" s="6" t="s">
        <v>3376</v>
      </c>
      <c r="C141" s="6" t="s">
        <v>3055</v>
      </c>
    </row>
    <row r="142" s="1" customFormat="1" spans="1:3">
      <c r="A142" s="6" t="s">
        <v>3042</v>
      </c>
      <c r="B142" s="6" t="s">
        <v>3377</v>
      </c>
      <c r="C142" s="6" t="s">
        <v>3042</v>
      </c>
    </row>
    <row r="143" s="1" customFormat="1" spans="1:3">
      <c r="A143" s="6" t="s">
        <v>3044</v>
      </c>
      <c r="B143" s="6" t="s">
        <v>3378</v>
      </c>
      <c r="C143" s="6" t="s">
        <v>3044</v>
      </c>
    </row>
    <row r="144" s="1" customFormat="1" spans="1:3">
      <c r="A144" s="6" t="s">
        <v>3046</v>
      </c>
      <c r="B144" s="6" t="s">
        <v>3379</v>
      </c>
      <c r="C144" s="6" t="s">
        <v>3046</v>
      </c>
    </row>
    <row r="145" s="1" customFormat="1" spans="1:3">
      <c r="A145" s="6" t="s">
        <v>2982</v>
      </c>
      <c r="B145" s="6" t="s">
        <v>3380</v>
      </c>
      <c r="C145" s="6" t="s">
        <v>2982</v>
      </c>
    </row>
    <row r="146" s="1" customFormat="1" spans="1:3">
      <c r="A146" s="6" t="s">
        <v>3057</v>
      </c>
      <c r="B146" s="6" t="s">
        <v>3381</v>
      </c>
      <c r="C146" s="6" t="s">
        <v>3057</v>
      </c>
    </row>
    <row r="147" s="1" customFormat="1" spans="1:3">
      <c r="A147" s="6" t="s">
        <v>3382</v>
      </c>
      <c r="B147" s="6" t="s">
        <v>3383</v>
      </c>
      <c r="C147" s="6" t="s">
        <v>3382</v>
      </c>
    </row>
    <row r="148" s="1" customFormat="1" spans="1:3">
      <c r="A148" s="6" t="s">
        <v>3038</v>
      </c>
      <c r="B148" s="6" t="s">
        <v>3384</v>
      </c>
      <c r="C148" s="6" t="s">
        <v>3038</v>
      </c>
    </row>
    <row r="149" s="1" customFormat="1" spans="1:3">
      <c r="A149" s="6" t="s">
        <v>3385</v>
      </c>
      <c r="B149" s="6" t="s">
        <v>3386</v>
      </c>
      <c r="C149" s="6" t="s">
        <v>3385</v>
      </c>
    </row>
    <row r="150" s="1" customFormat="1" spans="1:3">
      <c r="A150" s="6" t="s">
        <v>3053</v>
      </c>
      <c r="B150" s="6" t="s">
        <v>3387</v>
      </c>
      <c r="C150" s="6" t="s">
        <v>3053</v>
      </c>
    </row>
    <row r="151" s="1" customFormat="1" spans="1:3">
      <c r="A151" s="6" t="s">
        <v>3026</v>
      </c>
      <c r="B151" s="6" t="s">
        <v>3388</v>
      </c>
      <c r="C151" s="6" t="s">
        <v>3026</v>
      </c>
    </row>
    <row r="152" s="1" customFormat="1" spans="1:3">
      <c r="A152" s="6" t="s">
        <v>2757</v>
      </c>
      <c r="B152" s="6" t="s">
        <v>3389</v>
      </c>
      <c r="C152" s="6" t="s">
        <v>2757</v>
      </c>
    </row>
    <row r="153" s="1" customFormat="1" spans="1:3">
      <c r="A153" s="6" t="s">
        <v>2507</v>
      </c>
      <c r="B153" s="6" t="s">
        <v>3390</v>
      </c>
      <c r="C153" s="6" t="s">
        <v>2507</v>
      </c>
    </row>
    <row r="154" s="1" customFormat="1" spans="1:3">
      <c r="A154" s="6" t="s">
        <v>2377</v>
      </c>
      <c r="B154" s="6" t="s">
        <v>2378</v>
      </c>
      <c r="C154" s="6" t="s">
        <v>2377</v>
      </c>
    </row>
    <row r="155" s="1" customFormat="1" spans="1:3">
      <c r="A155" s="6" t="s">
        <v>2747</v>
      </c>
      <c r="B155" s="6" t="s">
        <v>3391</v>
      </c>
      <c r="C155" s="6" t="s">
        <v>2747</v>
      </c>
    </row>
    <row r="156" s="1" customFormat="1" spans="1:3">
      <c r="A156" s="6" t="s">
        <v>3392</v>
      </c>
      <c r="B156" s="6" t="s">
        <v>3393</v>
      </c>
      <c r="C156" s="6" t="s">
        <v>3392</v>
      </c>
    </row>
    <row r="157" s="1" customFormat="1" spans="1:3">
      <c r="A157" s="6" t="s">
        <v>2749</v>
      </c>
      <c r="B157" s="6" t="s">
        <v>3394</v>
      </c>
      <c r="C157" s="6" t="s">
        <v>2749</v>
      </c>
    </row>
    <row r="158" s="1" customFormat="1" spans="1:3">
      <c r="A158" s="6" t="s">
        <v>2751</v>
      </c>
      <c r="B158" s="6" t="s">
        <v>3395</v>
      </c>
      <c r="C158" s="6" t="s">
        <v>2751</v>
      </c>
    </row>
    <row r="159" s="1" customFormat="1" spans="1:3">
      <c r="A159" s="6" t="s">
        <v>2755</v>
      </c>
      <c r="B159" s="6" t="s">
        <v>3396</v>
      </c>
      <c r="C159" s="6" t="s">
        <v>2755</v>
      </c>
    </row>
    <row r="160" s="1" customFormat="1" spans="1:3">
      <c r="A160" s="6" t="s">
        <v>2753</v>
      </c>
      <c r="B160" s="6" t="s">
        <v>3397</v>
      </c>
      <c r="C160" s="6" t="s">
        <v>2753</v>
      </c>
    </row>
    <row r="161" s="1" customFormat="1" ht="28.8" spans="1:3">
      <c r="A161" s="6" t="s">
        <v>3143</v>
      </c>
      <c r="B161" s="6" t="s">
        <v>3398</v>
      </c>
      <c r="C161" s="6" t="s">
        <v>3143</v>
      </c>
    </row>
    <row r="162" s="1" customFormat="1" spans="1:3">
      <c r="A162" s="6" t="s">
        <v>2728</v>
      </c>
      <c r="B162" s="6" t="s">
        <v>3399</v>
      </c>
      <c r="C162" s="6" t="s">
        <v>2728</v>
      </c>
    </row>
    <row r="163" s="1" customFormat="1" spans="1:3">
      <c r="A163" s="6" t="s">
        <v>3400</v>
      </c>
      <c r="B163" s="6" t="s">
        <v>3401</v>
      </c>
      <c r="C163" s="6" t="s">
        <v>3400</v>
      </c>
    </row>
    <row r="164" s="1" customFormat="1" spans="1:3">
      <c r="A164" s="6" t="s">
        <v>126</v>
      </c>
      <c r="B164" s="6" t="s">
        <v>127</v>
      </c>
      <c r="C164" s="6" t="s">
        <v>126</v>
      </c>
    </row>
    <row r="165" s="1" customFormat="1" spans="1:3">
      <c r="A165" s="6" t="s">
        <v>2730</v>
      </c>
      <c r="B165" s="6" t="s">
        <v>3402</v>
      </c>
      <c r="C165" s="6" t="s">
        <v>2730</v>
      </c>
    </row>
    <row r="166" s="1" customFormat="1" ht="28.8" spans="1:3">
      <c r="A166" s="6" t="s">
        <v>2687</v>
      </c>
      <c r="B166" s="6" t="s">
        <v>3403</v>
      </c>
      <c r="C166" s="6" t="s">
        <v>2687</v>
      </c>
    </row>
    <row r="167" s="1" customFormat="1" spans="1:3">
      <c r="A167" s="6" t="s">
        <v>2734</v>
      </c>
      <c r="B167" s="6" t="s">
        <v>3404</v>
      </c>
      <c r="C167" s="6" t="s">
        <v>2734</v>
      </c>
    </row>
    <row r="168" s="1" customFormat="1" spans="1:3">
      <c r="A168" s="6" t="s">
        <v>2736</v>
      </c>
      <c r="B168" s="6" t="s">
        <v>3405</v>
      </c>
      <c r="C168" s="6" t="s">
        <v>2736</v>
      </c>
    </row>
    <row r="169" s="1" customFormat="1" spans="1:3">
      <c r="A169" s="6" t="s">
        <v>2738</v>
      </c>
      <c r="B169" s="6" t="s">
        <v>3406</v>
      </c>
      <c r="C169" s="6" t="s">
        <v>2738</v>
      </c>
    </row>
    <row r="170" s="1" customFormat="1" spans="1:3">
      <c r="A170" s="6" t="s">
        <v>2740</v>
      </c>
      <c r="B170" s="6" t="s">
        <v>3407</v>
      </c>
      <c r="C170" s="6" t="s">
        <v>2740</v>
      </c>
    </row>
    <row r="171" s="1" customFormat="1" spans="1:3">
      <c r="A171" s="6" t="s">
        <v>2703</v>
      </c>
      <c r="B171" s="6" t="s">
        <v>2704</v>
      </c>
      <c r="C171" s="6" t="s">
        <v>2703</v>
      </c>
    </row>
    <row r="172" s="1" customFormat="1" spans="1:3">
      <c r="A172" s="6" t="s">
        <v>2705</v>
      </c>
      <c r="B172" s="6" t="s">
        <v>3408</v>
      </c>
      <c r="C172" s="6" t="s">
        <v>2705</v>
      </c>
    </row>
    <row r="173" s="1" customFormat="1" spans="1:3">
      <c r="A173" s="6" t="s">
        <v>2707</v>
      </c>
      <c r="B173" s="6" t="s">
        <v>3409</v>
      </c>
      <c r="C173" s="6" t="s">
        <v>2707</v>
      </c>
    </row>
    <row r="174" s="1" customFormat="1" spans="1:3">
      <c r="A174" s="6" t="s">
        <v>2709</v>
      </c>
      <c r="B174" s="6" t="s">
        <v>2710</v>
      </c>
      <c r="C174" s="6" t="s">
        <v>2709</v>
      </c>
    </row>
    <row r="175" s="1" customFormat="1" spans="1:3">
      <c r="A175" s="6" t="s">
        <v>2711</v>
      </c>
      <c r="B175" s="6" t="s">
        <v>3410</v>
      </c>
      <c r="C175" s="6" t="s">
        <v>2711</v>
      </c>
    </row>
    <row r="176" s="1" customFormat="1" spans="1:3">
      <c r="A176" s="6" t="s">
        <v>2722</v>
      </c>
      <c r="B176" s="6" t="s">
        <v>3411</v>
      </c>
      <c r="C176" s="6" t="s">
        <v>2722</v>
      </c>
    </row>
    <row r="177" s="1" customFormat="1" spans="1:3">
      <c r="A177" s="6" t="s">
        <v>2724</v>
      </c>
      <c r="B177" s="6" t="s">
        <v>2725</v>
      </c>
      <c r="C177" s="6" t="s">
        <v>2724</v>
      </c>
    </row>
    <row r="178" s="1" customFormat="1" spans="1:3">
      <c r="A178" s="6" t="s">
        <v>2726</v>
      </c>
      <c r="B178" s="6" t="s">
        <v>3412</v>
      </c>
      <c r="C178" s="6" t="s">
        <v>2726</v>
      </c>
    </row>
    <row r="179" s="1" customFormat="1" spans="1:3">
      <c r="A179" s="6" t="s">
        <v>2691</v>
      </c>
      <c r="B179" s="6" t="s">
        <v>3413</v>
      </c>
      <c r="C179" s="6" t="s">
        <v>2691</v>
      </c>
    </row>
    <row r="180" s="1" customFormat="1" spans="1:3">
      <c r="A180" s="6" t="s">
        <v>2693</v>
      </c>
      <c r="B180" s="6" t="s">
        <v>3414</v>
      </c>
      <c r="C180" s="6" t="s">
        <v>2693</v>
      </c>
    </row>
    <row r="181" s="1" customFormat="1" spans="1:3">
      <c r="A181" s="6" t="s">
        <v>2695</v>
      </c>
      <c r="B181" s="6" t="s">
        <v>3415</v>
      </c>
      <c r="C181" s="6" t="s">
        <v>2695</v>
      </c>
    </row>
    <row r="182" s="1" customFormat="1" spans="1:3">
      <c r="A182" s="6" t="s">
        <v>2697</v>
      </c>
      <c r="B182" s="6" t="s">
        <v>3416</v>
      </c>
      <c r="C182" s="6" t="s">
        <v>2697</v>
      </c>
    </row>
    <row r="183" s="1" customFormat="1" spans="1:3">
      <c r="A183" s="6" t="s">
        <v>2699</v>
      </c>
      <c r="B183" s="6" t="s">
        <v>3417</v>
      </c>
      <c r="C183" s="6" t="s">
        <v>2699</v>
      </c>
    </row>
    <row r="184" s="1" customFormat="1" spans="1:3">
      <c r="A184" s="6" t="s">
        <v>2701</v>
      </c>
      <c r="B184" s="6" t="s">
        <v>3418</v>
      </c>
      <c r="C184" s="6" t="s">
        <v>2701</v>
      </c>
    </row>
    <row r="185" s="1" customFormat="1" ht="28.8" spans="1:3">
      <c r="A185" s="6" t="s">
        <v>3218</v>
      </c>
      <c r="B185" s="6" t="s">
        <v>3219</v>
      </c>
      <c r="C185" s="6" t="s">
        <v>3218</v>
      </c>
    </row>
    <row r="186" s="1" customFormat="1" spans="1:3">
      <c r="A186" s="6" t="s">
        <v>3419</v>
      </c>
      <c r="B186" s="6" t="s">
        <v>3420</v>
      </c>
      <c r="C186" s="6" t="s">
        <v>3419</v>
      </c>
    </row>
    <row r="187" s="1" customFormat="1" spans="1:3">
      <c r="A187" s="6" t="s">
        <v>3421</v>
      </c>
      <c r="B187" s="6" t="s">
        <v>3422</v>
      </c>
      <c r="C187" s="6" t="s">
        <v>3421</v>
      </c>
    </row>
    <row r="188" s="1" customFormat="1" spans="1:3">
      <c r="A188" s="6" t="s">
        <v>3423</v>
      </c>
      <c r="B188" s="6" t="s">
        <v>3424</v>
      </c>
      <c r="C188" s="6" t="s">
        <v>3423</v>
      </c>
    </row>
    <row r="189" s="1" customFormat="1" spans="1:3">
      <c r="A189" s="6" t="s">
        <v>3220</v>
      </c>
      <c r="B189" s="6" t="s">
        <v>3425</v>
      </c>
      <c r="C189" s="6" t="s">
        <v>3220</v>
      </c>
    </row>
    <row r="190" s="1" customFormat="1" spans="1:3">
      <c r="A190" s="6" t="s">
        <v>3426</v>
      </c>
      <c r="B190" s="6" t="s">
        <v>3427</v>
      </c>
      <c r="C190" s="6" t="s">
        <v>3426</v>
      </c>
    </row>
    <row r="191" s="1" customFormat="1" spans="1:3">
      <c r="A191" s="6" t="s">
        <v>2759</v>
      </c>
      <c r="B191" s="6" t="s">
        <v>3428</v>
      </c>
      <c r="C191" s="6" t="s">
        <v>2759</v>
      </c>
    </row>
    <row r="192" s="1" customFormat="1" spans="1:3">
      <c r="A192" s="6" t="s">
        <v>2716</v>
      </c>
      <c r="B192" s="6" t="s">
        <v>3429</v>
      </c>
      <c r="C192" s="6" t="s">
        <v>2716</v>
      </c>
    </row>
    <row r="193" s="1" customFormat="1" spans="1:3">
      <c r="A193" s="6" t="s">
        <v>2718</v>
      </c>
      <c r="B193" s="6" t="s">
        <v>3430</v>
      </c>
      <c r="C193" s="6" t="s">
        <v>2718</v>
      </c>
    </row>
    <row r="194" s="1" customFormat="1" spans="1:3">
      <c r="A194" s="6" t="s">
        <v>3431</v>
      </c>
      <c r="B194" s="6" t="s">
        <v>3432</v>
      </c>
      <c r="C194" s="6" t="s">
        <v>3431</v>
      </c>
    </row>
    <row r="195" s="1" customFormat="1" spans="1:3">
      <c r="A195" s="6" t="s">
        <v>3433</v>
      </c>
      <c r="B195" s="6" t="s">
        <v>3434</v>
      </c>
      <c r="C195" s="6" t="s">
        <v>3433</v>
      </c>
    </row>
    <row r="196" s="1" customFormat="1" spans="1:3">
      <c r="A196" s="6" t="s">
        <v>3435</v>
      </c>
      <c r="B196" s="6" t="s">
        <v>3436</v>
      </c>
      <c r="C196" s="6" t="s">
        <v>3435</v>
      </c>
    </row>
    <row r="197" s="1" customFormat="1" spans="1:3">
      <c r="A197" s="6" t="s">
        <v>3437</v>
      </c>
      <c r="B197" s="6" t="s">
        <v>3438</v>
      </c>
      <c r="C197" s="6" t="s">
        <v>3437</v>
      </c>
    </row>
    <row r="198" s="1" customFormat="1" spans="1:3">
      <c r="A198" s="6" t="s">
        <v>3439</v>
      </c>
      <c r="B198" s="6" t="s">
        <v>3440</v>
      </c>
      <c r="C198" s="6" t="s">
        <v>3439</v>
      </c>
    </row>
    <row r="199" s="1" customFormat="1" spans="1:3">
      <c r="A199" s="6" t="s">
        <v>3441</v>
      </c>
      <c r="B199" s="6" t="s">
        <v>3442</v>
      </c>
      <c r="C199" s="6" t="s">
        <v>3441</v>
      </c>
    </row>
    <row r="200" s="1" customFormat="1" spans="1:3">
      <c r="A200" s="6" t="s">
        <v>3443</v>
      </c>
      <c r="B200" s="6" t="s">
        <v>3444</v>
      </c>
      <c r="C200" s="6" t="s">
        <v>3443</v>
      </c>
    </row>
    <row r="201" s="1" customFormat="1" spans="1:3">
      <c r="A201" s="6" t="s">
        <v>3175</v>
      </c>
      <c r="B201" s="6" t="s">
        <v>3445</v>
      </c>
      <c r="C201" s="6" t="s">
        <v>3175</v>
      </c>
    </row>
    <row r="202" s="1" customFormat="1" spans="1:3">
      <c r="A202" s="6" t="s">
        <v>3446</v>
      </c>
      <c r="B202" s="6" t="s">
        <v>3447</v>
      </c>
      <c r="C202" s="6" t="s">
        <v>3446</v>
      </c>
    </row>
    <row r="203" s="1" customFormat="1" spans="1:3">
      <c r="A203" s="6" t="s">
        <v>3448</v>
      </c>
      <c r="B203" s="6" t="s">
        <v>3449</v>
      </c>
      <c r="C203" s="6" t="s">
        <v>3448</v>
      </c>
    </row>
    <row r="204" s="1" customFormat="1" spans="1:3">
      <c r="A204" s="6" t="s">
        <v>3173</v>
      </c>
      <c r="B204" s="6" t="s">
        <v>3450</v>
      </c>
      <c r="C204" s="6" t="s">
        <v>3173</v>
      </c>
    </row>
    <row r="205" s="1" customFormat="1" spans="1:3">
      <c r="A205" s="6" t="s">
        <v>3161</v>
      </c>
      <c r="B205" s="6" t="s">
        <v>3451</v>
      </c>
      <c r="C205" s="6" t="s">
        <v>3161</v>
      </c>
    </row>
    <row r="206" s="1" customFormat="1" spans="1:3">
      <c r="A206" s="6" t="s">
        <v>3165</v>
      </c>
      <c r="B206" s="6" t="s">
        <v>3452</v>
      </c>
      <c r="C206" s="6" t="s">
        <v>3165</v>
      </c>
    </row>
    <row r="207" s="1" customFormat="1" spans="1:3">
      <c r="A207" s="6" t="s">
        <v>3032</v>
      </c>
      <c r="B207" s="6" t="s">
        <v>3033</v>
      </c>
      <c r="C207" s="6" t="s">
        <v>3032</v>
      </c>
    </row>
    <row r="208" s="1" customFormat="1" spans="1:3">
      <c r="A208" s="6" t="s">
        <v>3453</v>
      </c>
      <c r="B208" s="6" t="s">
        <v>3454</v>
      </c>
      <c r="C208" s="6" t="s">
        <v>3453</v>
      </c>
    </row>
    <row r="209" s="1" customFormat="1" spans="1:3">
      <c r="A209" s="6" t="s">
        <v>2537</v>
      </c>
      <c r="B209" s="6" t="s">
        <v>3455</v>
      </c>
      <c r="C209" s="6" t="s">
        <v>2537</v>
      </c>
    </row>
    <row r="210" s="1" customFormat="1" spans="1:3">
      <c r="A210" s="6" t="s">
        <v>3129</v>
      </c>
      <c r="B210" s="6" t="s">
        <v>3130</v>
      </c>
      <c r="C210" s="6" t="s">
        <v>3129</v>
      </c>
    </row>
    <row r="211" s="1" customFormat="1" spans="1:3">
      <c r="A211" s="6" t="s">
        <v>3171</v>
      </c>
      <c r="B211" s="6" t="s">
        <v>3456</v>
      </c>
      <c r="C211" s="6" t="s">
        <v>3171</v>
      </c>
    </row>
    <row r="212" s="1" customFormat="1" spans="1:3">
      <c r="A212" s="6" t="s">
        <v>3149</v>
      </c>
      <c r="B212" s="6" t="s">
        <v>3457</v>
      </c>
      <c r="C212" s="6" t="s">
        <v>3149</v>
      </c>
    </row>
    <row r="213" s="1" customFormat="1" spans="1:3">
      <c r="A213" s="6" t="s">
        <v>2547</v>
      </c>
      <c r="B213" s="6" t="s">
        <v>3458</v>
      </c>
      <c r="C213" s="6" t="s">
        <v>2547</v>
      </c>
    </row>
    <row r="214" s="1" customFormat="1" spans="1:3">
      <c r="A214" s="6" t="s">
        <v>3459</v>
      </c>
      <c r="B214" s="6" t="s">
        <v>3460</v>
      </c>
      <c r="C214" s="6" t="s">
        <v>3459</v>
      </c>
    </row>
    <row r="215" s="1" customFormat="1" spans="1:3">
      <c r="A215" s="6" t="s">
        <v>3163</v>
      </c>
      <c r="B215" s="6" t="s">
        <v>3461</v>
      </c>
      <c r="C215" s="6" t="s">
        <v>3163</v>
      </c>
    </row>
    <row r="216" s="1" customFormat="1" spans="1:3">
      <c r="A216" s="6" t="s">
        <v>2742</v>
      </c>
      <c r="B216" s="6" t="s">
        <v>3462</v>
      </c>
      <c r="C216" s="6" t="s">
        <v>2742</v>
      </c>
    </row>
    <row r="217" s="1" customFormat="1" spans="1:3">
      <c r="A217" s="6" t="s">
        <v>1372</v>
      </c>
      <c r="B217" s="6" t="s">
        <v>1373</v>
      </c>
      <c r="C217" s="6" t="s">
        <v>1372</v>
      </c>
    </row>
    <row r="218" s="1" customFormat="1" spans="1:3">
      <c r="A218" s="6" t="s">
        <v>3463</v>
      </c>
      <c r="B218" s="6" t="s">
        <v>3464</v>
      </c>
      <c r="C218" s="6" t="s">
        <v>3463</v>
      </c>
    </row>
    <row r="219" s="1" customFormat="1" spans="1:3">
      <c r="A219" s="6" t="s">
        <v>3465</v>
      </c>
      <c r="B219" s="6" t="s">
        <v>3466</v>
      </c>
      <c r="C219" s="6" t="s">
        <v>3465</v>
      </c>
    </row>
    <row r="220" s="1" customFormat="1" spans="1:3">
      <c r="A220" s="6" t="s">
        <v>2529</v>
      </c>
      <c r="B220" s="6" t="s">
        <v>3467</v>
      </c>
      <c r="C220" s="6" t="s">
        <v>2529</v>
      </c>
    </row>
    <row r="221" s="1" customFormat="1" spans="1:3">
      <c r="A221" s="6" t="s">
        <v>3468</v>
      </c>
      <c r="B221" s="6" t="s">
        <v>3469</v>
      </c>
      <c r="C221" s="6" t="s">
        <v>3468</v>
      </c>
    </row>
    <row r="222" s="1" customFormat="1" spans="1:3">
      <c r="A222" s="6" t="s">
        <v>2630</v>
      </c>
      <c r="B222" s="6" t="s">
        <v>3470</v>
      </c>
      <c r="C222" s="6" t="s">
        <v>2630</v>
      </c>
    </row>
    <row r="223" s="1" customFormat="1" spans="1:3">
      <c r="A223" s="6" t="s">
        <v>3077</v>
      </c>
      <c r="B223" s="6" t="s">
        <v>3471</v>
      </c>
      <c r="C223" s="6" t="s">
        <v>3077</v>
      </c>
    </row>
    <row r="224" s="1" customFormat="1" spans="1:3">
      <c r="A224" s="6" t="s">
        <v>2482</v>
      </c>
      <c r="B224" s="6" t="s">
        <v>3472</v>
      </c>
      <c r="C224" s="6" t="s">
        <v>2482</v>
      </c>
    </row>
    <row r="225" s="1" customFormat="1" spans="1:3">
      <c r="A225" s="6" t="s">
        <v>2484</v>
      </c>
      <c r="B225" s="6" t="s">
        <v>3473</v>
      </c>
      <c r="C225" s="6" t="s">
        <v>2484</v>
      </c>
    </row>
    <row r="226" s="1" customFormat="1" ht="28.8" spans="1:3">
      <c r="A226" s="6" t="s">
        <v>2402</v>
      </c>
      <c r="B226" s="6" t="s">
        <v>3474</v>
      </c>
      <c r="C226" s="6" t="s">
        <v>2402</v>
      </c>
    </row>
    <row r="227" s="1" customFormat="1" spans="1:3">
      <c r="A227" s="6" t="s">
        <v>2488</v>
      </c>
      <c r="B227" s="6" t="s">
        <v>3475</v>
      </c>
      <c r="C227" s="6" t="s">
        <v>2488</v>
      </c>
    </row>
    <row r="228" s="1" customFormat="1" spans="1:3">
      <c r="A228" s="6" t="s">
        <v>3002</v>
      </c>
      <c r="B228" s="6" t="s">
        <v>3476</v>
      </c>
      <c r="C228" s="6" t="s">
        <v>3002</v>
      </c>
    </row>
    <row r="229" s="1" customFormat="1" ht="28.8" spans="1:3">
      <c r="A229" s="6" t="s">
        <v>2490</v>
      </c>
      <c r="B229" s="6" t="s">
        <v>3477</v>
      </c>
      <c r="C229" s="6" t="s">
        <v>2490</v>
      </c>
    </row>
    <row r="230" s="1" customFormat="1" spans="1:3">
      <c r="A230" s="6" t="s">
        <v>3478</v>
      </c>
      <c r="B230" s="6" t="s">
        <v>3479</v>
      </c>
      <c r="C230" s="6" t="s">
        <v>3478</v>
      </c>
    </row>
    <row r="231" s="1" customFormat="1" ht="28.8" spans="1:3">
      <c r="A231" s="6" t="s">
        <v>2492</v>
      </c>
      <c r="B231" s="6" t="s">
        <v>3480</v>
      </c>
      <c r="C231" s="6" t="s">
        <v>2492</v>
      </c>
    </row>
    <row r="232" s="1" customFormat="1" ht="28.8" spans="1:3">
      <c r="A232" s="6" t="s">
        <v>2494</v>
      </c>
      <c r="B232" s="6" t="s">
        <v>3481</v>
      </c>
      <c r="C232" s="6" t="s">
        <v>2494</v>
      </c>
    </row>
    <row r="233" s="1" customFormat="1" spans="1:3">
      <c r="A233" s="6" t="s">
        <v>2744</v>
      </c>
      <c r="B233" s="6" t="s">
        <v>3482</v>
      </c>
      <c r="C233" s="6" t="s">
        <v>2744</v>
      </c>
    </row>
    <row r="234" s="1" customFormat="1" spans="1:3">
      <c r="A234" s="6" t="s">
        <v>2988</v>
      </c>
      <c r="B234" s="6" t="s">
        <v>3483</v>
      </c>
      <c r="C234" s="6" t="s">
        <v>2988</v>
      </c>
    </row>
    <row r="235" s="1" customFormat="1" spans="1:3">
      <c r="A235" s="6" t="s">
        <v>2974</v>
      </c>
      <c r="B235" s="6" t="s">
        <v>3484</v>
      </c>
      <c r="C235" s="6" t="s">
        <v>2974</v>
      </c>
    </row>
    <row r="236" s="1" customFormat="1" spans="1:3">
      <c r="A236" s="6" t="s">
        <v>3485</v>
      </c>
      <c r="B236" s="6" t="s">
        <v>3486</v>
      </c>
      <c r="C236" s="6" t="s">
        <v>3485</v>
      </c>
    </row>
    <row r="237" s="1" customFormat="1" spans="1:3">
      <c r="A237" s="6" t="s">
        <v>2978</v>
      </c>
      <c r="B237" s="6" t="s">
        <v>2979</v>
      </c>
      <c r="C237" s="6" t="s">
        <v>2978</v>
      </c>
    </row>
    <row r="238" s="1" customFormat="1" spans="1:3">
      <c r="A238" s="6" t="s">
        <v>2980</v>
      </c>
      <c r="B238" s="6" t="s">
        <v>3487</v>
      </c>
      <c r="C238" s="6" t="s">
        <v>2980</v>
      </c>
    </row>
    <row r="239" s="1" customFormat="1" spans="1:3">
      <c r="A239" s="6" t="s">
        <v>2486</v>
      </c>
      <c r="B239" s="6" t="s">
        <v>3488</v>
      </c>
      <c r="C239" s="6" t="s">
        <v>2486</v>
      </c>
    </row>
    <row r="240" s="1" customFormat="1" spans="1:3">
      <c r="A240" s="6" t="s">
        <v>1536</v>
      </c>
      <c r="B240" s="6" t="s">
        <v>1537</v>
      </c>
      <c r="C240" s="6" t="s">
        <v>1536</v>
      </c>
    </row>
    <row r="241" s="1" customFormat="1" spans="1:3">
      <c r="A241" s="6" t="s">
        <v>2783</v>
      </c>
      <c r="B241" s="6" t="s">
        <v>3489</v>
      </c>
      <c r="C241" s="6" t="s">
        <v>2783</v>
      </c>
    </row>
    <row r="242" s="1" customFormat="1" spans="1:3">
      <c r="A242" s="6" t="s">
        <v>2480</v>
      </c>
      <c r="B242" s="6" t="s">
        <v>3490</v>
      </c>
      <c r="C242" s="6" t="s">
        <v>2480</v>
      </c>
    </row>
    <row r="243" s="1" customFormat="1" spans="1:3">
      <c r="A243" s="6" t="s">
        <v>2477</v>
      </c>
      <c r="B243" s="6" t="s">
        <v>3491</v>
      </c>
      <c r="C243" s="6" t="s">
        <v>2477</v>
      </c>
    </row>
    <row r="244" s="1" customFormat="1" spans="1:3">
      <c r="A244" s="6" t="s">
        <v>2301</v>
      </c>
      <c r="B244" s="6" t="s">
        <v>2302</v>
      </c>
      <c r="C244" s="6" t="s">
        <v>2301</v>
      </c>
    </row>
    <row r="245" s="1" customFormat="1" spans="1:3">
      <c r="A245" s="6" t="s">
        <v>2859</v>
      </c>
      <c r="B245" s="6" t="s">
        <v>3492</v>
      </c>
      <c r="C245" s="6" t="s">
        <v>2859</v>
      </c>
    </row>
    <row r="246" s="1" customFormat="1" spans="1:3">
      <c r="A246" s="6" t="s">
        <v>2720</v>
      </c>
      <c r="B246" s="6" t="s">
        <v>3493</v>
      </c>
      <c r="C246" s="6" t="s">
        <v>2720</v>
      </c>
    </row>
    <row r="247" s="1" customFormat="1" spans="1:3">
      <c r="A247" s="6" t="s">
        <v>2992</v>
      </c>
      <c r="B247" s="6" t="s">
        <v>3494</v>
      </c>
      <c r="C247" s="6" t="s">
        <v>2992</v>
      </c>
    </row>
    <row r="248" s="1" customFormat="1" spans="1:3">
      <c r="A248" s="6" t="s">
        <v>2861</v>
      </c>
      <c r="B248" s="6" t="s">
        <v>3495</v>
      </c>
      <c r="C248" s="6" t="s">
        <v>2861</v>
      </c>
    </row>
    <row r="249" s="1" customFormat="1" spans="1:3">
      <c r="A249" s="6" t="s">
        <v>3051</v>
      </c>
      <c r="B249" s="6" t="s">
        <v>3496</v>
      </c>
      <c r="C249" s="6" t="s">
        <v>3051</v>
      </c>
    </row>
    <row r="250" s="1" customFormat="1" spans="1:3">
      <c r="A250" s="6" t="s">
        <v>538</v>
      </c>
      <c r="B250" s="6" t="s">
        <v>539</v>
      </c>
      <c r="C250" s="6" t="s">
        <v>538</v>
      </c>
    </row>
    <row r="251" s="1" customFormat="1" spans="1:3">
      <c r="A251" s="6" t="s">
        <v>3497</v>
      </c>
      <c r="B251" s="6" t="s">
        <v>3498</v>
      </c>
      <c r="C251" s="6" t="s">
        <v>3497</v>
      </c>
    </row>
    <row r="252" s="1" customFormat="1" spans="1:3">
      <c r="A252" s="6" t="s">
        <v>365</v>
      </c>
      <c r="B252" s="6" t="s">
        <v>366</v>
      </c>
      <c r="C252" s="6" t="s">
        <v>365</v>
      </c>
    </row>
    <row r="253" s="1" customFormat="1" spans="1:3">
      <c r="A253" s="6" t="s">
        <v>3022</v>
      </c>
      <c r="B253" s="6" t="s">
        <v>3499</v>
      </c>
      <c r="C253" s="6" t="s">
        <v>3022</v>
      </c>
    </row>
    <row r="254" s="1" customFormat="1" spans="1:3">
      <c r="A254" s="6" t="s">
        <v>2965</v>
      </c>
      <c r="B254" s="6" t="s">
        <v>3500</v>
      </c>
      <c r="C254" s="6" t="s">
        <v>2965</v>
      </c>
    </row>
    <row r="255" s="1" customFormat="1" spans="1:3">
      <c r="A255" s="6" t="s">
        <v>2967</v>
      </c>
      <c r="B255" s="6" t="s">
        <v>3501</v>
      </c>
      <c r="C255" s="6" t="s">
        <v>2967</v>
      </c>
    </row>
    <row r="256" s="1" customFormat="1" spans="1:3">
      <c r="A256" s="6" t="s">
        <v>197</v>
      </c>
      <c r="B256" s="6" t="s">
        <v>198</v>
      </c>
      <c r="C256" s="6" t="s">
        <v>197</v>
      </c>
    </row>
    <row r="257" s="1" customFormat="1" spans="1:3">
      <c r="A257" s="6" t="s">
        <v>3191</v>
      </c>
      <c r="B257" s="6" t="s">
        <v>3192</v>
      </c>
      <c r="C257" s="6" t="s">
        <v>3191</v>
      </c>
    </row>
    <row r="258" s="1" customFormat="1" spans="1:3">
      <c r="A258" s="6" t="s">
        <v>767</v>
      </c>
      <c r="B258" s="6" t="s">
        <v>768</v>
      </c>
      <c r="C258" s="6" t="s">
        <v>767</v>
      </c>
    </row>
    <row r="259" s="1" customFormat="1" spans="1:3">
      <c r="A259" s="6" t="s">
        <v>2945</v>
      </c>
      <c r="B259" s="6" t="s">
        <v>3502</v>
      </c>
      <c r="C259" s="6" t="s">
        <v>2945</v>
      </c>
    </row>
    <row r="260" s="1" customFormat="1" spans="1:3">
      <c r="A260" s="6" t="s">
        <v>2957</v>
      </c>
      <c r="B260" s="6" t="s">
        <v>3503</v>
      </c>
      <c r="C260" s="6" t="s">
        <v>2957</v>
      </c>
    </row>
    <row r="261" s="1" customFormat="1" spans="1:3">
      <c r="A261" s="6" t="s">
        <v>2959</v>
      </c>
      <c r="B261" s="6" t="s">
        <v>3504</v>
      </c>
      <c r="C261" s="6" t="s">
        <v>2959</v>
      </c>
    </row>
    <row r="262" s="1" customFormat="1" spans="1:3">
      <c r="A262" s="6" t="s">
        <v>3505</v>
      </c>
      <c r="B262" s="6" t="s">
        <v>3506</v>
      </c>
      <c r="C262" s="6" t="s">
        <v>3505</v>
      </c>
    </row>
    <row r="263" s="1" customFormat="1" spans="1:3">
      <c r="A263" s="6" t="s">
        <v>2935</v>
      </c>
      <c r="B263" s="6" t="s">
        <v>3507</v>
      </c>
      <c r="C263" s="6" t="s">
        <v>2935</v>
      </c>
    </row>
    <row r="264" s="1" customFormat="1" spans="1:3">
      <c r="A264" s="6" t="s">
        <v>2937</v>
      </c>
      <c r="B264" s="6" t="s">
        <v>3508</v>
      </c>
      <c r="C264" s="6" t="s">
        <v>2937</v>
      </c>
    </row>
    <row r="265" s="1" customFormat="1" spans="1:3">
      <c r="A265" s="6" t="s">
        <v>858</v>
      </c>
      <c r="B265" s="6" t="s">
        <v>859</v>
      </c>
      <c r="C265" s="6" t="s">
        <v>858</v>
      </c>
    </row>
    <row r="266" s="1" customFormat="1" spans="1:3">
      <c r="A266" s="6" t="s">
        <v>2940</v>
      </c>
      <c r="B266" s="6" t="s">
        <v>2941</v>
      </c>
      <c r="C266" s="6" t="s">
        <v>2940</v>
      </c>
    </row>
    <row r="267" s="1" customFormat="1" spans="1:3">
      <c r="A267" s="6" t="s">
        <v>3509</v>
      </c>
      <c r="B267" s="6" t="s">
        <v>3510</v>
      </c>
      <c r="C267" s="6" t="s">
        <v>3509</v>
      </c>
    </row>
    <row r="268" s="1" customFormat="1" spans="1:3">
      <c r="A268" s="6" t="s">
        <v>2942</v>
      </c>
      <c r="B268" s="6" t="s">
        <v>3511</v>
      </c>
      <c r="C268" s="6" t="s">
        <v>2942</v>
      </c>
    </row>
    <row r="269" s="1" customFormat="1" spans="1:3">
      <c r="A269" s="6" t="s">
        <v>3012</v>
      </c>
      <c r="B269" s="6" t="s">
        <v>3512</v>
      </c>
      <c r="C269" s="6" t="s">
        <v>3012</v>
      </c>
    </row>
    <row r="270" s="1" customFormat="1" spans="1:3">
      <c r="A270" s="6" t="s">
        <v>825</v>
      </c>
      <c r="B270" s="6" t="s">
        <v>826</v>
      </c>
      <c r="C270" s="6" t="s">
        <v>825</v>
      </c>
    </row>
    <row r="271" s="1" customFormat="1" spans="1:3">
      <c r="A271" s="6" t="s">
        <v>1032</v>
      </c>
      <c r="B271" s="6" t="s">
        <v>1033</v>
      </c>
      <c r="C271" s="6" t="s">
        <v>1032</v>
      </c>
    </row>
    <row r="272" s="1" customFormat="1" spans="1:3">
      <c r="A272" s="6" t="s">
        <v>2930</v>
      </c>
      <c r="B272" s="6" t="s">
        <v>3513</v>
      </c>
      <c r="C272" s="6" t="s">
        <v>2930</v>
      </c>
    </row>
    <row r="273" s="1" customFormat="1" spans="1:3">
      <c r="A273" s="6" t="s">
        <v>2932</v>
      </c>
      <c r="B273" s="6" t="s">
        <v>3514</v>
      </c>
      <c r="C273" s="6" t="s">
        <v>2932</v>
      </c>
    </row>
    <row r="274" s="1" customFormat="1" spans="1:3">
      <c r="A274" s="6" t="s">
        <v>2923</v>
      </c>
      <c r="B274" s="6" t="s">
        <v>3515</v>
      </c>
      <c r="C274" s="6" t="s">
        <v>2923</v>
      </c>
    </row>
    <row r="275" s="1" customFormat="1" spans="1:3">
      <c r="A275" s="6" t="s">
        <v>2926</v>
      </c>
      <c r="B275" s="6" t="s">
        <v>3516</v>
      </c>
      <c r="C275" s="6" t="s">
        <v>2926</v>
      </c>
    </row>
    <row r="276" s="1" customFormat="1" spans="1:3">
      <c r="A276" s="6" t="s">
        <v>1334</v>
      </c>
      <c r="B276" s="6" t="s">
        <v>1335</v>
      </c>
      <c r="C276" s="6" t="s">
        <v>1334</v>
      </c>
    </row>
    <row r="277" s="1" customFormat="1" spans="1:3">
      <c r="A277" s="6" t="s">
        <v>331</v>
      </c>
      <c r="B277" s="6" t="s">
        <v>332</v>
      </c>
      <c r="C277" s="6" t="s">
        <v>331</v>
      </c>
    </row>
    <row r="278" s="1" customFormat="1" spans="1:3">
      <c r="A278" s="6" t="s">
        <v>1380</v>
      </c>
      <c r="B278" s="6" t="s">
        <v>1381</v>
      </c>
      <c r="C278" s="6" t="s">
        <v>1380</v>
      </c>
    </row>
    <row r="279" s="1" customFormat="1" spans="1:3">
      <c r="A279" s="6" t="s">
        <v>3133</v>
      </c>
      <c r="B279" s="6" t="s">
        <v>3134</v>
      </c>
      <c r="C279" s="6" t="s">
        <v>3133</v>
      </c>
    </row>
    <row r="280" s="1" customFormat="1" spans="1:3">
      <c r="A280" s="6" t="s">
        <v>3157</v>
      </c>
      <c r="B280" s="6" t="s">
        <v>3517</v>
      </c>
      <c r="C280" s="6" t="s">
        <v>3157</v>
      </c>
    </row>
    <row r="281" s="1" customFormat="1" spans="1:3">
      <c r="A281" s="6" t="s">
        <v>3159</v>
      </c>
      <c r="B281" s="6" t="s">
        <v>3518</v>
      </c>
      <c r="C281" s="6" t="s">
        <v>3159</v>
      </c>
    </row>
    <row r="282" s="1" customFormat="1" spans="1:3">
      <c r="A282" s="6" t="s">
        <v>3187</v>
      </c>
      <c r="B282" s="6" t="s">
        <v>3188</v>
      </c>
      <c r="C282" s="6" t="s">
        <v>3187</v>
      </c>
    </row>
    <row r="283" s="1" customFormat="1" spans="1:3">
      <c r="A283" s="6" t="s">
        <v>2917</v>
      </c>
      <c r="B283" s="6" t="s">
        <v>2918</v>
      </c>
      <c r="C283" s="6" t="s">
        <v>2917</v>
      </c>
    </row>
    <row r="284" s="1" customFormat="1" spans="1:3">
      <c r="A284" s="6" t="s">
        <v>2919</v>
      </c>
      <c r="B284" s="6" t="s">
        <v>3519</v>
      </c>
      <c r="C284" s="6" t="s">
        <v>2919</v>
      </c>
    </row>
    <row r="285" s="1" customFormat="1" spans="1:3">
      <c r="A285" s="6" t="s">
        <v>3520</v>
      </c>
      <c r="B285" s="6" t="s">
        <v>3521</v>
      </c>
      <c r="C285" s="6" t="s">
        <v>3520</v>
      </c>
    </row>
    <row r="286" s="1" customFormat="1" spans="1:3">
      <c r="A286" s="6" t="s">
        <v>1814</v>
      </c>
      <c r="B286" s="6" t="s">
        <v>371</v>
      </c>
      <c r="C286" s="6" t="s">
        <v>1814</v>
      </c>
    </row>
    <row r="287" s="1" customFormat="1" spans="1:3">
      <c r="A287" s="6" t="s">
        <v>2921</v>
      </c>
      <c r="B287" s="6" t="s">
        <v>3522</v>
      </c>
      <c r="C287" s="6" t="s">
        <v>2921</v>
      </c>
    </row>
    <row r="288" s="1" customFormat="1" spans="1:3">
      <c r="A288" s="6" t="s">
        <v>2912</v>
      </c>
      <c r="B288" s="6" t="s">
        <v>3523</v>
      </c>
      <c r="C288" s="6" t="s">
        <v>2912</v>
      </c>
    </row>
    <row r="289" s="1" customFormat="1" spans="1:3">
      <c r="A289" s="6" t="s">
        <v>2914</v>
      </c>
      <c r="B289" s="6" t="s">
        <v>3524</v>
      </c>
      <c r="C289" s="6" t="s">
        <v>2914</v>
      </c>
    </row>
    <row r="290" s="1" customFormat="1" spans="1:3">
      <c r="A290" s="6" t="s">
        <v>2619</v>
      </c>
      <c r="B290" s="6" t="s">
        <v>3525</v>
      </c>
      <c r="C290" s="6" t="s">
        <v>2619</v>
      </c>
    </row>
    <row r="291" s="1" customFormat="1" spans="1:3">
      <c r="A291" s="6" t="s">
        <v>1460</v>
      </c>
      <c r="B291" s="6" t="s">
        <v>1461</v>
      </c>
      <c r="C291" s="6" t="s">
        <v>1460</v>
      </c>
    </row>
    <row r="292" s="1" customFormat="1" spans="1:3">
      <c r="A292" s="6" t="s">
        <v>2623</v>
      </c>
      <c r="B292" s="6" t="s">
        <v>3526</v>
      </c>
      <c r="C292" s="6" t="s">
        <v>2623</v>
      </c>
    </row>
    <row r="293" s="1" customFormat="1" spans="1:3">
      <c r="A293" s="6" t="s">
        <v>2625</v>
      </c>
      <c r="B293" s="6" t="s">
        <v>3527</v>
      </c>
      <c r="C293" s="6" t="s">
        <v>2625</v>
      </c>
    </row>
    <row r="294" s="1" customFormat="1" spans="1:3">
      <c r="A294" s="6" t="s">
        <v>1328</v>
      </c>
      <c r="B294" s="6" t="s">
        <v>1329</v>
      </c>
      <c r="C294" s="6" t="s">
        <v>1328</v>
      </c>
    </row>
    <row r="295" s="1" customFormat="1" spans="1:3">
      <c r="A295" s="6" t="s">
        <v>2621</v>
      </c>
      <c r="B295" s="6" t="s">
        <v>3528</v>
      </c>
      <c r="C295" s="6" t="s">
        <v>2621</v>
      </c>
    </row>
    <row r="296" s="1" customFormat="1" spans="1:3">
      <c r="A296" s="6" t="s">
        <v>3529</v>
      </c>
      <c r="B296" s="6" t="s">
        <v>3530</v>
      </c>
      <c r="C296" s="6" t="s">
        <v>3529</v>
      </c>
    </row>
    <row r="297" s="1" customFormat="1" spans="1:3">
      <c r="A297" s="6" t="s">
        <v>2541</v>
      </c>
      <c r="B297" s="6" t="s">
        <v>2542</v>
      </c>
      <c r="C297" s="6" t="s">
        <v>2541</v>
      </c>
    </row>
    <row r="298" s="1" customFormat="1" spans="1:3">
      <c r="A298" s="6" t="s">
        <v>2593</v>
      </c>
      <c r="B298" s="6" t="s">
        <v>3531</v>
      </c>
      <c r="C298" s="6" t="s">
        <v>2593</v>
      </c>
    </row>
    <row r="299" s="1" customFormat="1" spans="1:3">
      <c r="A299" s="6" t="s">
        <v>2984</v>
      </c>
      <c r="B299" s="6" t="s">
        <v>3532</v>
      </c>
      <c r="C299" s="6" t="s">
        <v>2984</v>
      </c>
    </row>
    <row r="300" s="1" customFormat="1" spans="1:3">
      <c r="A300" s="6" t="s">
        <v>1482</v>
      </c>
      <c r="B300" s="6" t="s">
        <v>1483</v>
      </c>
      <c r="C300" s="6" t="s">
        <v>1482</v>
      </c>
    </row>
    <row r="301" s="1" customFormat="1" spans="1:3">
      <c r="A301" s="6" t="s">
        <v>2607</v>
      </c>
      <c r="B301" s="6" t="s">
        <v>3533</v>
      </c>
      <c r="C301" s="6" t="s">
        <v>2607</v>
      </c>
    </row>
    <row r="302" s="1" customFormat="1" ht="28.8" spans="1:3">
      <c r="A302" s="6" t="s">
        <v>2580</v>
      </c>
      <c r="B302" s="6" t="s">
        <v>3534</v>
      </c>
      <c r="C302" s="6" t="s">
        <v>2580</v>
      </c>
    </row>
    <row r="303" s="1" customFormat="1" ht="28.8" spans="1:3">
      <c r="A303" s="6" t="s">
        <v>1401</v>
      </c>
      <c r="B303" s="6" t="s">
        <v>1402</v>
      </c>
      <c r="C303" s="6" t="s">
        <v>1401</v>
      </c>
    </row>
    <row r="304" s="1" customFormat="1" spans="1:3">
      <c r="A304" s="6" t="s">
        <v>2609</v>
      </c>
      <c r="B304" s="6" t="s">
        <v>3535</v>
      </c>
      <c r="C304" s="6" t="s">
        <v>2609</v>
      </c>
    </row>
    <row r="305" s="1" customFormat="1" spans="1:3">
      <c r="A305" s="6" t="s">
        <v>2611</v>
      </c>
      <c r="B305" s="6" t="s">
        <v>3536</v>
      </c>
      <c r="C305" s="6" t="s">
        <v>2611</v>
      </c>
    </row>
    <row r="306" s="1" customFormat="1" spans="1:3">
      <c r="A306" s="6" t="s">
        <v>2613</v>
      </c>
      <c r="B306" s="6" t="s">
        <v>3537</v>
      </c>
      <c r="C306" s="6" t="s">
        <v>2613</v>
      </c>
    </row>
    <row r="307" s="1" customFormat="1" spans="1:3">
      <c r="A307" s="6" t="s">
        <v>2617</v>
      </c>
      <c r="B307" s="6" t="s">
        <v>3538</v>
      </c>
      <c r="C307" s="6" t="s">
        <v>2617</v>
      </c>
    </row>
    <row r="308" s="1" customFormat="1" spans="1:3">
      <c r="A308" s="6" t="s">
        <v>2615</v>
      </c>
      <c r="B308" s="6" t="s">
        <v>3539</v>
      </c>
      <c r="C308" s="6" t="s">
        <v>2615</v>
      </c>
    </row>
    <row r="309" s="1" customFormat="1" spans="1:3">
      <c r="A309" s="6" t="s">
        <v>1386</v>
      </c>
      <c r="B309" s="6" t="s">
        <v>1387</v>
      </c>
      <c r="C309" s="6" t="s">
        <v>1386</v>
      </c>
    </row>
    <row r="310" s="1" customFormat="1" spans="1:3">
      <c r="A310" s="6" t="s">
        <v>2586</v>
      </c>
      <c r="B310" s="6" t="s">
        <v>3540</v>
      </c>
      <c r="C310" s="6" t="s">
        <v>2586</v>
      </c>
    </row>
    <row r="311" s="1" customFormat="1" spans="1:3">
      <c r="A311" s="6" t="s">
        <v>2588</v>
      </c>
      <c r="B311" s="6" t="s">
        <v>3541</v>
      </c>
      <c r="C311" s="6" t="s">
        <v>2588</v>
      </c>
    </row>
    <row r="312" s="1" customFormat="1" spans="1:3">
      <c r="A312" s="6" t="s">
        <v>2597</v>
      </c>
      <c r="B312" s="6" t="s">
        <v>3542</v>
      </c>
      <c r="C312" s="6" t="s">
        <v>2597</v>
      </c>
    </row>
    <row r="313" s="1" customFormat="1" spans="1:3">
      <c r="A313" s="6" t="s">
        <v>2599</v>
      </c>
      <c r="B313" s="6" t="s">
        <v>3543</v>
      </c>
      <c r="C313" s="6" t="s">
        <v>2599</v>
      </c>
    </row>
    <row r="314" s="1" customFormat="1" spans="1:3">
      <c r="A314" s="6" t="s">
        <v>2604</v>
      </c>
      <c r="B314" s="6" t="s">
        <v>3544</v>
      </c>
      <c r="C314" s="6" t="s">
        <v>2604</v>
      </c>
    </row>
    <row r="315" s="1" customFormat="1" spans="1:3">
      <c r="A315" s="6" t="s">
        <v>1308</v>
      </c>
      <c r="B315" s="6" t="s">
        <v>1309</v>
      </c>
      <c r="C315" s="6" t="s">
        <v>1308</v>
      </c>
    </row>
    <row r="316" s="1" customFormat="1" spans="1:3">
      <c r="A316" s="6" t="s">
        <v>2602</v>
      </c>
      <c r="B316" s="6" t="s">
        <v>3545</v>
      </c>
      <c r="C316" s="6" t="s">
        <v>2602</v>
      </c>
    </row>
    <row r="317" s="1" customFormat="1" spans="1:3">
      <c r="A317" s="6" t="s">
        <v>2460</v>
      </c>
      <c r="B317" s="6" t="s">
        <v>3546</v>
      </c>
      <c r="C317" s="6" t="s">
        <v>2460</v>
      </c>
    </row>
    <row r="318" s="1" customFormat="1" spans="1:3">
      <c r="A318" s="6" t="s">
        <v>151</v>
      </c>
      <c r="B318" s="6" t="s">
        <v>152</v>
      </c>
      <c r="C318" s="6" t="s">
        <v>151</v>
      </c>
    </row>
    <row r="319" s="1" customFormat="1" spans="1:3">
      <c r="A319" s="6" t="s">
        <v>3030</v>
      </c>
      <c r="B319" s="6" t="s">
        <v>3547</v>
      </c>
      <c r="C319" s="6" t="s">
        <v>3030</v>
      </c>
    </row>
    <row r="320" s="1" customFormat="1" spans="1:3">
      <c r="A320" s="6" t="s">
        <v>1218</v>
      </c>
      <c r="B320" s="6" t="s">
        <v>1219</v>
      </c>
      <c r="C320" s="6" t="s">
        <v>1218</v>
      </c>
    </row>
    <row r="321" s="1" customFormat="1" spans="1:3">
      <c r="A321" s="6" t="s">
        <v>1107</v>
      </c>
      <c r="B321" s="6" t="s">
        <v>1108</v>
      </c>
      <c r="C321" s="6" t="s">
        <v>1107</v>
      </c>
    </row>
    <row r="322" s="1" customFormat="1" spans="1:3">
      <c r="A322" s="6" t="s">
        <v>1474</v>
      </c>
      <c r="B322" s="6" t="s">
        <v>1475</v>
      </c>
      <c r="C322" s="6" t="s">
        <v>1474</v>
      </c>
    </row>
    <row r="323" s="1" customFormat="1" spans="1:3">
      <c r="A323" s="6" t="s">
        <v>3548</v>
      </c>
      <c r="B323" s="6" t="s">
        <v>3549</v>
      </c>
      <c r="C323" s="6" t="s">
        <v>3548</v>
      </c>
    </row>
    <row r="324" s="1" customFormat="1" spans="1:3">
      <c r="A324" s="6" t="s">
        <v>2584</v>
      </c>
      <c r="B324" s="6" t="s">
        <v>3550</v>
      </c>
      <c r="C324" s="6" t="s">
        <v>2584</v>
      </c>
    </row>
    <row r="325" s="1" customFormat="1" spans="1:3">
      <c r="A325" s="6" t="s">
        <v>2451</v>
      </c>
      <c r="B325" s="6" t="s">
        <v>3551</v>
      </c>
      <c r="C325" s="6" t="s">
        <v>2451</v>
      </c>
    </row>
    <row r="326" s="1" customFormat="1" spans="1:3">
      <c r="A326" s="6" t="s">
        <v>2446</v>
      </c>
      <c r="B326" s="6" t="s">
        <v>3552</v>
      </c>
      <c r="C326" s="6" t="s">
        <v>2446</v>
      </c>
    </row>
    <row r="327" s="1" customFormat="1" spans="1:3">
      <c r="A327" s="6" t="s">
        <v>2448</v>
      </c>
      <c r="B327" s="6" t="s">
        <v>3553</v>
      </c>
      <c r="C327" s="6" t="s">
        <v>2448</v>
      </c>
    </row>
    <row r="328" s="1" customFormat="1" spans="1:3">
      <c r="A328" s="6" t="s">
        <v>2527</v>
      </c>
      <c r="B328" s="6" t="s">
        <v>3554</v>
      </c>
      <c r="C328" s="6" t="s">
        <v>2527</v>
      </c>
    </row>
    <row r="329" s="1" customFormat="1" spans="1:3">
      <c r="A329" s="6" t="s">
        <v>105</v>
      </c>
      <c r="B329" s="6" t="s">
        <v>106</v>
      </c>
      <c r="C329" s="6" t="s">
        <v>105</v>
      </c>
    </row>
    <row r="330" s="1" customFormat="1" spans="1:3">
      <c r="A330" s="6" t="s">
        <v>2454</v>
      </c>
      <c r="B330" s="6" t="s">
        <v>3555</v>
      </c>
      <c r="C330" s="6" t="s">
        <v>2454</v>
      </c>
    </row>
    <row r="331" s="1" customFormat="1" spans="1:3">
      <c r="A331" s="6" t="s">
        <v>226</v>
      </c>
      <c r="B331" s="6" t="s">
        <v>227</v>
      </c>
      <c r="C331" s="6" t="s">
        <v>226</v>
      </c>
    </row>
    <row r="332" s="1" customFormat="1" spans="1:3">
      <c r="A332" s="6" t="s">
        <v>158</v>
      </c>
      <c r="B332" s="6" t="s">
        <v>159</v>
      </c>
      <c r="C332" s="6" t="s">
        <v>158</v>
      </c>
    </row>
    <row r="333" s="1" customFormat="1" spans="1:3">
      <c r="A333" s="6" t="s">
        <v>216</v>
      </c>
      <c r="B333" s="6" t="s">
        <v>217</v>
      </c>
      <c r="C333" s="6" t="s">
        <v>216</v>
      </c>
    </row>
    <row r="334" s="1" customFormat="1" ht="28.8" spans="1:3">
      <c r="A334" s="6" t="s">
        <v>2396</v>
      </c>
      <c r="B334" s="6" t="s">
        <v>2397</v>
      </c>
      <c r="C334" s="6" t="s">
        <v>2396</v>
      </c>
    </row>
    <row r="335" s="1" customFormat="1" spans="1:3">
      <c r="A335" s="6" t="s">
        <v>2427</v>
      </c>
      <c r="B335" s="6" t="s">
        <v>3556</v>
      </c>
      <c r="C335" s="6" t="s">
        <v>2427</v>
      </c>
    </row>
    <row r="336" s="1" customFormat="1" ht="28.8" spans="1:3">
      <c r="A336" s="6" t="s">
        <v>2399</v>
      </c>
      <c r="B336" s="6" t="s">
        <v>3557</v>
      </c>
      <c r="C336" s="6" t="s">
        <v>2399</v>
      </c>
    </row>
    <row r="337" s="1" customFormat="1" spans="1:3">
      <c r="A337" s="6" t="s">
        <v>457</v>
      </c>
      <c r="B337" s="6" t="s">
        <v>458</v>
      </c>
      <c r="C337" s="6" t="s">
        <v>457</v>
      </c>
    </row>
    <row r="338" s="1" customFormat="1" spans="1:3">
      <c r="A338" s="6" t="s">
        <v>3008</v>
      </c>
      <c r="B338" s="6" t="s">
        <v>3558</v>
      </c>
      <c r="C338" s="6" t="s">
        <v>3008</v>
      </c>
    </row>
    <row r="339" s="1" customFormat="1" spans="1:3">
      <c r="A339" s="6" t="s">
        <v>2434</v>
      </c>
      <c r="B339" s="6" t="s">
        <v>3559</v>
      </c>
      <c r="C339" s="6" t="s">
        <v>2434</v>
      </c>
    </row>
    <row r="340" s="1" customFormat="1" spans="1:3">
      <c r="A340" s="6" t="s">
        <v>2464</v>
      </c>
      <c r="B340" s="6" t="s">
        <v>3560</v>
      </c>
      <c r="C340" s="6" t="s">
        <v>2464</v>
      </c>
    </row>
    <row r="341" s="1" customFormat="1" spans="1:3">
      <c r="A341" s="6" t="s">
        <v>2436</v>
      </c>
      <c r="B341" s="6" t="s">
        <v>3561</v>
      </c>
      <c r="C341" s="6" t="s">
        <v>2436</v>
      </c>
    </row>
    <row r="342" s="1" customFormat="1" spans="1:3">
      <c r="A342" s="6" t="s">
        <v>2438</v>
      </c>
      <c r="B342" s="6" t="s">
        <v>2439</v>
      </c>
      <c r="C342" s="6" t="s">
        <v>2438</v>
      </c>
    </row>
    <row r="343" s="1" customFormat="1" spans="1:3">
      <c r="A343" s="6" t="s">
        <v>2441</v>
      </c>
      <c r="B343" s="6" t="s">
        <v>3562</v>
      </c>
      <c r="C343" s="6" t="s">
        <v>2441</v>
      </c>
    </row>
    <row r="344" s="1" customFormat="1" spans="1:3">
      <c r="A344" s="6" t="s">
        <v>1583</v>
      </c>
      <c r="B344" s="6" t="s">
        <v>1584</v>
      </c>
      <c r="C344" s="6" t="s">
        <v>1583</v>
      </c>
    </row>
    <row r="345" s="1" customFormat="1" spans="1:3">
      <c r="A345" s="6" t="s">
        <v>3048</v>
      </c>
      <c r="B345" s="6" t="s">
        <v>3563</v>
      </c>
      <c r="C345" s="6" t="s">
        <v>3048</v>
      </c>
    </row>
    <row r="346" s="1" customFormat="1" spans="1:3">
      <c r="A346" s="6" t="s">
        <v>2429</v>
      </c>
      <c r="B346" s="6" t="s">
        <v>3564</v>
      </c>
      <c r="C346" s="6" t="s">
        <v>2429</v>
      </c>
    </row>
    <row r="347" s="1" customFormat="1" spans="1:3">
      <c r="A347" s="6" t="s">
        <v>2420</v>
      </c>
      <c r="B347" s="6" t="s">
        <v>2421</v>
      </c>
      <c r="C347" s="6" t="s">
        <v>2420</v>
      </c>
    </row>
    <row r="348" s="1" customFormat="1" spans="1:3">
      <c r="A348" s="6" t="s">
        <v>465</v>
      </c>
      <c r="B348" s="6" t="s">
        <v>466</v>
      </c>
      <c r="C348" s="6" t="s">
        <v>465</v>
      </c>
    </row>
    <row r="349" s="1" customFormat="1" spans="1:3">
      <c r="A349" s="6" t="s">
        <v>2423</v>
      </c>
      <c r="B349" s="6" t="s">
        <v>3565</v>
      </c>
      <c r="C349" s="6" t="s">
        <v>2423</v>
      </c>
    </row>
    <row r="350" s="1" customFormat="1" spans="1:3">
      <c r="A350" s="6" t="s">
        <v>65</v>
      </c>
      <c r="B350" s="6" t="s">
        <v>66</v>
      </c>
      <c r="C350" s="6" t="s">
        <v>65</v>
      </c>
    </row>
    <row r="351" s="1" customFormat="1" spans="1:3">
      <c r="A351" s="6" t="s">
        <v>2928</v>
      </c>
      <c r="B351" s="6" t="s">
        <v>3566</v>
      </c>
      <c r="C351" s="6" t="s">
        <v>2928</v>
      </c>
    </row>
    <row r="352" s="1" customFormat="1" spans="1:3">
      <c r="A352" s="6" t="s">
        <v>2425</v>
      </c>
      <c r="B352" s="6" t="s">
        <v>3567</v>
      </c>
      <c r="C352" s="6" t="s">
        <v>2425</v>
      </c>
    </row>
    <row r="353" s="1" customFormat="1" spans="1:3">
      <c r="A353" s="6" t="s">
        <v>187</v>
      </c>
      <c r="B353" s="6" t="s">
        <v>188</v>
      </c>
      <c r="C353" s="6" t="s">
        <v>187</v>
      </c>
    </row>
    <row r="354" s="1" customFormat="1" spans="1:3">
      <c r="A354" s="6" t="s">
        <v>2407</v>
      </c>
      <c r="B354" s="6" t="s">
        <v>3568</v>
      </c>
      <c r="C354" s="6" t="s">
        <v>2407</v>
      </c>
    </row>
    <row r="355" s="1" customFormat="1" spans="1:3">
      <c r="A355" s="6" t="s">
        <v>2418</v>
      </c>
      <c r="B355" s="6" t="s">
        <v>3569</v>
      </c>
      <c r="C355" s="6" t="s">
        <v>2418</v>
      </c>
    </row>
    <row r="356" s="1" customFormat="1" spans="1:3">
      <c r="A356" s="6" t="s">
        <v>2404</v>
      </c>
      <c r="B356" s="6" t="s">
        <v>3570</v>
      </c>
      <c r="C356" s="6" t="s">
        <v>2404</v>
      </c>
    </row>
    <row r="357" s="1" customFormat="1" spans="1:3">
      <c r="A357" s="6" t="s">
        <v>2410</v>
      </c>
      <c r="B357" s="6" t="s">
        <v>3571</v>
      </c>
      <c r="C357" s="6" t="s">
        <v>2410</v>
      </c>
    </row>
    <row r="358" s="1" customFormat="1" spans="1:3">
      <c r="A358" s="6" t="s">
        <v>1425</v>
      </c>
      <c r="B358" s="6" t="s">
        <v>1426</v>
      </c>
      <c r="C358" s="6" t="s">
        <v>1425</v>
      </c>
    </row>
    <row r="359" s="1" customFormat="1" spans="1:3">
      <c r="A359" s="6" t="s">
        <v>2414</v>
      </c>
      <c r="B359" s="6" t="s">
        <v>3572</v>
      </c>
      <c r="C359" s="6" t="s">
        <v>2414</v>
      </c>
    </row>
    <row r="360" s="1" customFormat="1" spans="1:3">
      <c r="A360" s="6" t="s">
        <v>2416</v>
      </c>
      <c r="B360" s="6" t="s">
        <v>3573</v>
      </c>
      <c r="C360" s="6" t="s">
        <v>2416</v>
      </c>
    </row>
    <row r="361" s="1" customFormat="1" spans="1:3">
      <c r="A361" s="6" t="s">
        <v>3574</v>
      </c>
      <c r="B361" s="6" t="s">
        <v>3575</v>
      </c>
      <c r="C361" s="6" t="s">
        <v>3574</v>
      </c>
    </row>
    <row r="362" s="1" customFormat="1" spans="1:3">
      <c r="A362" s="6" t="s">
        <v>3139</v>
      </c>
      <c r="B362" s="6" t="s">
        <v>3576</v>
      </c>
      <c r="C362" s="6" t="s">
        <v>3139</v>
      </c>
    </row>
    <row r="363" s="1" customFormat="1" spans="1:3">
      <c r="A363" s="6" t="s">
        <v>3577</v>
      </c>
      <c r="B363" s="6" t="s">
        <v>3578</v>
      </c>
      <c r="C363" s="6" t="s">
        <v>3577</v>
      </c>
    </row>
    <row r="364" s="1" customFormat="1" spans="1:3">
      <c r="A364" s="6" t="s">
        <v>3579</v>
      </c>
      <c r="B364" s="6" t="s">
        <v>3580</v>
      </c>
      <c r="C364" s="6" t="s">
        <v>3579</v>
      </c>
    </row>
    <row r="365" s="1" customFormat="1" spans="1:3">
      <c r="A365" s="6" t="s">
        <v>3581</v>
      </c>
      <c r="B365" s="6" t="s">
        <v>3582</v>
      </c>
      <c r="C365" s="6" t="s">
        <v>3581</v>
      </c>
    </row>
    <row r="366" s="1" customFormat="1" spans="1:3">
      <c r="A366" s="6" t="s">
        <v>3583</v>
      </c>
      <c r="B366" s="6" t="s">
        <v>3584</v>
      </c>
      <c r="C366" s="6" t="s">
        <v>3583</v>
      </c>
    </row>
    <row r="367" s="1" customFormat="1" spans="1:3">
      <c r="A367" s="6" t="s">
        <v>2543</v>
      </c>
      <c r="B367" s="6" t="s">
        <v>3585</v>
      </c>
      <c r="C367" s="6" t="s">
        <v>2543</v>
      </c>
    </row>
    <row r="368" s="1" customFormat="1" spans="1:3">
      <c r="A368" s="6" t="s">
        <v>3155</v>
      </c>
      <c r="B368" s="6" t="s">
        <v>3586</v>
      </c>
      <c r="C368" s="6" t="s">
        <v>3155</v>
      </c>
    </row>
    <row r="369" s="1" customFormat="1" spans="1:3">
      <c r="A369" s="6" t="s">
        <v>3587</v>
      </c>
      <c r="B369" s="6" t="s">
        <v>3588</v>
      </c>
      <c r="C369" s="6" t="s">
        <v>3587</v>
      </c>
    </row>
    <row r="370" s="1" customFormat="1" spans="1:3">
      <c r="A370" s="6" t="s">
        <v>3589</v>
      </c>
      <c r="B370" s="6" t="s">
        <v>3590</v>
      </c>
      <c r="C370" s="6" t="s">
        <v>3589</v>
      </c>
    </row>
    <row r="371" s="1" customFormat="1" spans="1:3">
      <c r="A371" s="6" t="s">
        <v>3591</v>
      </c>
      <c r="B371" s="6" t="s">
        <v>3592</v>
      </c>
      <c r="C371" s="6" t="s">
        <v>3591</v>
      </c>
    </row>
    <row r="372" s="1" customFormat="1" spans="1:3">
      <c r="A372" s="6" t="s">
        <v>3593</v>
      </c>
      <c r="B372" s="6" t="s">
        <v>3594</v>
      </c>
      <c r="C372" s="6" t="s">
        <v>3593</v>
      </c>
    </row>
    <row r="373" s="1" customFormat="1" spans="1:3">
      <c r="A373" s="6" t="s">
        <v>3595</v>
      </c>
      <c r="B373" s="6" t="s">
        <v>3596</v>
      </c>
      <c r="C373" s="6" t="s">
        <v>3595</v>
      </c>
    </row>
    <row r="374" s="1" customFormat="1" spans="1:3">
      <c r="A374" s="6" t="s">
        <v>3597</v>
      </c>
      <c r="B374" s="6" t="s">
        <v>3598</v>
      </c>
      <c r="C374" s="6" t="s">
        <v>3597</v>
      </c>
    </row>
    <row r="375" s="1" customFormat="1" spans="1:3">
      <c r="A375" s="6" t="s">
        <v>3599</v>
      </c>
      <c r="B375" s="6" t="s">
        <v>3600</v>
      </c>
      <c r="C375" s="6" t="s">
        <v>3599</v>
      </c>
    </row>
    <row r="376" s="1" customFormat="1" spans="1:3">
      <c r="A376" s="6" t="s">
        <v>2539</v>
      </c>
      <c r="B376" s="6" t="s">
        <v>3601</v>
      </c>
      <c r="C376" s="6" t="s">
        <v>2539</v>
      </c>
    </row>
    <row r="377" s="1" customFormat="1" spans="1:3">
      <c r="A377" s="6" t="s">
        <v>3028</v>
      </c>
      <c r="B377" s="6" t="s">
        <v>3602</v>
      </c>
      <c r="C377" s="6" t="s">
        <v>3028</v>
      </c>
    </row>
    <row r="378" s="1" customFormat="1" spans="1:3">
      <c r="A378" s="6" t="s">
        <v>3603</v>
      </c>
      <c r="B378" s="6" t="s">
        <v>3604</v>
      </c>
      <c r="C378" s="6" t="s">
        <v>3603</v>
      </c>
    </row>
    <row r="379" s="1" customFormat="1" spans="1:3">
      <c r="A379" s="6" t="s">
        <v>3605</v>
      </c>
      <c r="B379" s="6" t="s">
        <v>3606</v>
      </c>
      <c r="C379" s="6" t="s">
        <v>3605</v>
      </c>
    </row>
    <row r="380" s="1" customFormat="1" spans="1:3">
      <c r="A380" s="6" t="s">
        <v>3607</v>
      </c>
      <c r="B380" s="6" t="s">
        <v>3608</v>
      </c>
      <c r="C380" s="6" t="s">
        <v>3607</v>
      </c>
    </row>
    <row r="381" s="1" customFormat="1" spans="1:3">
      <c r="A381" s="6" t="s">
        <v>3609</v>
      </c>
      <c r="B381" s="6" t="s">
        <v>3610</v>
      </c>
      <c r="C381" s="6" t="s">
        <v>3609</v>
      </c>
    </row>
    <row r="382" s="1" customFormat="1" spans="1:3">
      <c r="A382" s="6" t="s">
        <v>3611</v>
      </c>
      <c r="B382" s="6" t="s">
        <v>3612</v>
      </c>
      <c r="C382" s="6" t="s">
        <v>3611</v>
      </c>
    </row>
    <row r="383" s="1" customFormat="1" spans="1:3">
      <c r="A383" s="6" t="s">
        <v>3613</v>
      </c>
      <c r="B383" s="6" t="s">
        <v>3614</v>
      </c>
      <c r="C383" s="6" t="s">
        <v>3613</v>
      </c>
    </row>
    <row r="384" s="1" customFormat="1" ht="28.8" spans="1:3">
      <c r="A384" s="6" t="s">
        <v>2560</v>
      </c>
      <c r="B384" s="6" t="s">
        <v>2561</v>
      </c>
      <c r="C384" s="6" t="s">
        <v>2560</v>
      </c>
    </row>
    <row r="385" s="1" customFormat="1" spans="1:3">
      <c r="A385" s="6" t="s">
        <v>3615</v>
      </c>
      <c r="B385" s="6" t="s">
        <v>3616</v>
      </c>
      <c r="C385" s="6" t="s">
        <v>3615</v>
      </c>
    </row>
    <row r="386" s="1" customFormat="1" spans="1:3">
      <c r="A386" s="6" t="s">
        <v>2568</v>
      </c>
      <c r="B386" s="6" t="s">
        <v>3617</v>
      </c>
      <c r="C386" s="6" t="s">
        <v>2568</v>
      </c>
    </row>
    <row r="387" s="1" customFormat="1" spans="1:3">
      <c r="A387" s="6" t="s">
        <v>2909</v>
      </c>
      <c r="B387" s="6" t="s">
        <v>2910</v>
      </c>
      <c r="C387" s="6" t="s">
        <v>2909</v>
      </c>
    </row>
    <row r="388" s="1" customFormat="1" spans="1:3">
      <c r="A388" s="6" t="s">
        <v>2470</v>
      </c>
      <c r="B388" s="6" t="s">
        <v>2471</v>
      </c>
      <c r="C388" s="6" t="s">
        <v>2470</v>
      </c>
    </row>
    <row r="389" s="1" customFormat="1" spans="1:3">
      <c r="A389" s="6" t="s">
        <v>682</v>
      </c>
      <c r="B389" s="6" t="s">
        <v>683</v>
      </c>
      <c r="C389" s="6" t="s">
        <v>682</v>
      </c>
    </row>
    <row r="390" s="1" customFormat="1" spans="1:3">
      <c r="A390" s="6" t="s">
        <v>2475</v>
      </c>
      <c r="B390" s="6" t="s">
        <v>3618</v>
      </c>
      <c r="C390" s="6" t="s">
        <v>2475</v>
      </c>
    </row>
    <row r="391" s="1" customFormat="1" spans="1:3">
      <c r="A391" s="6" t="s">
        <v>2523</v>
      </c>
      <c r="B391" s="6" t="s">
        <v>3619</v>
      </c>
      <c r="C391" s="6" t="s">
        <v>2523</v>
      </c>
    </row>
    <row r="392" s="1" customFormat="1" spans="1:3">
      <c r="A392" s="6" t="s">
        <v>3620</v>
      </c>
      <c r="B392" s="6" t="s">
        <v>3621</v>
      </c>
      <c r="C392" s="6" t="s">
        <v>3620</v>
      </c>
    </row>
    <row r="393" s="1" customFormat="1" spans="1:3">
      <c r="A393" s="6" t="s">
        <v>3104</v>
      </c>
      <c r="B393" s="6" t="s">
        <v>3622</v>
      </c>
      <c r="C393" s="6" t="s">
        <v>3104</v>
      </c>
    </row>
    <row r="394" s="1" customFormat="1" spans="1:3">
      <c r="A394" s="6" t="s">
        <v>2383</v>
      </c>
      <c r="B394" s="6" t="s">
        <v>2384</v>
      </c>
      <c r="C394" s="6" t="s">
        <v>2383</v>
      </c>
    </row>
    <row r="395" s="1" customFormat="1" spans="1:3">
      <c r="A395" s="6" t="s">
        <v>3216</v>
      </c>
      <c r="B395" s="6" t="s">
        <v>3217</v>
      </c>
      <c r="C395" s="6" t="s">
        <v>3216</v>
      </c>
    </row>
    <row r="396" s="1" customFormat="1" spans="1:3">
      <c r="A396" s="6" t="s">
        <v>3189</v>
      </c>
      <c r="B396" s="6" t="s">
        <v>3623</v>
      </c>
      <c r="C396" s="6" t="s">
        <v>3189</v>
      </c>
    </row>
    <row r="397" s="1" customFormat="1" spans="1:3">
      <c r="A397" s="6" t="s">
        <v>3199</v>
      </c>
      <c r="B397" s="6" t="s">
        <v>3200</v>
      </c>
      <c r="C397" s="6" t="s">
        <v>3199</v>
      </c>
    </row>
    <row r="398" s="1" customFormat="1" spans="1:3">
      <c r="A398" s="6" t="s">
        <v>3624</v>
      </c>
      <c r="B398" s="6" t="s">
        <v>3198</v>
      </c>
      <c r="C398" s="6" t="s">
        <v>3624</v>
      </c>
    </row>
    <row r="399" s="1" customFormat="1" spans="1:3">
      <c r="A399" s="6" t="s">
        <v>3625</v>
      </c>
      <c r="B399" s="6" t="s">
        <v>3626</v>
      </c>
      <c r="C399" s="6" t="s">
        <v>3625</v>
      </c>
    </row>
    <row r="400" s="1" customFormat="1" spans="1:3">
      <c r="A400" s="6" t="s">
        <v>3094</v>
      </c>
      <c r="B400" s="6" t="s">
        <v>3627</v>
      </c>
      <c r="C400" s="6" t="s">
        <v>3094</v>
      </c>
    </row>
    <row r="401" s="1" customFormat="1" spans="1:3">
      <c r="A401" s="6" t="s">
        <v>171</v>
      </c>
      <c r="B401" s="6" t="s">
        <v>172</v>
      </c>
      <c r="C401" s="6" t="s">
        <v>171</v>
      </c>
    </row>
    <row r="402" s="1" customFormat="1" ht="28.8" spans="1:3">
      <c r="A402" s="6" t="s">
        <v>3099</v>
      </c>
      <c r="B402" s="6" t="s">
        <v>3628</v>
      </c>
      <c r="C402" s="6" t="s">
        <v>3099</v>
      </c>
    </row>
    <row r="403" s="1" customFormat="1" spans="1:3">
      <c r="A403" s="6" t="s">
        <v>3181</v>
      </c>
      <c r="B403" s="6" t="s">
        <v>3182</v>
      </c>
      <c r="C403" s="6" t="s">
        <v>3181</v>
      </c>
    </row>
    <row r="404" s="1" customFormat="1" spans="1:3">
      <c r="A404" s="6" t="s">
        <v>3137</v>
      </c>
      <c r="B404" s="6" t="s">
        <v>3629</v>
      </c>
      <c r="C404" s="6" t="s">
        <v>3137</v>
      </c>
    </row>
    <row r="405" s="1" customFormat="1" spans="1:3">
      <c r="A405" s="6" t="s">
        <v>3630</v>
      </c>
      <c r="B405" s="6" t="s">
        <v>3631</v>
      </c>
      <c r="C405" s="6" t="s">
        <v>3630</v>
      </c>
    </row>
    <row r="406" s="1" customFormat="1" spans="1:3">
      <c r="A406" s="6" t="s">
        <v>3147</v>
      </c>
      <c r="B406" s="6" t="s">
        <v>3632</v>
      </c>
      <c r="C406" s="6" t="s">
        <v>3147</v>
      </c>
    </row>
    <row r="407" s="1" customFormat="1" spans="1:3">
      <c r="A407" s="6" t="s">
        <v>3633</v>
      </c>
      <c r="B407" s="6" t="s">
        <v>3634</v>
      </c>
      <c r="C407" s="6" t="s">
        <v>3633</v>
      </c>
    </row>
    <row r="408" s="1" customFormat="1" spans="1:3">
      <c r="A408" s="6" t="s">
        <v>3083</v>
      </c>
      <c r="B408" s="6" t="s">
        <v>3084</v>
      </c>
      <c r="C408" s="6" t="s">
        <v>3083</v>
      </c>
    </row>
    <row r="409" s="1" customFormat="1" spans="1:3">
      <c r="A409" s="6" t="s">
        <v>3079</v>
      </c>
      <c r="B409" s="6" t="s">
        <v>3080</v>
      </c>
      <c r="C409" s="6" t="s">
        <v>3079</v>
      </c>
    </row>
    <row r="410" s="1" customFormat="1" spans="1:3">
      <c r="A410" s="6" t="s">
        <v>3081</v>
      </c>
      <c r="B410" s="6" t="s">
        <v>3635</v>
      </c>
      <c r="C410" s="6" t="s">
        <v>3081</v>
      </c>
    </row>
    <row r="411" s="1" customFormat="1" spans="1:3">
      <c r="A411" s="6" t="s">
        <v>3090</v>
      </c>
      <c r="B411" s="6" t="s">
        <v>3636</v>
      </c>
      <c r="C411" s="6" t="s">
        <v>3090</v>
      </c>
    </row>
    <row r="412" s="1" customFormat="1" spans="1:3">
      <c r="A412" s="6" t="s">
        <v>3088</v>
      </c>
      <c r="B412" s="6" t="s">
        <v>3637</v>
      </c>
      <c r="C412" s="6" t="s">
        <v>3088</v>
      </c>
    </row>
    <row r="413" s="1" customFormat="1" spans="1:3">
      <c r="A413" s="6" t="s">
        <v>3092</v>
      </c>
      <c r="B413" s="6" t="s">
        <v>3638</v>
      </c>
      <c r="C413" s="6" t="s">
        <v>3092</v>
      </c>
    </row>
    <row r="414" s="1" customFormat="1" spans="1:3">
      <c r="A414" s="6" t="s">
        <v>3085</v>
      </c>
      <c r="B414" s="6" t="s">
        <v>3639</v>
      </c>
      <c r="C414" s="6" t="s">
        <v>3085</v>
      </c>
    </row>
    <row r="415" s="1" customFormat="1" spans="1:3">
      <c r="A415" s="6" t="s">
        <v>3061</v>
      </c>
      <c r="B415" s="6" t="s">
        <v>3640</v>
      </c>
      <c r="C415" s="6" t="s">
        <v>3061</v>
      </c>
    </row>
    <row r="416" s="1" customFormat="1" spans="1:3">
      <c r="A416" s="6" t="s">
        <v>3004</v>
      </c>
      <c r="B416" s="6" t="s">
        <v>3641</v>
      </c>
      <c r="C416" s="6" t="s">
        <v>3004</v>
      </c>
    </row>
    <row r="417" s="1" customFormat="1" spans="1:3">
      <c r="A417" s="6" t="s">
        <v>3642</v>
      </c>
      <c r="B417" s="6" t="s">
        <v>3643</v>
      </c>
      <c r="C417" s="6" t="s">
        <v>3642</v>
      </c>
    </row>
    <row r="418" s="1" customFormat="1" spans="1:3">
      <c r="A418" s="6" t="s">
        <v>3069</v>
      </c>
      <c r="B418" s="6" t="s">
        <v>3644</v>
      </c>
      <c r="C418" s="6" t="s">
        <v>3069</v>
      </c>
    </row>
    <row r="419" s="1" customFormat="1" spans="1:3">
      <c r="A419" s="6" t="s">
        <v>3071</v>
      </c>
      <c r="B419" s="6" t="s">
        <v>3645</v>
      </c>
      <c r="C419" s="6" t="s">
        <v>3071</v>
      </c>
    </row>
    <row r="420" s="1" customFormat="1" spans="1:3">
      <c r="A420" s="6" t="s">
        <v>3646</v>
      </c>
      <c r="B420" s="6" t="s">
        <v>3647</v>
      </c>
      <c r="C420" s="6" t="s">
        <v>3646</v>
      </c>
    </row>
    <row r="421" s="1" customFormat="1" spans="1:3">
      <c r="A421" s="6" t="s">
        <v>3073</v>
      </c>
      <c r="B421" s="6" t="s">
        <v>3648</v>
      </c>
      <c r="C421" s="6" t="s">
        <v>3073</v>
      </c>
    </row>
    <row r="422" s="1" customFormat="1" spans="1:3">
      <c r="A422" s="6" t="s">
        <v>3075</v>
      </c>
      <c r="B422" s="6" t="s">
        <v>3649</v>
      </c>
      <c r="C422" s="6" t="s">
        <v>3075</v>
      </c>
    </row>
    <row r="423" s="1" customFormat="1" spans="1:3">
      <c r="A423" s="6" t="s">
        <v>235</v>
      </c>
      <c r="B423" s="6" t="s">
        <v>236</v>
      </c>
      <c r="C423" s="6" t="s">
        <v>235</v>
      </c>
    </row>
    <row r="424" s="1" customFormat="1" spans="1:3">
      <c r="A424" s="6" t="s">
        <v>304</v>
      </c>
      <c r="B424" s="10" t="s">
        <v>305</v>
      </c>
      <c r="C424" s="6" t="s">
        <v>304</v>
      </c>
    </row>
    <row r="425" s="1" customFormat="1" spans="1:3">
      <c r="A425" s="6" t="s">
        <v>893</v>
      </c>
      <c r="B425" s="10" t="s">
        <v>894</v>
      </c>
      <c r="C425" s="6" t="s">
        <v>893</v>
      </c>
    </row>
    <row r="426" s="1" customFormat="1" spans="1:3">
      <c r="A426" s="6"/>
      <c r="B426" s="6"/>
      <c r="C426" s="6"/>
    </row>
    <row r="427" s="1" customFormat="1" spans="1:3">
      <c r="A427" s="6"/>
      <c r="B427" s="6"/>
      <c r="C427" s="6"/>
    </row>
    <row r="428" s="1" customFormat="1" spans="1:3">
      <c r="A428" s="6"/>
      <c r="B428" s="6"/>
      <c r="C428" s="6"/>
    </row>
    <row r="429" s="1" customFormat="1" spans="1:3">
      <c r="A429" s="6"/>
      <c r="B429" s="6"/>
      <c r="C429" s="6"/>
    </row>
    <row r="430" s="1" customFormat="1" spans="1:3">
      <c r="A430" s="6"/>
      <c r="B430" s="6"/>
      <c r="C430" s="6"/>
    </row>
    <row r="431" s="1" customFormat="1" spans="1:3">
      <c r="A431" s="6"/>
      <c r="B431" s="6"/>
      <c r="C431" s="6"/>
    </row>
    <row r="432" s="1" customFormat="1" spans="1:3">
      <c r="A432" s="6"/>
      <c r="B432" s="6"/>
      <c r="C432" s="6"/>
    </row>
    <row r="433" s="1" customFormat="1" spans="1:3">
      <c r="A433" s="6"/>
      <c r="B433" s="6"/>
      <c r="C433" s="6"/>
    </row>
    <row r="434" s="1" customFormat="1" spans="1:3">
      <c r="A434" s="6"/>
      <c r="B434" s="6"/>
      <c r="C434" s="6"/>
    </row>
    <row r="435" s="1" customFormat="1" spans="1:3">
      <c r="A435" s="6"/>
      <c r="B435" s="6"/>
      <c r="C435" s="6"/>
    </row>
    <row r="436" s="1" customFormat="1" spans="1:3">
      <c r="A436" s="6"/>
      <c r="B436" s="6"/>
      <c r="C436" s="6"/>
    </row>
    <row r="437" s="1" customFormat="1" spans="1:3">
      <c r="A437" s="6"/>
      <c r="B437" s="6"/>
      <c r="C437" s="6"/>
    </row>
    <row r="438" s="1" customFormat="1" spans="1:3">
      <c r="A438" s="6"/>
      <c r="B438" s="6"/>
      <c r="C438" s="6"/>
    </row>
    <row r="439" s="1" customFormat="1" spans="1:3">
      <c r="A439" s="6"/>
      <c r="B439" s="6"/>
      <c r="C439" s="6"/>
    </row>
    <row r="440" s="1" customFormat="1" spans="1:3">
      <c r="A440" s="6"/>
      <c r="B440" s="6"/>
      <c r="C440" s="6"/>
    </row>
    <row r="441" s="1" customFormat="1" spans="1:3">
      <c r="A441" s="6"/>
      <c r="B441" s="6"/>
      <c r="C441" s="6"/>
    </row>
    <row r="442" s="1" customFormat="1" spans="1:3">
      <c r="A442" s="6"/>
      <c r="B442" s="6"/>
      <c r="C442" s="6"/>
    </row>
    <row r="443" s="1" customFormat="1" spans="1:3">
      <c r="A443" s="6"/>
      <c r="B443" s="6"/>
      <c r="C443" s="6"/>
    </row>
    <row r="444" s="1" customFormat="1" spans="1:3">
      <c r="A444" s="6"/>
      <c r="B444" s="6"/>
      <c r="C444" s="6"/>
    </row>
    <row r="445" s="1" customFormat="1" spans="1:3">
      <c r="A445" s="6"/>
      <c r="B445" s="6"/>
      <c r="C445" s="6"/>
    </row>
    <row r="446" s="1" customFormat="1" spans="1:3">
      <c r="A446" s="6"/>
      <c r="B446" s="6"/>
      <c r="C446" s="6"/>
    </row>
    <row r="447" s="1" customFormat="1" spans="1:3">
      <c r="A447" s="6"/>
      <c r="B447" s="6"/>
      <c r="C447" s="6"/>
    </row>
    <row r="448" s="1" customFormat="1" spans="1:3">
      <c r="A448" s="6"/>
      <c r="B448" s="6"/>
      <c r="C448" s="6"/>
    </row>
    <row r="449" s="1" customFormat="1" spans="1:3">
      <c r="A449" s="6"/>
      <c r="B449" s="6"/>
      <c r="C449" s="6"/>
    </row>
    <row r="450" s="1" customFormat="1" spans="1:3">
      <c r="A450" s="6"/>
      <c r="B450" s="6"/>
      <c r="C450" s="6"/>
    </row>
    <row r="451" s="1" customFormat="1" spans="1:3">
      <c r="A451" s="6"/>
      <c r="B451" s="6"/>
      <c r="C451" s="6"/>
    </row>
    <row r="452" s="1" customFormat="1" spans="1:3">
      <c r="A452" s="6"/>
      <c r="B452" s="6"/>
      <c r="C452" s="6"/>
    </row>
    <row r="453" s="1" customFormat="1" spans="1:3">
      <c r="A453" s="6"/>
      <c r="B453" s="6"/>
      <c r="C453" s="6"/>
    </row>
    <row r="454" s="1" customFormat="1" spans="1:3">
      <c r="A454" s="6"/>
      <c r="B454" s="6"/>
      <c r="C454" s="6"/>
    </row>
    <row r="455" s="1" customFormat="1" spans="1:3">
      <c r="A455" s="6"/>
      <c r="B455" s="6"/>
      <c r="C455" s="6"/>
    </row>
    <row r="456" s="1" customFormat="1" spans="1:3">
      <c r="A456" s="6"/>
      <c r="B456" s="6"/>
      <c r="C456" s="6"/>
    </row>
    <row r="457" s="1" customFormat="1" spans="1:3">
      <c r="A457" s="6"/>
      <c r="B457" s="6"/>
      <c r="C457" s="6"/>
    </row>
    <row r="458" s="1" customFormat="1" spans="1:3">
      <c r="A458" s="6"/>
      <c r="B458" s="6"/>
      <c r="C458" s="6"/>
    </row>
    <row r="459" s="1" customFormat="1" spans="1:3">
      <c r="A459" s="6"/>
      <c r="B459" s="6"/>
      <c r="C459" s="6"/>
    </row>
    <row r="460" s="1" customFormat="1" spans="1:3">
      <c r="A460" s="6"/>
      <c r="B460" s="6"/>
      <c r="C460" s="6"/>
    </row>
    <row r="461" s="1" customFormat="1" spans="1:3">
      <c r="A461" s="6"/>
      <c r="B461" s="6"/>
      <c r="C461" s="6"/>
    </row>
    <row r="462" s="1" customFormat="1" spans="1:3">
      <c r="A462" s="6"/>
      <c r="B462" s="6"/>
      <c r="C462" s="6"/>
    </row>
    <row r="463" s="1" customFormat="1" spans="1:3">
      <c r="A463" s="6"/>
      <c r="B463" s="6"/>
      <c r="C463" s="6"/>
    </row>
    <row r="464" s="1" customFormat="1" spans="1:3">
      <c r="A464" s="6"/>
      <c r="B464" s="6"/>
      <c r="C464" s="6"/>
    </row>
    <row r="465" s="1" customFormat="1" spans="1:3">
      <c r="A465" s="6"/>
      <c r="B465" s="6"/>
      <c r="C465" s="6"/>
    </row>
    <row r="466" s="1" customFormat="1" spans="1:3">
      <c r="A466" s="6"/>
      <c r="B466" s="6"/>
      <c r="C466" s="6"/>
    </row>
    <row r="467" s="1" customFormat="1" spans="1:3">
      <c r="A467" s="6"/>
      <c r="B467" s="6"/>
      <c r="C467" s="6"/>
    </row>
    <row r="468" s="1" customFormat="1" spans="1:3">
      <c r="A468" s="6"/>
      <c r="B468" s="6"/>
      <c r="C468" s="6"/>
    </row>
    <row r="469" s="1" customFormat="1" spans="1:3">
      <c r="A469" s="6"/>
      <c r="B469" s="6"/>
      <c r="C469" s="6"/>
    </row>
    <row r="470" s="1" customFormat="1" spans="1:3">
      <c r="A470" s="6"/>
      <c r="B470" s="6"/>
      <c r="C470" s="6"/>
    </row>
    <row r="471" s="1" customFormat="1" spans="1:3">
      <c r="A471" s="6"/>
      <c r="B471" s="6"/>
      <c r="C471" s="6"/>
    </row>
    <row r="472" s="1" customFormat="1" spans="1:3">
      <c r="A472" s="6"/>
      <c r="B472" s="6"/>
      <c r="C472" s="6"/>
    </row>
    <row r="473" s="1" customFormat="1" spans="1:3">
      <c r="A473" s="6"/>
      <c r="B473" s="6"/>
      <c r="C473" s="6"/>
    </row>
    <row r="474" s="1" customFormat="1" spans="1:3">
      <c r="A474" s="6"/>
      <c r="B474" s="6"/>
      <c r="C474" s="6"/>
    </row>
    <row r="475" s="1" customFormat="1" spans="1:3">
      <c r="A475" s="6"/>
      <c r="B475" s="6"/>
      <c r="C475" s="6"/>
    </row>
    <row r="476" s="1" customFormat="1" spans="1:3">
      <c r="A476" s="6"/>
      <c r="B476" s="6"/>
      <c r="C476" s="6"/>
    </row>
    <row r="477" s="1" customFormat="1" spans="1:3">
      <c r="A477" s="6"/>
      <c r="B477" s="6"/>
      <c r="C477" s="6"/>
    </row>
    <row r="478" s="1" customFormat="1" spans="1:3">
      <c r="A478" s="6"/>
      <c r="B478" s="6"/>
      <c r="C478" s="6"/>
    </row>
    <row r="479" s="1" customFormat="1" spans="1:3">
      <c r="A479" s="6"/>
      <c r="B479" s="6"/>
      <c r="C479" s="6"/>
    </row>
    <row r="480" s="1" customFormat="1" spans="1:3">
      <c r="A480" s="6"/>
      <c r="B480" s="6"/>
      <c r="C480" s="6"/>
    </row>
    <row r="481" s="1" customFormat="1" spans="1:3">
      <c r="A481" s="6"/>
      <c r="B481" s="6"/>
      <c r="C481" s="6"/>
    </row>
    <row r="482" s="1" customFormat="1" spans="1:3">
      <c r="A482" s="6"/>
      <c r="B482" s="6"/>
      <c r="C482" s="6"/>
    </row>
    <row r="483" s="1" customFormat="1" spans="1:3">
      <c r="A483" s="6"/>
      <c r="B483" s="6"/>
      <c r="C483" s="6"/>
    </row>
    <row r="484" s="1" customFormat="1" spans="1:3">
      <c r="A484" s="6"/>
      <c r="B484" s="6"/>
      <c r="C484" s="6"/>
    </row>
    <row r="485" s="1" customFormat="1" spans="1:3">
      <c r="A485" s="6"/>
      <c r="B485" s="6"/>
      <c r="C485" s="6"/>
    </row>
    <row r="486" s="1" customFormat="1" spans="1:3">
      <c r="A486" s="6"/>
      <c r="B486" s="6"/>
      <c r="C486" s="6"/>
    </row>
    <row r="487" s="1" customFormat="1" spans="1:3">
      <c r="A487" s="6"/>
      <c r="B487" s="6"/>
      <c r="C487" s="6"/>
    </row>
    <row r="488" s="1" customFormat="1" spans="1:3">
      <c r="A488" s="6"/>
      <c r="B488" s="6"/>
      <c r="C488" s="6"/>
    </row>
    <row r="489" s="1" customFormat="1" spans="1:3">
      <c r="A489" s="6"/>
      <c r="B489" s="6"/>
      <c r="C489" s="6"/>
    </row>
    <row r="490" s="1" customFormat="1" spans="1:3">
      <c r="A490" s="6"/>
      <c r="B490" s="6"/>
      <c r="C490" s="6"/>
    </row>
    <row r="491" s="1" customFormat="1" spans="1:3">
      <c r="A491" s="6"/>
      <c r="B491" s="6"/>
      <c r="C491" s="6"/>
    </row>
    <row r="492" s="1" customFormat="1" spans="1:3">
      <c r="A492" s="6"/>
      <c r="B492" s="6"/>
      <c r="C492" s="6"/>
    </row>
    <row r="493" s="1" customFormat="1" spans="1:3">
      <c r="A493" s="6"/>
      <c r="B493" s="6"/>
      <c r="C493" s="6"/>
    </row>
    <row r="494" s="1" customFormat="1" spans="1:3">
      <c r="A494" s="6"/>
      <c r="B494" s="6"/>
      <c r="C494" s="6"/>
    </row>
    <row r="495" s="1" customFormat="1" spans="1:3">
      <c r="A495" s="6"/>
      <c r="B495" s="6"/>
      <c r="C495" s="6"/>
    </row>
    <row r="496" s="1" customFormat="1" spans="1:3">
      <c r="A496" s="6"/>
      <c r="B496" s="6"/>
      <c r="C496" s="6"/>
    </row>
    <row r="497" s="1" customFormat="1" spans="1:3">
      <c r="A497" s="6"/>
      <c r="B497" s="6"/>
      <c r="C497" s="6"/>
    </row>
    <row r="498" s="1" customFormat="1" spans="1:3">
      <c r="A498" s="6"/>
      <c r="B498" s="6"/>
      <c r="C498" s="6"/>
    </row>
    <row r="499" s="1" customFormat="1" spans="1:3">
      <c r="A499" s="6"/>
      <c r="B499" s="6"/>
      <c r="C499" s="6"/>
    </row>
    <row r="500" s="1" customFormat="1" spans="1:3">
      <c r="A500" s="6"/>
      <c r="B500" s="6"/>
      <c r="C500" s="6"/>
    </row>
    <row r="501" s="1" customFormat="1" spans="1:3">
      <c r="A501" s="6"/>
      <c r="B501" s="6"/>
      <c r="C501" s="6"/>
    </row>
    <row r="502" s="1" customFormat="1" spans="1:3">
      <c r="A502" s="6"/>
      <c r="B502" s="6"/>
      <c r="C502" s="6"/>
    </row>
    <row r="503" s="1" customFormat="1" spans="1:3">
      <c r="A503" s="6"/>
      <c r="B503" s="6"/>
      <c r="C503" s="6"/>
    </row>
    <row r="504" s="1" customFormat="1" spans="1:3">
      <c r="A504" s="6"/>
      <c r="B504" s="6"/>
      <c r="C504" s="6"/>
    </row>
    <row r="505" s="1" customFormat="1" spans="1:3">
      <c r="A505" s="6"/>
      <c r="B505" s="6"/>
      <c r="C505" s="6"/>
    </row>
    <row r="506" s="1" customFormat="1" spans="1:3">
      <c r="A506" s="6"/>
      <c r="B506" s="6"/>
      <c r="C506" s="6"/>
    </row>
    <row r="507" s="1" customFormat="1" spans="1:3">
      <c r="A507" s="6"/>
      <c r="B507" s="6"/>
      <c r="C507" s="6"/>
    </row>
    <row r="508" s="1" customFormat="1" spans="1:3">
      <c r="A508" s="6"/>
      <c r="B508" s="6"/>
      <c r="C508" s="6"/>
    </row>
    <row r="509" s="1" customFormat="1" spans="1:3">
      <c r="A509" s="6"/>
      <c r="B509" s="6"/>
      <c r="C509" s="6"/>
    </row>
    <row r="510" s="1" customFormat="1" spans="1:3">
      <c r="A510" s="6"/>
      <c r="B510" s="6"/>
      <c r="C510" s="6"/>
    </row>
    <row r="511" s="1" customFormat="1" spans="1:3">
      <c r="A511" s="6"/>
      <c r="B511" s="6"/>
      <c r="C511" s="6"/>
    </row>
    <row r="512" s="1" customFormat="1" spans="1:3">
      <c r="A512" s="6"/>
      <c r="B512" s="6"/>
      <c r="C512" s="6"/>
    </row>
    <row r="513" s="1" customFormat="1" spans="1:3">
      <c r="A513" s="6"/>
      <c r="B513" s="6"/>
      <c r="C513" s="6"/>
    </row>
    <row r="514" s="1" customFormat="1" spans="1:3">
      <c r="A514" s="6"/>
      <c r="B514" s="6"/>
      <c r="C514" s="6"/>
    </row>
    <row r="515" s="1" customFormat="1" spans="1:3">
      <c r="A515" s="6"/>
      <c r="B515" s="6"/>
      <c r="C515" s="6"/>
    </row>
    <row r="516" s="1" customFormat="1" spans="1:3">
      <c r="A516" s="6"/>
      <c r="B516" s="6"/>
      <c r="C516" s="6"/>
    </row>
    <row r="517" s="1" customFormat="1" spans="1:3">
      <c r="A517" s="6"/>
      <c r="B517" s="6"/>
      <c r="C517" s="6"/>
    </row>
    <row r="518" s="1" customFormat="1" spans="1:3">
      <c r="A518" s="6"/>
      <c r="B518" s="6"/>
      <c r="C518" s="6"/>
    </row>
    <row r="519" s="1" customFormat="1" spans="1:3">
      <c r="A519" s="6"/>
      <c r="B519" s="6"/>
      <c r="C519" s="6"/>
    </row>
    <row r="520" s="1" customFormat="1" spans="1:3">
      <c r="A520" s="6"/>
      <c r="B520" s="6"/>
      <c r="C520" s="6"/>
    </row>
    <row r="521" s="1" customFormat="1" spans="1:3">
      <c r="A521" s="6"/>
      <c r="B521" s="6"/>
      <c r="C521" s="6"/>
    </row>
    <row r="522" s="1" customFormat="1" spans="1:3">
      <c r="A522" s="6"/>
      <c r="B522" s="6"/>
      <c r="C522" s="6"/>
    </row>
    <row r="523" s="1" customFormat="1" spans="1:3">
      <c r="A523" s="6"/>
      <c r="B523" s="6"/>
      <c r="C523" s="6"/>
    </row>
    <row r="524" s="1" customFormat="1" spans="1:3">
      <c r="A524" s="6"/>
      <c r="B524" s="6"/>
      <c r="C524" s="6"/>
    </row>
    <row r="525" s="1" customFormat="1" spans="1:3">
      <c r="A525" s="6"/>
      <c r="B525" s="6"/>
      <c r="C525" s="6"/>
    </row>
    <row r="526" s="1" customFormat="1" spans="1:3">
      <c r="A526" s="6"/>
      <c r="B526" s="6"/>
      <c r="C526" s="6"/>
    </row>
    <row r="527" s="1" customFormat="1" spans="1:3">
      <c r="A527" s="6"/>
      <c r="B527" s="6"/>
      <c r="C527" s="6"/>
    </row>
    <row r="528" s="1" customFormat="1" spans="1:3">
      <c r="A528" s="6"/>
      <c r="B528" s="6"/>
      <c r="C528" s="6"/>
    </row>
    <row r="529" s="1" customFormat="1" spans="1:3">
      <c r="A529" s="6"/>
      <c r="B529" s="6"/>
      <c r="C529" s="6"/>
    </row>
    <row r="530" s="1" customFormat="1" spans="1:3">
      <c r="A530" s="6"/>
      <c r="B530" s="6"/>
      <c r="C530" s="6"/>
    </row>
    <row r="531" s="1" customFormat="1" spans="1:3">
      <c r="A531" s="6"/>
      <c r="B531" s="6"/>
      <c r="C531" s="6"/>
    </row>
    <row r="532" s="1" customFormat="1" spans="1:3">
      <c r="A532" s="6"/>
      <c r="B532" s="6"/>
      <c r="C532" s="6"/>
    </row>
    <row r="533" s="1" customFormat="1" spans="1:3">
      <c r="A533" s="6"/>
      <c r="B533" s="6"/>
      <c r="C533" s="6"/>
    </row>
    <row r="534" s="1" customFormat="1" spans="1:3">
      <c r="A534" s="6"/>
      <c r="B534" s="6"/>
      <c r="C534" s="6"/>
    </row>
    <row r="535" s="1" customFormat="1" spans="1:3">
      <c r="A535" s="6"/>
      <c r="B535" s="6"/>
      <c r="C535" s="6"/>
    </row>
    <row r="536" s="1" customFormat="1" spans="1:3">
      <c r="A536" s="6"/>
      <c r="B536" s="6"/>
      <c r="C536" s="6"/>
    </row>
    <row r="537" s="1" customFormat="1" spans="1:3">
      <c r="A537" s="6"/>
      <c r="B537" s="6"/>
      <c r="C537" s="6"/>
    </row>
    <row r="538" s="1" customFormat="1" spans="1:3">
      <c r="A538" s="6"/>
      <c r="B538" s="6"/>
      <c r="C538" s="6"/>
    </row>
    <row r="539" s="1" customFormat="1" spans="1:3">
      <c r="A539" s="6"/>
      <c r="B539" s="6"/>
      <c r="C539" s="6"/>
    </row>
    <row r="540" s="1" customFormat="1" spans="1:3">
      <c r="A540" s="6"/>
      <c r="B540" s="6"/>
      <c r="C540" s="6"/>
    </row>
    <row r="541" s="1" customFormat="1" spans="1:3">
      <c r="A541" s="6"/>
      <c r="B541" s="6"/>
      <c r="C541" s="6"/>
    </row>
    <row r="542" s="1" customFormat="1" spans="1:3">
      <c r="A542" s="6"/>
      <c r="B542" s="6"/>
      <c r="C542" s="6"/>
    </row>
    <row r="543" s="1" customFormat="1" spans="1:3">
      <c r="A543" s="6"/>
      <c r="B543" s="6"/>
      <c r="C543" s="6"/>
    </row>
    <row r="544" s="1" customFormat="1" spans="1:3">
      <c r="A544" s="6"/>
      <c r="B544" s="6"/>
      <c r="C544" s="6"/>
    </row>
    <row r="545" s="1" customFormat="1" spans="1:3">
      <c r="A545" s="6"/>
      <c r="B545" s="6"/>
      <c r="C545" s="6"/>
    </row>
    <row r="546" s="1" customFormat="1" spans="1:3">
      <c r="A546" s="6"/>
      <c r="B546" s="6"/>
      <c r="C546" s="6"/>
    </row>
    <row r="547" s="1" customFormat="1" spans="1:3">
      <c r="A547" s="6"/>
      <c r="B547" s="6"/>
      <c r="C547" s="6"/>
    </row>
    <row r="548" s="1" customFormat="1" spans="1:3">
      <c r="A548" s="6"/>
      <c r="B548" s="6"/>
      <c r="C548" s="6"/>
    </row>
    <row r="549" s="1" customFormat="1" spans="1:3">
      <c r="A549" s="6"/>
      <c r="B549" s="6"/>
      <c r="C549" s="6"/>
    </row>
    <row r="550" s="1" customFormat="1" spans="1:3">
      <c r="A550" s="6"/>
      <c r="B550" s="6"/>
      <c r="C550" s="6"/>
    </row>
    <row r="551" s="1" customFormat="1" spans="1:3">
      <c r="A551" s="6"/>
      <c r="B551" s="6"/>
      <c r="C551" s="6"/>
    </row>
    <row r="552" s="1" customFormat="1" spans="1:3">
      <c r="A552" s="6"/>
      <c r="B552" s="6"/>
      <c r="C552" s="6"/>
    </row>
    <row r="553" s="1" customFormat="1" spans="1:3">
      <c r="A553" s="6"/>
      <c r="B553" s="6"/>
      <c r="C553" s="6"/>
    </row>
    <row r="554" s="1" customFormat="1" spans="1:3">
      <c r="A554" s="6"/>
      <c r="B554" s="6"/>
      <c r="C554" s="6"/>
    </row>
    <row r="555" s="1" customFormat="1" spans="1:3">
      <c r="A555" s="6"/>
      <c r="B555" s="6"/>
      <c r="C555" s="6"/>
    </row>
    <row r="556" s="1" customFormat="1" spans="1:3">
      <c r="A556" s="6"/>
      <c r="B556" s="6"/>
      <c r="C556" s="6"/>
    </row>
    <row r="557" s="1" customFormat="1" spans="1:3">
      <c r="A557" s="6"/>
      <c r="B557" s="6"/>
      <c r="C557" s="6"/>
    </row>
    <row r="558" s="1" customFormat="1" spans="1:3">
      <c r="A558" s="6"/>
      <c r="B558" s="6"/>
      <c r="C558" s="6"/>
    </row>
    <row r="559" s="1" customFormat="1" spans="1:3">
      <c r="A559" s="6"/>
      <c r="B559" s="6"/>
      <c r="C559" s="6"/>
    </row>
    <row r="560" s="1" customFormat="1" spans="1:3">
      <c r="A560" s="6"/>
      <c r="B560" s="6"/>
      <c r="C560" s="6"/>
    </row>
    <row r="561" s="1" customFormat="1" spans="1:3">
      <c r="A561" s="6"/>
      <c r="B561" s="6"/>
      <c r="C561" s="6"/>
    </row>
    <row r="562" s="1" customFormat="1" spans="1:3">
      <c r="A562" s="6"/>
      <c r="B562" s="6"/>
      <c r="C562" s="6"/>
    </row>
    <row r="563" s="1" customFormat="1" spans="1:3">
      <c r="A563" s="6"/>
      <c r="B563" s="6"/>
      <c r="C563" s="6"/>
    </row>
    <row r="564" s="1" customFormat="1" spans="1:3">
      <c r="A564" s="6"/>
      <c r="B564" s="6"/>
      <c r="C564" s="6"/>
    </row>
    <row r="565" s="1" customFormat="1" spans="1:3">
      <c r="A565" s="6"/>
      <c r="B565" s="6"/>
      <c r="C565" s="6"/>
    </row>
    <row r="566" s="1" customFormat="1" spans="1:3">
      <c r="A566" s="6"/>
      <c r="B566" s="6"/>
      <c r="C566" s="6"/>
    </row>
    <row r="567" s="1" customFormat="1" spans="1:3">
      <c r="A567" s="6"/>
      <c r="B567" s="6"/>
      <c r="C567" s="6"/>
    </row>
    <row r="568" s="1" customFormat="1" spans="1:3">
      <c r="A568" s="6"/>
      <c r="B568" s="6"/>
      <c r="C568" s="6"/>
    </row>
    <row r="569" s="1" customFormat="1" spans="1:3">
      <c r="A569" s="6"/>
      <c r="B569" s="6"/>
      <c r="C569" s="6"/>
    </row>
    <row r="570" s="1" customFormat="1" spans="1:3">
      <c r="A570" s="6"/>
      <c r="B570" s="6"/>
      <c r="C570" s="6"/>
    </row>
    <row r="571" s="1" customFormat="1" spans="1:3">
      <c r="A571" s="6"/>
      <c r="B571" s="6"/>
      <c r="C571" s="6"/>
    </row>
    <row r="572" s="1" customFormat="1" spans="1:3">
      <c r="A572" s="6"/>
      <c r="B572" s="6"/>
      <c r="C572" s="6"/>
    </row>
    <row r="573" s="1" customFormat="1" spans="1:3">
      <c r="A573" s="6"/>
      <c r="B573" s="6"/>
      <c r="C573" s="6"/>
    </row>
    <row r="574" s="1" customFormat="1" spans="1:3">
      <c r="A574" s="6"/>
      <c r="B574" s="6"/>
      <c r="C574" s="6"/>
    </row>
    <row r="575" s="1" customFormat="1" spans="1:3">
      <c r="A575" s="6"/>
      <c r="B575" s="6"/>
      <c r="C575" s="6"/>
    </row>
    <row r="576" s="1" customFormat="1" spans="1:3">
      <c r="A576" s="6"/>
      <c r="B576" s="6"/>
      <c r="C576" s="6"/>
    </row>
    <row r="577" s="1" customFormat="1" spans="1:3">
      <c r="A577" s="6"/>
      <c r="B577" s="6"/>
      <c r="C577" s="6"/>
    </row>
    <row r="578" s="1" customFormat="1" spans="1:3">
      <c r="A578" s="6"/>
      <c r="B578" s="6"/>
      <c r="C578" s="6"/>
    </row>
    <row r="579" s="1" customFormat="1" spans="1:3">
      <c r="A579" s="6"/>
      <c r="B579" s="6"/>
      <c r="C579" s="6"/>
    </row>
    <row r="580" s="1" customFormat="1" spans="1:3">
      <c r="A580" s="6"/>
      <c r="B580" s="6"/>
      <c r="C580" s="6"/>
    </row>
    <row r="581" s="1" customFormat="1" spans="1:3">
      <c r="A581" s="6"/>
      <c r="B581" s="6"/>
      <c r="C581" s="6"/>
    </row>
    <row r="582" s="1" customFormat="1" spans="1:3">
      <c r="A582" s="6"/>
      <c r="B582" s="6"/>
      <c r="C582" s="6"/>
    </row>
    <row r="583" s="1" customFormat="1" spans="1:3">
      <c r="A583" s="6"/>
      <c r="B583" s="6"/>
      <c r="C583" s="6"/>
    </row>
    <row r="584" s="1" customFormat="1" spans="1:3">
      <c r="A584" s="6"/>
      <c r="B584" s="6"/>
      <c r="C584" s="6"/>
    </row>
    <row r="585" s="1" customFormat="1" spans="1:3">
      <c r="A585" s="6"/>
      <c r="B585" s="6"/>
      <c r="C585" s="6"/>
    </row>
    <row r="586" s="1" customFormat="1" spans="1:3">
      <c r="A586" s="6"/>
      <c r="B586" s="6"/>
      <c r="C586" s="6"/>
    </row>
    <row r="587" s="1" customFormat="1" spans="1:3">
      <c r="A587" s="6"/>
      <c r="B587" s="6"/>
      <c r="C587" s="6"/>
    </row>
    <row r="588" s="1" customFormat="1" spans="1:3">
      <c r="A588" s="6"/>
      <c r="B588" s="6"/>
      <c r="C588" s="6"/>
    </row>
    <row r="589" s="1" customFormat="1" spans="1:3">
      <c r="A589" s="6"/>
      <c r="B589" s="6"/>
      <c r="C589" s="6"/>
    </row>
    <row r="590" s="1" customFormat="1" spans="1:3">
      <c r="A590" s="6"/>
      <c r="B590" s="6"/>
      <c r="C590" s="6"/>
    </row>
    <row r="591" s="1" customFormat="1" spans="1:3">
      <c r="A591" s="6"/>
      <c r="B591" s="6"/>
      <c r="C591" s="6"/>
    </row>
    <row r="592" s="1" customFormat="1" spans="1:3">
      <c r="A592" s="6"/>
      <c r="B592" s="6"/>
      <c r="C592" s="6"/>
    </row>
    <row r="593" s="1" customFormat="1" spans="1:3">
      <c r="A593" s="6"/>
      <c r="B593" s="6"/>
      <c r="C593" s="6"/>
    </row>
    <row r="594" s="1" customFormat="1" spans="1:3">
      <c r="A594" s="6"/>
      <c r="B594" s="6"/>
      <c r="C594" s="6"/>
    </row>
    <row r="595" s="1" customFormat="1" spans="1:3">
      <c r="A595" s="6"/>
      <c r="B595" s="6"/>
      <c r="C595" s="6"/>
    </row>
    <row r="596" s="1" customFormat="1" spans="1:3">
      <c r="A596" s="6"/>
      <c r="B596" s="6"/>
      <c r="C596" s="6"/>
    </row>
    <row r="597" s="1" customFormat="1" spans="1:3">
      <c r="A597" s="6"/>
      <c r="B597" s="6"/>
      <c r="C597" s="6"/>
    </row>
    <row r="598" s="1" customFormat="1" spans="1:3">
      <c r="A598" s="6"/>
      <c r="B598" s="6"/>
      <c r="C598" s="6"/>
    </row>
    <row r="599" s="1" customFormat="1" spans="1:3">
      <c r="A599" s="6"/>
      <c r="B599" s="6"/>
      <c r="C599" s="6"/>
    </row>
    <row r="600" s="1" customFormat="1" spans="1:3">
      <c r="A600" s="6"/>
      <c r="B600" s="6"/>
      <c r="C600" s="6"/>
    </row>
    <row r="601" s="1" customFormat="1" spans="1:3">
      <c r="A601" s="6"/>
      <c r="B601" s="6"/>
      <c r="C601" s="6"/>
    </row>
    <row r="602" s="1" customFormat="1" spans="1:3">
      <c r="A602" s="6"/>
      <c r="B602" s="6"/>
      <c r="C602" s="6"/>
    </row>
    <row r="603" s="1" customFormat="1" spans="1:3">
      <c r="A603" s="6"/>
      <c r="B603" s="6"/>
      <c r="C603" s="6"/>
    </row>
    <row r="604" s="1" customFormat="1" spans="1:3">
      <c r="A604" s="6"/>
      <c r="B604" s="6"/>
      <c r="C604" s="6"/>
    </row>
    <row r="605" s="1" customFormat="1" spans="1:3">
      <c r="A605" s="6"/>
      <c r="B605" s="6"/>
      <c r="C605" s="6"/>
    </row>
    <row r="606" s="1" customFormat="1" spans="1:3">
      <c r="A606" s="6"/>
      <c r="B606" s="6"/>
      <c r="C606" s="6"/>
    </row>
    <row r="607" s="1" customFormat="1" spans="1:3">
      <c r="A607" s="6"/>
      <c r="B607" s="6"/>
      <c r="C607" s="6"/>
    </row>
    <row r="608" s="1" customFormat="1" spans="1:3">
      <c r="A608" s="6"/>
      <c r="B608" s="6"/>
      <c r="C608" s="6"/>
    </row>
    <row r="609" s="1" customFormat="1" spans="1:3">
      <c r="A609" s="6"/>
      <c r="B609" s="6"/>
      <c r="C609" s="6"/>
    </row>
    <row r="610" s="1" customFormat="1" spans="1:3">
      <c r="A610" s="6"/>
      <c r="B610" s="6"/>
      <c r="C610" s="6"/>
    </row>
    <row r="611" s="1" customFormat="1" spans="1:3">
      <c r="A611" s="6"/>
      <c r="B611" s="6"/>
      <c r="C611" s="6"/>
    </row>
    <row r="612" s="1" customFormat="1" spans="1:3">
      <c r="A612" s="6"/>
      <c r="B612" s="6"/>
      <c r="C612" s="6"/>
    </row>
    <row r="613" s="1" customFormat="1" spans="1:3">
      <c r="A613" s="6"/>
      <c r="B613" s="6"/>
      <c r="C613" s="6"/>
    </row>
    <row r="614" s="1" customFormat="1" spans="1:3">
      <c r="A614" s="6"/>
      <c r="B614" s="6"/>
      <c r="C614" s="6"/>
    </row>
    <row r="615" s="1" customFormat="1" spans="1:3">
      <c r="A615" s="6"/>
      <c r="B615" s="6"/>
      <c r="C615" s="6"/>
    </row>
    <row r="616" s="1" customFormat="1" spans="1:3">
      <c r="A616" s="6"/>
      <c r="B616" s="6"/>
      <c r="C616" s="6"/>
    </row>
    <row r="617" s="1" customFormat="1" spans="1:3">
      <c r="A617" s="6"/>
      <c r="B617" s="6"/>
      <c r="C617" s="6"/>
    </row>
    <row r="618" s="1" customFormat="1" spans="1:3">
      <c r="A618" s="6"/>
      <c r="B618" s="6"/>
      <c r="C618" s="6"/>
    </row>
    <row r="619" s="1" customFormat="1" spans="1:3">
      <c r="A619" s="6"/>
      <c r="B619" s="6"/>
      <c r="C619" s="6"/>
    </row>
    <row r="620" s="1" customFormat="1" spans="1:3">
      <c r="A620" s="6"/>
      <c r="B620" s="6"/>
      <c r="C620" s="6"/>
    </row>
    <row r="621" s="1" customFormat="1" spans="1:3">
      <c r="A621" s="6"/>
      <c r="B621" s="6"/>
      <c r="C621" s="6"/>
    </row>
    <row r="622" s="1" customFormat="1" spans="1:3">
      <c r="A622" s="6"/>
      <c r="B622" s="6"/>
      <c r="C622" s="6"/>
    </row>
    <row r="623" s="1" customFormat="1" spans="1:3">
      <c r="A623" s="6"/>
      <c r="B623" s="6"/>
      <c r="C623" s="6"/>
    </row>
    <row r="624" s="1" customFormat="1" spans="1:3">
      <c r="A624" s="6"/>
      <c r="B624" s="6"/>
      <c r="C624" s="6"/>
    </row>
    <row r="625" s="1" customFormat="1" spans="1:3">
      <c r="A625" s="6"/>
      <c r="B625" s="6"/>
      <c r="C625" s="6"/>
    </row>
    <row r="626" s="1" customFormat="1" spans="1:3">
      <c r="A626" s="6"/>
      <c r="B626" s="6"/>
      <c r="C626" s="6"/>
    </row>
    <row r="627" s="1" customFormat="1" spans="1:3">
      <c r="A627" s="6"/>
      <c r="B627" s="6"/>
      <c r="C627" s="6"/>
    </row>
    <row r="628" s="1" customFormat="1" spans="1:3">
      <c r="A628" s="6"/>
      <c r="B628" s="6"/>
      <c r="C628" s="6"/>
    </row>
    <row r="629" s="1" customFormat="1" spans="1:3">
      <c r="A629" s="6"/>
      <c r="B629" s="6"/>
      <c r="C629" s="6"/>
    </row>
    <row r="630" s="1" customFormat="1" spans="1:3">
      <c r="A630" s="6"/>
      <c r="B630" s="6"/>
      <c r="C630" s="6"/>
    </row>
    <row r="631" s="1" customFormat="1" spans="1:3">
      <c r="A631" s="6"/>
      <c r="B631" s="6"/>
      <c r="C631" s="6"/>
    </row>
    <row r="632" s="1" customFormat="1" spans="1:3">
      <c r="A632" s="6"/>
      <c r="B632" s="6"/>
      <c r="C632" s="6"/>
    </row>
    <row r="633" s="1" customFormat="1" spans="1:3">
      <c r="A633" s="6"/>
      <c r="B633" s="6"/>
      <c r="C633" s="6"/>
    </row>
    <row r="634" s="1" customFormat="1" spans="1:3">
      <c r="A634" s="6"/>
      <c r="B634" s="6"/>
      <c r="C634" s="6"/>
    </row>
    <row r="635" s="1" customFormat="1" spans="1:3">
      <c r="A635" s="6"/>
      <c r="B635" s="6"/>
      <c r="C635" s="6"/>
    </row>
    <row r="636" s="1" customFormat="1" spans="1:3">
      <c r="A636" s="6"/>
      <c r="B636" s="6"/>
      <c r="C636" s="6"/>
    </row>
    <row r="637" s="1" customFormat="1" spans="1:3">
      <c r="A637" s="6"/>
      <c r="B637" s="6"/>
      <c r="C637" s="6"/>
    </row>
    <row r="638" s="1" customFormat="1" spans="1:3">
      <c r="A638" s="6"/>
      <c r="B638" s="6"/>
      <c r="C638" s="6"/>
    </row>
    <row r="639" s="1" customFormat="1" spans="1:3">
      <c r="A639" s="6"/>
      <c r="B639" s="6"/>
      <c r="C639" s="6"/>
    </row>
    <row r="640" s="1" customFormat="1" spans="1:3">
      <c r="A640" s="6"/>
      <c r="B640" s="6"/>
      <c r="C640" s="6"/>
    </row>
    <row r="641" s="1" customFormat="1" spans="1:3">
      <c r="A641" s="6"/>
      <c r="B641" s="6"/>
      <c r="C641" s="6"/>
    </row>
    <row r="642" s="1" customFormat="1" spans="1:3">
      <c r="A642" s="6"/>
      <c r="B642" s="6"/>
      <c r="C642" s="6"/>
    </row>
    <row r="643" s="1" customFormat="1" spans="1:3">
      <c r="A643" s="6"/>
      <c r="B643" s="6"/>
      <c r="C643" s="6"/>
    </row>
    <row r="644" s="1" customFormat="1" spans="1:3">
      <c r="A644" s="6"/>
      <c r="B644" s="6"/>
      <c r="C644" s="6"/>
    </row>
    <row r="645" s="1" customFormat="1" spans="1:3">
      <c r="A645" s="6"/>
      <c r="B645" s="6"/>
      <c r="C645" s="6"/>
    </row>
    <row r="646" s="1" customFormat="1" spans="1:3">
      <c r="A646" s="6"/>
      <c r="B646" s="6"/>
      <c r="C646" s="6"/>
    </row>
    <row r="647" s="1" customFormat="1" spans="1:3">
      <c r="A647" s="6"/>
      <c r="B647" s="6"/>
      <c r="C647" s="6"/>
    </row>
    <row r="648" s="1" customFormat="1" spans="1:3">
      <c r="A648" s="6"/>
      <c r="B648" s="6"/>
      <c r="C648" s="6"/>
    </row>
    <row r="649" s="1" customFormat="1" spans="1:3">
      <c r="A649" s="6"/>
      <c r="B649" s="6"/>
      <c r="C649" s="6"/>
    </row>
    <row r="650" s="1" customFormat="1" spans="1:3">
      <c r="A650" s="6"/>
      <c r="B650" s="6"/>
      <c r="C650" s="6"/>
    </row>
    <row r="651" s="1" customFormat="1" spans="1:3">
      <c r="A651" s="6"/>
      <c r="B651" s="6"/>
      <c r="C651" s="6"/>
    </row>
    <row r="652" s="1" customFormat="1" spans="1:3">
      <c r="A652" s="6"/>
      <c r="B652" s="6"/>
      <c r="C652" s="6"/>
    </row>
    <row r="653" s="1" customFormat="1" spans="1:3">
      <c r="A653" s="6"/>
      <c r="B653" s="6"/>
      <c r="C653" s="6"/>
    </row>
    <row r="654" s="1" customFormat="1" spans="1:3">
      <c r="A654" s="6"/>
      <c r="B654" s="6"/>
      <c r="C654" s="6"/>
    </row>
    <row r="655" s="1" customFormat="1" spans="1:3">
      <c r="A655" s="6"/>
      <c r="B655" s="6"/>
      <c r="C655" s="6"/>
    </row>
    <row r="656" s="1" customFormat="1" spans="1:3">
      <c r="A656" s="6"/>
      <c r="B656" s="6"/>
      <c r="C656" s="6"/>
    </row>
    <row r="657" s="1" customFormat="1" spans="1:3">
      <c r="A657" s="6"/>
      <c r="B657" s="6"/>
      <c r="C657" s="6"/>
    </row>
    <row r="658" s="1" customFormat="1" spans="1:3">
      <c r="A658" s="6"/>
      <c r="B658" s="6"/>
      <c r="C658" s="6"/>
    </row>
    <row r="659" s="1" customFormat="1" spans="1:3">
      <c r="A659" s="6"/>
      <c r="B659" s="6"/>
      <c r="C659" s="6"/>
    </row>
    <row r="660" s="1" customFormat="1" spans="1:3">
      <c r="A660" s="6"/>
      <c r="B660" s="6"/>
      <c r="C660" s="6"/>
    </row>
    <row r="661" s="1" customFormat="1" spans="1:3">
      <c r="A661" s="6"/>
      <c r="B661" s="6"/>
      <c r="C661" s="6"/>
    </row>
    <row r="662" s="1" customFormat="1" spans="1:3">
      <c r="A662" s="6"/>
      <c r="B662" s="6"/>
      <c r="C662" s="6"/>
    </row>
    <row r="663" s="1" customFormat="1" spans="1:3">
      <c r="A663" s="6"/>
      <c r="B663" s="6"/>
      <c r="C663" s="6"/>
    </row>
    <row r="664" s="1" customFormat="1" spans="1:3">
      <c r="A664" s="6"/>
      <c r="B664" s="6"/>
      <c r="C664" s="6"/>
    </row>
    <row r="665" s="1" customFormat="1" spans="1:3">
      <c r="A665" s="6"/>
      <c r="B665" s="6"/>
      <c r="C665" s="6"/>
    </row>
    <row r="666" s="1" customFormat="1" spans="1:3">
      <c r="A666" s="6"/>
      <c r="B666" s="6"/>
      <c r="C666" s="6"/>
    </row>
    <row r="667" s="1" customFormat="1" spans="1:3">
      <c r="A667" s="6"/>
      <c r="B667" s="6"/>
      <c r="C667" s="6"/>
    </row>
    <row r="668" s="1" customFormat="1" spans="1:3">
      <c r="A668" s="6"/>
      <c r="B668" s="6"/>
      <c r="C668" s="6"/>
    </row>
    <row r="669" s="1" customFormat="1" spans="1:3">
      <c r="A669" s="6"/>
      <c r="B669" s="6"/>
      <c r="C669" s="6"/>
    </row>
    <row r="670" s="1" customFormat="1" spans="1:3">
      <c r="A670" s="6"/>
      <c r="B670" s="6"/>
      <c r="C670" s="6"/>
    </row>
    <row r="671" s="1" customFormat="1" spans="1:3">
      <c r="A671" s="6"/>
      <c r="B671" s="6"/>
      <c r="C671" s="6"/>
    </row>
    <row r="672" s="1" customFormat="1" spans="1:3">
      <c r="A672" s="6"/>
      <c r="B672" s="6"/>
      <c r="C672" s="6"/>
    </row>
    <row r="673" s="1" customFormat="1" spans="1:3">
      <c r="A673" s="6"/>
      <c r="B673" s="6"/>
      <c r="C673" s="6"/>
    </row>
    <row r="674" s="1" customFormat="1" spans="1:3">
      <c r="A674" s="6"/>
      <c r="B674" s="6"/>
      <c r="C674" s="6"/>
    </row>
    <row r="675" s="1" customFormat="1" spans="1:3">
      <c r="A675" s="6"/>
      <c r="B675" s="6"/>
      <c r="C675" s="6"/>
    </row>
    <row r="676" s="1" customFormat="1" spans="1:3">
      <c r="A676" s="6"/>
      <c r="B676" s="6"/>
      <c r="C676" s="6"/>
    </row>
    <row r="677" s="1" customFormat="1" spans="1:3">
      <c r="A677" s="6"/>
      <c r="B677" s="6"/>
      <c r="C677" s="6"/>
    </row>
    <row r="678" s="1" customFormat="1" spans="1:3">
      <c r="A678" s="6"/>
      <c r="B678" s="6"/>
      <c r="C678" s="6"/>
    </row>
    <row r="679" s="1" customFormat="1" spans="1:3">
      <c r="A679" s="6"/>
      <c r="B679" s="6"/>
      <c r="C679" s="6"/>
    </row>
    <row r="680" s="1" customFormat="1" spans="1:3">
      <c r="A680" s="6"/>
      <c r="B680" s="6"/>
      <c r="C680" s="6"/>
    </row>
    <row r="681" s="1" customFormat="1" spans="1:3">
      <c r="A681" s="6"/>
      <c r="B681" s="6"/>
      <c r="C681" s="6"/>
    </row>
    <row r="682" s="1" customFormat="1" spans="1:3">
      <c r="A682" s="6"/>
      <c r="B682" s="6"/>
      <c r="C682" s="6"/>
    </row>
    <row r="683" s="1" customFormat="1" spans="1:3">
      <c r="A683" s="6"/>
      <c r="B683" s="6"/>
      <c r="C683" s="6"/>
    </row>
    <row r="684" s="1" customFormat="1" spans="1:3">
      <c r="A684" s="6"/>
      <c r="B684" s="6"/>
      <c r="C684" s="6"/>
    </row>
    <row r="685" s="1" customFormat="1" spans="1:3">
      <c r="A685" s="6"/>
      <c r="B685" s="6"/>
      <c r="C685" s="6"/>
    </row>
    <row r="686" s="1" customFormat="1" spans="1:3">
      <c r="A686" s="6"/>
      <c r="B686" s="6"/>
      <c r="C686" s="6"/>
    </row>
    <row r="687" s="1" customFormat="1" spans="1:3">
      <c r="A687" s="6"/>
      <c r="B687" s="6"/>
      <c r="C687" s="6"/>
    </row>
    <row r="688" s="1" customFormat="1" spans="1:3">
      <c r="A688" s="6"/>
      <c r="B688" s="6"/>
      <c r="C688" s="6"/>
    </row>
    <row r="689" s="1" customFormat="1" spans="1:3">
      <c r="A689" s="6"/>
      <c r="B689" s="6"/>
      <c r="C689" s="6"/>
    </row>
    <row r="690" s="1" customFormat="1" spans="1:3">
      <c r="A690" s="6"/>
      <c r="B690" s="6"/>
      <c r="C690" s="6"/>
    </row>
    <row r="691" s="1" customFormat="1" spans="1:3">
      <c r="A691" s="6"/>
      <c r="B691" s="6"/>
      <c r="C691" s="6"/>
    </row>
    <row r="692" s="1" customFormat="1" spans="1:3">
      <c r="A692" s="6"/>
      <c r="B692" s="6"/>
      <c r="C692" s="6"/>
    </row>
    <row r="693" s="1" customFormat="1" spans="1:3">
      <c r="A693" s="6"/>
      <c r="B693" s="6"/>
      <c r="C693" s="6"/>
    </row>
    <row r="694" s="1" customFormat="1" spans="1:3">
      <c r="A694" s="6"/>
      <c r="B694" s="6"/>
      <c r="C694" s="6"/>
    </row>
    <row r="695" s="1" customFormat="1" spans="1:3">
      <c r="A695" s="6"/>
      <c r="B695" s="6"/>
      <c r="C695" s="6"/>
    </row>
    <row r="696" s="1" customFormat="1" spans="1:3">
      <c r="A696" s="6"/>
      <c r="B696" s="6"/>
      <c r="C696" s="6"/>
    </row>
    <row r="697" s="1" customFormat="1" spans="1:3">
      <c r="A697" s="6"/>
      <c r="B697" s="6"/>
      <c r="C697" s="6"/>
    </row>
    <row r="698" s="1" customFormat="1" spans="1:3">
      <c r="A698" s="6"/>
      <c r="B698" s="6"/>
      <c r="C698" s="6"/>
    </row>
    <row r="699" s="1" customFormat="1" spans="1:3">
      <c r="A699" s="6"/>
      <c r="B699" s="6"/>
      <c r="C699" s="6"/>
    </row>
    <row r="700" s="1" customFormat="1" spans="1:3">
      <c r="A700" s="6"/>
      <c r="B700" s="6"/>
      <c r="C700" s="6"/>
    </row>
    <row r="701" s="1" customFormat="1" spans="1:3">
      <c r="A701" s="6"/>
      <c r="B701" s="6"/>
      <c r="C701" s="6"/>
    </row>
    <row r="702" s="1" customFormat="1" spans="1:3">
      <c r="A702" s="6"/>
      <c r="B702" s="6"/>
      <c r="C702" s="6"/>
    </row>
    <row r="703" s="1" customFormat="1" spans="1:3">
      <c r="A703" s="6"/>
      <c r="B703" s="6"/>
      <c r="C703" s="6"/>
    </row>
    <row r="704" s="1" customFormat="1" spans="1:3">
      <c r="A704" s="6"/>
      <c r="B704" s="6"/>
      <c r="C704" s="6"/>
    </row>
    <row r="705" s="1" customFormat="1" spans="1:3">
      <c r="A705" s="6"/>
      <c r="B705" s="6"/>
      <c r="C705" s="6"/>
    </row>
    <row r="706" s="1" customFormat="1" spans="1:3">
      <c r="A706" s="6"/>
      <c r="B706" s="6"/>
      <c r="C706" s="6"/>
    </row>
    <row r="707" s="1" customFormat="1" spans="1:3">
      <c r="A707" s="6"/>
      <c r="B707" s="6"/>
      <c r="C707" s="6"/>
    </row>
    <row r="708" s="1" customFormat="1" spans="1:3">
      <c r="A708" s="6"/>
      <c r="B708" s="6"/>
      <c r="C708" s="6"/>
    </row>
    <row r="709" s="1" customFormat="1" spans="1:3">
      <c r="A709" s="6"/>
      <c r="B709" s="6"/>
      <c r="C709" s="6"/>
    </row>
    <row r="710" s="1" customFormat="1" spans="1:3">
      <c r="A710" s="6"/>
      <c r="B710" s="6"/>
      <c r="C710" s="6"/>
    </row>
    <row r="711" s="1" customFormat="1" spans="1:3">
      <c r="A711" s="6"/>
      <c r="B711" s="6"/>
      <c r="C711" s="6"/>
    </row>
    <row r="712" s="1" customFormat="1" spans="1:3">
      <c r="A712" s="6"/>
      <c r="B712" s="6"/>
      <c r="C712" s="6"/>
    </row>
    <row r="713" s="1" customFormat="1" spans="1:3">
      <c r="A713" s="6"/>
      <c r="B713" s="6"/>
      <c r="C713" s="6"/>
    </row>
    <row r="714" s="1" customFormat="1" spans="1:3">
      <c r="A714" s="6"/>
      <c r="B714" s="6"/>
      <c r="C714" s="6"/>
    </row>
    <row r="715" s="1" customFormat="1" spans="1:3">
      <c r="A715" s="6"/>
      <c r="B715" s="6"/>
      <c r="C715" s="6"/>
    </row>
    <row r="716" s="1" customFormat="1" spans="1:3">
      <c r="A716" s="6"/>
      <c r="B716" s="6"/>
      <c r="C716" s="6"/>
    </row>
    <row r="717" s="1" customFormat="1" spans="1:3">
      <c r="A717" s="6"/>
      <c r="B717" s="6"/>
      <c r="C717" s="6"/>
    </row>
    <row r="718" s="1" customFormat="1" spans="1:3">
      <c r="A718" s="6"/>
      <c r="B718" s="6"/>
      <c r="C718" s="6"/>
    </row>
    <row r="719" s="1" customFormat="1" spans="1:3">
      <c r="A719" s="6"/>
      <c r="B719" s="6"/>
      <c r="C719" s="6"/>
    </row>
    <row r="720" s="1" customFormat="1" spans="1:3">
      <c r="A720" s="6"/>
      <c r="B720" s="6"/>
      <c r="C720" s="6"/>
    </row>
    <row r="721" s="1" customFormat="1" spans="1:3">
      <c r="A721" s="6"/>
      <c r="B721" s="6"/>
      <c r="C721" s="6"/>
    </row>
    <row r="722" s="1" customFormat="1" spans="1:3">
      <c r="A722" s="6"/>
      <c r="B722" s="6"/>
      <c r="C722" s="6"/>
    </row>
    <row r="723" s="1" customFormat="1" spans="1:3">
      <c r="A723" s="6"/>
      <c r="B723" s="6"/>
      <c r="C723" s="6"/>
    </row>
    <row r="724" s="1" customFormat="1" spans="1:3">
      <c r="A724" s="6"/>
      <c r="B724" s="6"/>
      <c r="C724" s="6"/>
    </row>
    <row r="725" s="1" customFormat="1" spans="1:3">
      <c r="A725" s="6"/>
      <c r="B725" s="6"/>
      <c r="C725" s="6"/>
    </row>
    <row r="726" s="1" customFormat="1" spans="1:3">
      <c r="A726" s="6"/>
      <c r="B726" s="6"/>
      <c r="C726" s="6"/>
    </row>
    <row r="727" s="1" customFormat="1" spans="1:3">
      <c r="A727" s="6"/>
      <c r="B727" s="6"/>
      <c r="C727" s="6"/>
    </row>
    <row r="728" s="1" customFormat="1" spans="1:3">
      <c r="A728" s="6"/>
      <c r="B728" s="6"/>
      <c r="C728" s="6"/>
    </row>
    <row r="729" s="1" customFormat="1" spans="1:3">
      <c r="A729" s="6"/>
      <c r="B729" s="6"/>
      <c r="C729" s="6"/>
    </row>
    <row r="730" s="1" customFormat="1" spans="1:3">
      <c r="A730" s="6"/>
      <c r="B730" s="6"/>
      <c r="C730" s="6"/>
    </row>
    <row r="731" s="1" customFormat="1" spans="1:3">
      <c r="A731" s="6"/>
      <c r="B731" s="6"/>
      <c r="C731" s="6"/>
    </row>
    <row r="732" s="1" customFormat="1" spans="1:3">
      <c r="A732" s="6"/>
      <c r="B732" s="6"/>
      <c r="C732" s="6"/>
    </row>
    <row r="733" s="1" customFormat="1" spans="1:3">
      <c r="A733" s="6"/>
      <c r="B733" s="6"/>
      <c r="C733" s="6"/>
    </row>
    <row r="734" s="1" customFormat="1" spans="1:3">
      <c r="A734" s="6"/>
      <c r="B734" s="6"/>
      <c r="C734" s="6"/>
    </row>
    <row r="735" s="1" customFormat="1" spans="1:3">
      <c r="A735" s="6"/>
      <c r="B735" s="6"/>
      <c r="C735" s="6"/>
    </row>
    <row r="736" s="1" customFormat="1" spans="1:3">
      <c r="A736" s="6"/>
      <c r="B736" s="6"/>
      <c r="C736" s="6"/>
    </row>
    <row r="737" s="1" customFormat="1" spans="1:3">
      <c r="A737" s="6"/>
      <c r="B737" s="6"/>
      <c r="C737" s="6"/>
    </row>
    <row r="738" s="1" customFormat="1" spans="1:3">
      <c r="A738" s="6"/>
      <c r="B738" s="6"/>
      <c r="C738" s="6"/>
    </row>
    <row r="739" s="1" customFormat="1" spans="1:3">
      <c r="A739" s="6"/>
      <c r="B739" s="6"/>
      <c r="C739" s="6"/>
    </row>
    <row r="740" s="1" customFormat="1" spans="1:3">
      <c r="A740" s="6"/>
      <c r="B740" s="6"/>
      <c r="C740" s="6"/>
    </row>
    <row r="741" s="1" customFormat="1" spans="1:3">
      <c r="A741" s="6"/>
      <c r="B741" s="6"/>
      <c r="C741" s="6"/>
    </row>
    <row r="742" s="1" customFormat="1" spans="1:3">
      <c r="A742" s="6"/>
      <c r="B742" s="6"/>
      <c r="C742" s="6"/>
    </row>
    <row r="743" s="1" customFormat="1" spans="1:3">
      <c r="A743" s="6"/>
      <c r="B743" s="6"/>
      <c r="C743" s="6"/>
    </row>
    <row r="744" s="1" customFormat="1" spans="1:3">
      <c r="A744" s="6"/>
      <c r="B744" s="6"/>
      <c r="C744" s="6"/>
    </row>
    <row r="745" s="1" customFormat="1" spans="1:3">
      <c r="A745" s="6"/>
      <c r="B745" s="6"/>
      <c r="C745" s="6"/>
    </row>
    <row r="746" s="1" customFormat="1" spans="1:3">
      <c r="A746" s="6"/>
      <c r="B746" s="6"/>
      <c r="C746" s="6"/>
    </row>
    <row r="747" s="1" customFormat="1" spans="1:3">
      <c r="A747" s="6"/>
      <c r="B747" s="6"/>
      <c r="C747" s="6"/>
    </row>
    <row r="748" s="1" customFormat="1" spans="1:3">
      <c r="A748" s="6"/>
      <c r="B748" s="6"/>
      <c r="C748" s="6"/>
    </row>
    <row r="749" s="1" customFormat="1" spans="1:3">
      <c r="A749" s="6"/>
      <c r="B749" s="6"/>
      <c r="C749" s="6"/>
    </row>
    <row r="750" s="1" customFormat="1" spans="1:3">
      <c r="A750" s="6"/>
      <c r="B750" s="6"/>
      <c r="C750" s="6"/>
    </row>
    <row r="751" s="1" customFormat="1" spans="1:3">
      <c r="A751" s="6"/>
      <c r="B751" s="6"/>
      <c r="C751" s="6"/>
    </row>
    <row r="752" s="1" customFormat="1" spans="1:3">
      <c r="A752" s="6"/>
      <c r="B752" s="6"/>
      <c r="C752" s="6"/>
    </row>
    <row r="753" s="1" customFormat="1" spans="1:3">
      <c r="A753" s="6"/>
      <c r="B753" s="6"/>
      <c r="C753" s="6"/>
    </row>
    <row r="754" s="1" customFormat="1" spans="1:3">
      <c r="A754" s="6"/>
      <c r="B754" s="6"/>
      <c r="C754" s="6"/>
    </row>
    <row r="755" s="1" customFormat="1" spans="1:3">
      <c r="A755" s="6"/>
      <c r="B755" s="6"/>
      <c r="C755" s="6"/>
    </row>
    <row r="756" s="1" customFormat="1" spans="1:3">
      <c r="A756" s="6"/>
      <c r="B756" s="6"/>
      <c r="C756" s="6"/>
    </row>
    <row r="757" s="1" customFormat="1" spans="1:3">
      <c r="A757" s="6"/>
      <c r="B757" s="6"/>
      <c r="C757" s="6"/>
    </row>
    <row r="758" s="1" customFormat="1" spans="1:3">
      <c r="A758" s="6"/>
      <c r="B758" s="6"/>
      <c r="C758" s="6"/>
    </row>
    <row r="759" s="1" customFormat="1" spans="1:3">
      <c r="A759" s="6"/>
      <c r="B759" s="6"/>
      <c r="C759" s="6"/>
    </row>
    <row r="760" s="1" customFormat="1" spans="1:3">
      <c r="A760" s="6"/>
      <c r="B760" s="6"/>
      <c r="C760" s="6"/>
    </row>
    <row r="761" s="1" customFormat="1" spans="1:3">
      <c r="A761" s="6"/>
      <c r="B761" s="6"/>
      <c r="C761" s="6"/>
    </row>
    <row r="762" s="1" customFormat="1" spans="1:3">
      <c r="A762" s="6"/>
      <c r="B762" s="6"/>
      <c r="C762" s="6"/>
    </row>
    <row r="763" s="1" customFormat="1" spans="1:3">
      <c r="A763" s="6"/>
      <c r="B763" s="6"/>
      <c r="C763" s="6"/>
    </row>
    <row r="764" s="1" customFormat="1" spans="1:3">
      <c r="A764" s="6"/>
      <c r="B764" s="6"/>
      <c r="C764" s="6"/>
    </row>
    <row r="765" s="1" customFormat="1" spans="1:3">
      <c r="A765" s="6"/>
      <c r="B765" s="6"/>
      <c r="C765" s="6"/>
    </row>
    <row r="766" s="1" customFormat="1" spans="1:3">
      <c r="A766" s="6"/>
      <c r="B766" s="6"/>
      <c r="C766" s="6"/>
    </row>
    <row r="767" s="1" customFormat="1" spans="1:3">
      <c r="A767" s="6"/>
      <c r="B767" s="6"/>
      <c r="C767" s="6"/>
    </row>
    <row r="768" s="1" customFormat="1" spans="1:3">
      <c r="A768" s="6"/>
      <c r="B768" s="6"/>
      <c r="C768" s="6"/>
    </row>
    <row r="769" s="1" customFormat="1" spans="1:3">
      <c r="A769" s="6"/>
      <c r="B769" s="6"/>
      <c r="C769" s="6"/>
    </row>
    <row r="770" s="1" customFormat="1" spans="1:3">
      <c r="A770" s="6"/>
      <c r="B770" s="6"/>
      <c r="C770" s="6"/>
    </row>
    <row r="771" s="1" customFormat="1" spans="1:3">
      <c r="A771" s="6"/>
      <c r="B771" s="6"/>
      <c r="C771" s="6"/>
    </row>
    <row r="772" s="1" customFormat="1" spans="1:3">
      <c r="A772" s="6"/>
      <c r="B772" s="6"/>
      <c r="C772" s="6"/>
    </row>
    <row r="773" s="1" customFormat="1" spans="1:3">
      <c r="A773" s="6"/>
      <c r="B773" s="6"/>
      <c r="C773" s="6"/>
    </row>
    <row r="774" s="1" customFormat="1" spans="1:3">
      <c r="A774" s="6"/>
      <c r="B774" s="6"/>
      <c r="C774" s="6"/>
    </row>
    <row r="775" s="1" customFormat="1" spans="1:3">
      <c r="A775" s="6"/>
      <c r="B775" s="6"/>
      <c r="C775" s="6"/>
    </row>
    <row r="776" s="1" customFormat="1" spans="1:3">
      <c r="A776" s="6"/>
      <c r="B776" s="6"/>
      <c r="C776" s="6"/>
    </row>
    <row r="777" s="1" customFormat="1" spans="1:3">
      <c r="A777" s="6"/>
      <c r="B777" s="6"/>
      <c r="C777" s="6"/>
    </row>
    <row r="778" s="1" customFormat="1" spans="1:3">
      <c r="A778" s="6"/>
      <c r="B778" s="6"/>
      <c r="C778" s="6"/>
    </row>
    <row r="779" s="1" customFormat="1" spans="1:3">
      <c r="A779" s="6"/>
      <c r="B779" s="6"/>
      <c r="C779" s="6"/>
    </row>
    <row r="780" s="1" customFormat="1" spans="1:3">
      <c r="A780" s="6"/>
      <c r="B780" s="6"/>
      <c r="C780" s="6"/>
    </row>
    <row r="781" s="1" customFormat="1" spans="1:3">
      <c r="A781" s="6"/>
      <c r="B781" s="6"/>
      <c r="C781" s="6"/>
    </row>
    <row r="782" s="1" customFormat="1" spans="1:3">
      <c r="A782" s="6"/>
      <c r="B782" s="6"/>
      <c r="C782" s="6"/>
    </row>
    <row r="783" s="1" customFormat="1" spans="1:3">
      <c r="A783" s="6"/>
      <c r="B783" s="6"/>
      <c r="C783" s="6"/>
    </row>
    <row r="784" s="1" customFormat="1" spans="1:3">
      <c r="A784" s="6"/>
      <c r="B784" s="6"/>
      <c r="C784" s="6"/>
    </row>
    <row r="785" s="1" customFormat="1" spans="1:3">
      <c r="A785" s="6"/>
      <c r="B785" s="6"/>
      <c r="C785" s="6"/>
    </row>
    <row r="786" s="1" customFormat="1" spans="1:3">
      <c r="A786" s="6"/>
      <c r="B786" s="6"/>
      <c r="C786" s="6"/>
    </row>
    <row r="787" s="1" customFormat="1" spans="1:3">
      <c r="A787" s="6"/>
      <c r="B787" s="6"/>
      <c r="C787" s="6"/>
    </row>
    <row r="788" s="1" customFormat="1" spans="1:3">
      <c r="A788" s="6"/>
      <c r="B788" s="6"/>
      <c r="C788" s="6"/>
    </row>
    <row r="789" s="1" customFormat="1" spans="1:3">
      <c r="A789" s="6"/>
      <c r="B789" s="6"/>
      <c r="C789" s="6"/>
    </row>
    <row r="790" s="1" customFormat="1" spans="1:3">
      <c r="A790" s="6"/>
      <c r="B790" s="6"/>
      <c r="C790" s="6"/>
    </row>
    <row r="791" s="1" customFormat="1" spans="1:3">
      <c r="A791" s="6"/>
      <c r="B791" s="6"/>
      <c r="C791" s="6"/>
    </row>
    <row r="792" s="1" customFormat="1" spans="1:3">
      <c r="A792" s="6"/>
      <c r="B792" s="6"/>
      <c r="C792" s="6"/>
    </row>
    <row r="793" s="1" customFormat="1" spans="1:3">
      <c r="A793" s="6"/>
      <c r="B793" s="6"/>
      <c r="C793" s="6"/>
    </row>
    <row r="794" s="1" customFormat="1" spans="1:3">
      <c r="A794" s="6"/>
      <c r="B794" s="6"/>
      <c r="C794" s="6"/>
    </row>
    <row r="795" s="1" customFormat="1" spans="1:3">
      <c r="A795" s="6"/>
      <c r="B795" s="6"/>
      <c r="C795" s="6"/>
    </row>
    <row r="796" s="1" customFormat="1" spans="1:3">
      <c r="A796" s="6"/>
      <c r="B796" s="6"/>
      <c r="C796" s="6"/>
    </row>
    <row r="797" s="1" customFormat="1" spans="1:3">
      <c r="A797" s="6"/>
      <c r="B797" s="6"/>
      <c r="C797" s="6"/>
    </row>
    <row r="798" s="1" customFormat="1" spans="1:3">
      <c r="A798" s="6"/>
      <c r="B798" s="6"/>
      <c r="C798" s="6"/>
    </row>
    <row r="799" s="1" customFormat="1" spans="1:3">
      <c r="A799" s="6"/>
      <c r="B799" s="6"/>
      <c r="C799" s="6"/>
    </row>
    <row r="800" s="1" customFormat="1" spans="1:3">
      <c r="A800" s="6"/>
      <c r="B800" s="6"/>
      <c r="C800" s="6"/>
    </row>
    <row r="801" s="1" customFormat="1" spans="1:3">
      <c r="A801" s="6"/>
      <c r="B801" s="6"/>
      <c r="C801" s="6"/>
    </row>
    <row r="802" s="1" customFormat="1" spans="1:3">
      <c r="A802" s="6"/>
      <c r="B802" s="6"/>
      <c r="C802" s="6"/>
    </row>
    <row r="803" s="1" customFormat="1" spans="1:3">
      <c r="A803" s="6"/>
      <c r="B803" s="6"/>
      <c r="C803" s="6"/>
    </row>
    <row r="804" s="1" customFormat="1" spans="1:3">
      <c r="A804" s="6"/>
      <c r="B804" s="6"/>
      <c r="C804" s="6"/>
    </row>
    <row r="805" s="1" customFormat="1" spans="1:3">
      <c r="A805" s="6"/>
      <c r="B805" s="6"/>
      <c r="C805" s="6"/>
    </row>
    <row r="806" s="1" customFormat="1" spans="1:3">
      <c r="A806" s="6"/>
      <c r="B806" s="6"/>
      <c r="C806" s="6"/>
    </row>
    <row r="807" s="1" customFormat="1" spans="1:3">
      <c r="A807" s="6"/>
      <c r="B807" s="6"/>
      <c r="C807" s="6"/>
    </row>
    <row r="808" s="1" customFormat="1" spans="1:3">
      <c r="A808" s="6"/>
      <c r="B808" s="6"/>
      <c r="C808" s="6"/>
    </row>
    <row r="809" s="1" customFormat="1" spans="1:3">
      <c r="A809" s="6"/>
      <c r="B809" s="6"/>
      <c r="C809" s="6"/>
    </row>
    <row r="810" s="1" customFormat="1" spans="1:3">
      <c r="A810" s="6"/>
      <c r="B810" s="6"/>
      <c r="C810" s="6"/>
    </row>
    <row r="811" s="1" customFormat="1" spans="1:3">
      <c r="A811" s="6"/>
      <c r="B811" s="6"/>
      <c r="C811" s="6"/>
    </row>
    <row r="812" s="1" customFormat="1" spans="1:3">
      <c r="A812" s="6"/>
      <c r="B812" s="6"/>
      <c r="C812" s="6"/>
    </row>
    <row r="813" s="1" customFormat="1" spans="1:3">
      <c r="A813" s="6"/>
      <c r="B813" s="6"/>
      <c r="C813" s="6"/>
    </row>
    <row r="814" s="1" customFormat="1" spans="1:3">
      <c r="A814" s="6"/>
      <c r="B814" s="6"/>
      <c r="C814" s="6"/>
    </row>
    <row r="815" s="1" customFormat="1" spans="1:3">
      <c r="A815" s="6"/>
      <c r="B815" s="6"/>
      <c r="C815" s="6"/>
    </row>
    <row r="816" s="1" customFormat="1" spans="1:3">
      <c r="A816" s="6"/>
      <c r="B816" s="6"/>
      <c r="C816" s="6"/>
    </row>
    <row r="817" s="1" customFormat="1" spans="1:3">
      <c r="A817" s="6"/>
      <c r="B817" s="6"/>
      <c r="C817" s="6"/>
    </row>
    <row r="818" s="1" customFormat="1" spans="1:3">
      <c r="A818" s="6"/>
      <c r="B818" s="6"/>
      <c r="C818" s="6"/>
    </row>
    <row r="819" s="1" customFormat="1" spans="1:3">
      <c r="A819" s="6"/>
      <c r="B819" s="6"/>
      <c r="C819" s="6"/>
    </row>
    <row r="820" s="1" customFormat="1" spans="1:3">
      <c r="A820" s="6"/>
      <c r="B820" s="6"/>
      <c r="C820" s="6"/>
    </row>
    <row r="821" s="1" customFormat="1" spans="1:3">
      <c r="A821" s="6"/>
      <c r="B821" s="6"/>
      <c r="C821" s="6"/>
    </row>
    <row r="822" s="1" customFormat="1" spans="1:3">
      <c r="A822" s="6"/>
      <c r="B822" s="6"/>
      <c r="C822" s="6"/>
    </row>
    <row r="823" s="1" customFormat="1" spans="1:3">
      <c r="A823" s="6"/>
      <c r="B823" s="6"/>
      <c r="C823" s="6"/>
    </row>
    <row r="824" s="1" customFormat="1" spans="1:3">
      <c r="A824" s="6"/>
      <c r="B824" s="6"/>
      <c r="C824" s="6"/>
    </row>
    <row r="825" s="1" customFormat="1" spans="1:3">
      <c r="A825" s="6"/>
      <c r="B825" s="6"/>
      <c r="C825" s="6"/>
    </row>
    <row r="826" s="1" customFormat="1" spans="1:3">
      <c r="A826" s="6"/>
      <c r="B826" s="6"/>
      <c r="C826" s="6"/>
    </row>
    <row r="827" s="1" customFormat="1" spans="1:3">
      <c r="A827" s="6"/>
      <c r="B827" s="6"/>
      <c r="C827" s="6"/>
    </row>
    <row r="828" s="1" customFormat="1" spans="1:3">
      <c r="A828" s="6"/>
      <c r="B828" s="6"/>
      <c r="C828" s="6"/>
    </row>
    <row r="829" s="1" customFormat="1" spans="1:3">
      <c r="A829" s="6"/>
      <c r="B829" s="6"/>
      <c r="C829" s="6"/>
    </row>
    <row r="830" s="1" customFormat="1" spans="1:3">
      <c r="A830" s="6"/>
      <c r="B830" s="6"/>
      <c r="C830" s="6"/>
    </row>
    <row r="831" s="1" customFormat="1" spans="1:3">
      <c r="A831" s="6"/>
      <c r="B831" s="6"/>
      <c r="C831" s="6"/>
    </row>
    <row r="832" s="1" customFormat="1" spans="1:3">
      <c r="A832" s="6"/>
      <c r="B832" s="6"/>
      <c r="C832" s="6"/>
    </row>
    <row r="833" s="1" customFormat="1" spans="1:3">
      <c r="A833" s="6"/>
      <c r="B833" s="6"/>
      <c r="C833" s="6"/>
    </row>
    <row r="834" s="1" customFormat="1" spans="1:3">
      <c r="A834" s="6"/>
      <c r="B834" s="6"/>
      <c r="C834" s="6"/>
    </row>
    <row r="835" s="1" customFormat="1" spans="1:3">
      <c r="A835" s="6"/>
      <c r="B835" s="6"/>
      <c r="C835" s="6"/>
    </row>
    <row r="836" s="1" customFormat="1" spans="1:3">
      <c r="A836" s="6"/>
      <c r="B836" s="6"/>
      <c r="C836" s="6"/>
    </row>
    <row r="837" s="1" customFormat="1" spans="1:3">
      <c r="A837" s="6"/>
      <c r="B837" s="6"/>
      <c r="C837" s="6"/>
    </row>
    <row r="838" s="1" customFormat="1" spans="1:3">
      <c r="A838" s="6"/>
      <c r="B838" s="6"/>
      <c r="C838" s="6"/>
    </row>
    <row r="839" s="1" customFormat="1" spans="1:3">
      <c r="A839" s="6"/>
      <c r="B839" s="6"/>
      <c r="C839" s="6"/>
    </row>
    <row r="840" s="1" customFormat="1" spans="1:3">
      <c r="A840" s="6"/>
      <c r="B840" s="6"/>
      <c r="C840" s="6"/>
    </row>
    <row r="841" s="1" customFormat="1" spans="1:3">
      <c r="A841" s="6"/>
      <c r="B841" s="6"/>
      <c r="C841" s="6"/>
    </row>
    <row r="842" s="1" customFormat="1" spans="1:3">
      <c r="A842" s="6"/>
      <c r="B842" s="6"/>
      <c r="C842" s="6"/>
    </row>
    <row r="843" s="1" customFormat="1" spans="1:3">
      <c r="A843" s="6"/>
      <c r="B843" s="6"/>
      <c r="C843" s="6"/>
    </row>
    <row r="844" s="1" customFormat="1" spans="1:3">
      <c r="A844" s="6"/>
      <c r="B844" s="6"/>
      <c r="C844" s="6"/>
    </row>
    <row r="845" s="1" customFormat="1" spans="1:3">
      <c r="A845" s="6"/>
      <c r="B845" s="6"/>
      <c r="C845" s="6"/>
    </row>
    <row r="846" s="1" customFormat="1" spans="1:3">
      <c r="A846" s="6"/>
      <c r="B846" s="6"/>
      <c r="C846" s="6"/>
    </row>
    <row r="847" s="1" customFormat="1" spans="1:3">
      <c r="A847" s="6"/>
      <c r="B847" s="6"/>
      <c r="C847" s="6"/>
    </row>
    <row r="848" s="1" customFormat="1" spans="1:3">
      <c r="A848" s="6"/>
      <c r="B848" s="6"/>
      <c r="C848" s="6"/>
    </row>
    <row r="849" s="1" customFormat="1" spans="1:3">
      <c r="A849" s="6"/>
      <c r="B849" s="6"/>
      <c r="C849" s="6"/>
    </row>
    <row r="850" s="1" customFormat="1" spans="1:3">
      <c r="A850" s="6"/>
      <c r="B850" s="6"/>
      <c r="C850" s="6"/>
    </row>
    <row r="851" s="1" customFormat="1" spans="1:3">
      <c r="A851" s="6"/>
      <c r="B851" s="6"/>
      <c r="C851" s="6"/>
    </row>
    <row r="852" s="1" customFormat="1" spans="1:3">
      <c r="A852" s="6"/>
      <c r="B852" s="6"/>
      <c r="C852" s="6"/>
    </row>
    <row r="853" s="1" customFormat="1" spans="1:3">
      <c r="A853" s="6"/>
      <c r="B853" s="6"/>
      <c r="C853" s="6"/>
    </row>
    <row r="854" s="1" customFormat="1" spans="1:3">
      <c r="A854" s="6"/>
      <c r="B854" s="6"/>
      <c r="C854" s="6"/>
    </row>
    <row r="855" s="1" customFormat="1" spans="1:3">
      <c r="A855" s="6"/>
      <c r="B855" s="6"/>
      <c r="C855" s="6"/>
    </row>
    <row r="856" s="1" customFormat="1" spans="1:3">
      <c r="A856" s="6"/>
      <c r="B856" s="6"/>
      <c r="C856" s="6"/>
    </row>
    <row r="857" s="1" customFormat="1" spans="1:3">
      <c r="A857" s="6"/>
      <c r="B857" s="6"/>
      <c r="C857" s="6"/>
    </row>
    <row r="858" s="1" customFormat="1" spans="1:3">
      <c r="A858" s="6"/>
      <c r="B858" s="6"/>
      <c r="C858" s="6"/>
    </row>
    <row r="859" s="1" customFormat="1" spans="1:3">
      <c r="A859" s="6"/>
      <c r="B859" s="6"/>
      <c r="C859" s="6"/>
    </row>
    <row r="860" s="1" customFormat="1" spans="1:3">
      <c r="A860" s="6"/>
      <c r="B860" s="6"/>
      <c r="C860" s="6"/>
    </row>
    <row r="861" s="1" customFormat="1" spans="1:3">
      <c r="A861" s="6"/>
      <c r="B861" s="6"/>
      <c r="C861" s="6"/>
    </row>
    <row r="862" s="1" customFormat="1" spans="1:3">
      <c r="A862" s="6"/>
      <c r="B862" s="6"/>
      <c r="C862" s="6"/>
    </row>
    <row r="863" s="1" customFormat="1" spans="1:3">
      <c r="A863" s="6"/>
      <c r="B863" s="6"/>
      <c r="C863" s="6"/>
    </row>
    <row r="864" s="1" customFormat="1" spans="1:3">
      <c r="A864" s="6"/>
      <c r="B864" s="6"/>
      <c r="C864" s="6"/>
    </row>
    <row r="865" s="1" customFormat="1" spans="1:3">
      <c r="A865" s="6"/>
      <c r="B865" s="6"/>
      <c r="C865" s="6"/>
    </row>
    <row r="866" s="1" customFormat="1" spans="1:3">
      <c r="A866" s="6"/>
      <c r="B866" s="6"/>
      <c r="C866" s="6"/>
    </row>
    <row r="867" s="1" customFormat="1" spans="1:3">
      <c r="A867" s="6"/>
      <c r="B867" s="6"/>
      <c r="C867" s="6"/>
    </row>
    <row r="868" s="1" customFormat="1" spans="1:3">
      <c r="A868" s="6"/>
      <c r="B868" s="6"/>
      <c r="C868" s="6"/>
    </row>
    <row r="869" s="1" customFormat="1" spans="1:3">
      <c r="A869" s="6"/>
      <c r="B869" s="6"/>
      <c r="C869" s="6"/>
    </row>
    <row r="870" s="1" customFormat="1" spans="1:3">
      <c r="A870" s="6"/>
      <c r="B870" s="6"/>
      <c r="C870" s="6"/>
    </row>
    <row r="871" s="1" customFormat="1" spans="1:3">
      <c r="A871" s="6"/>
      <c r="B871" s="6"/>
      <c r="C871" s="6"/>
    </row>
    <row r="872" s="1" customFormat="1" spans="1:3">
      <c r="A872" s="6"/>
      <c r="B872" s="6"/>
      <c r="C872" s="6"/>
    </row>
    <row r="873" s="1" customFormat="1" spans="1:3">
      <c r="A873" s="6"/>
      <c r="B873" s="6"/>
      <c r="C873" s="6"/>
    </row>
    <row r="874" s="1" customFormat="1" spans="1:3">
      <c r="A874" s="6"/>
      <c r="B874" s="6"/>
      <c r="C874" s="6"/>
    </row>
    <row r="875" s="1" customFormat="1" spans="1:3">
      <c r="A875" s="6"/>
      <c r="B875" s="6"/>
      <c r="C875" s="6"/>
    </row>
    <row r="876" s="1" customFormat="1" spans="1:3">
      <c r="A876" s="6"/>
      <c r="B876" s="6"/>
      <c r="C876" s="6"/>
    </row>
    <row r="877" s="1" customFormat="1" spans="1:3">
      <c r="A877" s="6"/>
      <c r="B877" s="6"/>
      <c r="C877" s="6"/>
    </row>
    <row r="878" s="1" customFormat="1" spans="1:3">
      <c r="A878" s="6"/>
      <c r="B878" s="6"/>
      <c r="C878" s="6"/>
    </row>
    <row r="879" s="1" customFormat="1" spans="1:3">
      <c r="A879" s="6"/>
      <c r="B879" s="6"/>
      <c r="C879" s="6"/>
    </row>
    <row r="880" s="1" customFormat="1" spans="1:3">
      <c r="A880" s="6"/>
      <c r="B880" s="6"/>
      <c r="C880" s="6"/>
    </row>
    <row r="881" s="1" customFormat="1" spans="1:3">
      <c r="A881" s="6"/>
      <c r="B881" s="6"/>
      <c r="C881" s="6"/>
    </row>
    <row r="882" s="1" customFormat="1" spans="1:3">
      <c r="A882" s="6"/>
      <c r="B882" s="6"/>
      <c r="C882" s="6"/>
    </row>
    <row r="883" s="1" customFormat="1" spans="1:3">
      <c r="A883" s="6"/>
      <c r="B883" s="6"/>
      <c r="C883" s="6"/>
    </row>
    <row r="884" s="1" customFormat="1" spans="1:3">
      <c r="A884" s="6"/>
      <c r="B884" s="6"/>
      <c r="C884" s="6"/>
    </row>
    <row r="885" s="1" customFormat="1" spans="1:3">
      <c r="A885" s="6"/>
      <c r="B885" s="6"/>
      <c r="C885" s="6"/>
    </row>
    <row r="886" s="1" customFormat="1" spans="1:3">
      <c r="A886" s="6"/>
      <c r="B886" s="6"/>
      <c r="C886" s="6"/>
    </row>
    <row r="887" s="1" customFormat="1" spans="1:3">
      <c r="A887" s="6"/>
      <c r="B887" s="6"/>
      <c r="C887" s="6"/>
    </row>
    <row r="888" s="1" customFormat="1" spans="1:3">
      <c r="A888" s="6"/>
      <c r="B888" s="6"/>
      <c r="C888" s="6"/>
    </row>
    <row r="889" s="1" customFormat="1" spans="1:3">
      <c r="A889" s="6"/>
      <c r="B889" s="6"/>
      <c r="C889" s="6"/>
    </row>
    <row r="890" s="1" customFormat="1" spans="1:3">
      <c r="A890" s="6"/>
      <c r="B890" s="6"/>
      <c r="C890" s="6"/>
    </row>
    <row r="891" s="1" customFormat="1" spans="1:3">
      <c r="A891" s="6"/>
      <c r="B891" s="6"/>
      <c r="C891" s="6"/>
    </row>
    <row r="892" s="1" customFormat="1" spans="1:3">
      <c r="A892" s="6"/>
      <c r="B892" s="6"/>
      <c r="C892" s="6"/>
    </row>
    <row r="893" s="1" customFormat="1" spans="1:3">
      <c r="A893" s="6"/>
      <c r="B893" s="6"/>
      <c r="C893" s="6"/>
    </row>
    <row r="894" s="1" customFormat="1" spans="1:3">
      <c r="A894" s="6"/>
      <c r="B894" s="6"/>
      <c r="C894" s="6"/>
    </row>
    <row r="895" s="1" customFormat="1" spans="1:3">
      <c r="A895" s="6"/>
      <c r="B895" s="6"/>
      <c r="C895" s="6"/>
    </row>
    <row r="896" s="1" customFormat="1" spans="1:3">
      <c r="A896" s="6"/>
      <c r="B896" s="6"/>
      <c r="C896" s="6"/>
    </row>
    <row r="897" s="1" customFormat="1" spans="1:3">
      <c r="A897" s="6"/>
      <c r="B897" s="6"/>
      <c r="C897" s="6"/>
    </row>
    <row r="898" s="1" customFormat="1" spans="1:3">
      <c r="A898" s="6"/>
      <c r="B898" s="6"/>
      <c r="C898" s="6"/>
    </row>
    <row r="899" s="1" customFormat="1" spans="1:3">
      <c r="A899" s="6"/>
      <c r="B899" s="6"/>
      <c r="C899" s="6"/>
    </row>
    <row r="900" s="1" customFormat="1" spans="1:3">
      <c r="A900" s="6"/>
      <c r="B900" s="6"/>
      <c r="C900" s="6"/>
    </row>
    <row r="901" s="1" customFormat="1" spans="1:3">
      <c r="A901" s="6"/>
      <c r="B901" s="6"/>
      <c r="C901" s="6"/>
    </row>
    <row r="902" s="1" customFormat="1" spans="1:3">
      <c r="A902" s="6"/>
      <c r="B902" s="6"/>
      <c r="C902" s="6"/>
    </row>
    <row r="903" s="1" customFormat="1" spans="1:3">
      <c r="A903" s="6"/>
      <c r="B903" s="6"/>
      <c r="C903" s="6"/>
    </row>
    <row r="904" s="1" customFormat="1" spans="1:3">
      <c r="A904" s="6"/>
      <c r="B904" s="6"/>
      <c r="C904" s="6"/>
    </row>
    <row r="905" s="1" customFormat="1" spans="1:3">
      <c r="A905" s="6"/>
      <c r="B905" s="6"/>
      <c r="C905" s="6"/>
    </row>
    <row r="906" s="1" customFormat="1" spans="1:3">
      <c r="A906" s="6"/>
      <c r="B906" s="6"/>
      <c r="C906" s="6"/>
    </row>
    <row r="907" s="1" customFormat="1" spans="1:3">
      <c r="A907" s="6"/>
      <c r="B907" s="6"/>
      <c r="C907" s="6"/>
    </row>
    <row r="908" s="1" customFormat="1" spans="1:3">
      <c r="A908" s="6"/>
      <c r="B908" s="6"/>
      <c r="C908" s="6"/>
    </row>
    <row r="909" s="1" customFormat="1" spans="1:3">
      <c r="A909" s="6"/>
      <c r="B909" s="6"/>
      <c r="C909" s="6"/>
    </row>
    <row r="910" s="1" customFormat="1" spans="1:3">
      <c r="A910" s="6"/>
      <c r="B910" s="6"/>
      <c r="C910" s="6"/>
    </row>
    <row r="911" s="1" customFormat="1" spans="1:3">
      <c r="A911" s="6"/>
      <c r="B911" s="6"/>
      <c r="C911" s="6"/>
    </row>
    <row r="912" s="1" customFormat="1" spans="1:3">
      <c r="A912" s="6"/>
      <c r="B912" s="6"/>
      <c r="C912" s="6"/>
    </row>
    <row r="913" s="1" customFormat="1" spans="1:3">
      <c r="A913" s="6"/>
      <c r="B913" s="6"/>
      <c r="C913" s="6"/>
    </row>
    <row r="914" s="1" customFormat="1" spans="1:3">
      <c r="A914" s="6"/>
      <c r="B914" s="6"/>
      <c r="C914" s="6"/>
    </row>
    <row r="915" s="1" customFormat="1" spans="1:3">
      <c r="A915" s="6"/>
      <c r="B915" s="6"/>
      <c r="C915" s="6"/>
    </row>
    <row r="916" s="1" customFormat="1" spans="1:3">
      <c r="A916" s="6"/>
      <c r="B916" s="6"/>
      <c r="C916" s="6"/>
    </row>
    <row r="917" s="1" customFormat="1" spans="1:3">
      <c r="A917" s="6"/>
      <c r="B917" s="6"/>
      <c r="C917" s="6"/>
    </row>
    <row r="918" s="1" customFormat="1" spans="1:3">
      <c r="A918" s="6"/>
      <c r="B918" s="6"/>
      <c r="C918" s="6"/>
    </row>
    <row r="919" s="1" customFormat="1" spans="1:3">
      <c r="A919" s="6"/>
      <c r="B919" s="6"/>
      <c r="C919" s="6"/>
    </row>
    <row r="920" s="1" customFormat="1" spans="1:3">
      <c r="A920" s="6"/>
      <c r="B920" s="6"/>
      <c r="C920" s="6"/>
    </row>
    <row r="921" s="1" customFormat="1" spans="1:3">
      <c r="A921" s="6"/>
      <c r="B921" s="6"/>
      <c r="C921" s="6"/>
    </row>
    <row r="922" s="1" customFormat="1" spans="1:3">
      <c r="A922" s="6"/>
      <c r="B922" s="6"/>
      <c r="C922" s="6"/>
    </row>
    <row r="923" s="1" customFormat="1" spans="1:3">
      <c r="A923" s="6"/>
      <c r="B923" s="6"/>
      <c r="C923" s="6"/>
    </row>
    <row r="924" s="1" customFormat="1" spans="1:3">
      <c r="A924" s="6"/>
      <c r="B924" s="6"/>
      <c r="C924" s="6"/>
    </row>
    <row r="925" s="1" customFormat="1" spans="1:3">
      <c r="A925" s="6"/>
      <c r="B925" s="6"/>
      <c r="C925" s="6"/>
    </row>
    <row r="926" s="1" customFormat="1" spans="1:3">
      <c r="A926" s="6"/>
      <c r="B926" s="6"/>
      <c r="C926" s="6"/>
    </row>
    <row r="927" s="1" customFormat="1" spans="1:3">
      <c r="A927" s="6"/>
      <c r="B927" s="6"/>
      <c r="C927" s="6"/>
    </row>
    <row r="928" s="1" customFormat="1" spans="1:3">
      <c r="A928" s="6"/>
      <c r="B928" s="6"/>
      <c r="C928" s="6"/>
    </row>
    <row r="929" s="1" customFormat="1" spans="1:3">
      <c r="A929" s="6"/>
      <c r="B929" s="6"/>
      <c r="C929" s="6"/>
    </row>
    <row r="930" s="1" customFormat="1" spans="1:3">
      <c r="A930" s="6"/>
      <c r="B930" s="6"/>
      <c r="C930" s="6"/>
    </row>
    <row r="931" s="1" customFormat="1" spans="1:3">
      <c r="A931" s="6"/>
      <c r="B931" s="6"/>
      <c r="C931" s="6"/>
    </row>
    <row r="932" s="1" customFormat="1" spans="1:3">
      <c r="A932" s="6"/>
      <c r="B932" s="6"/>
      <c r="C932" s="6"/>
    </row>
    <row r="933" s="1" customFormat="1" spans="1:3">
      <c r="A933" s="6"/>
      <c r="B933" s="6"/>
      <c r="C933" s="6"/>
    </row>
    <row r="934" s="1" customFormat="1" spans="1:3">
      <c r="A934" s="6"/>
      <c r="B934" s="6"/>
      <c r="C934" s="6"/>
    </row>
    <row r="935" s="1" customFormat="1" spans="1:3">
      <c r="A935" s="6"/>
      <c r="B935" s="6"/>
      <c r="C935" s="6"/>
    </row>
    <row r="936" s="1" customFormat="1" spans="1:3">
      <c r="A936" s="6"/>
      <c r="B936" s="6"/>
      <c r="C936" s="6"/>
    </row>
    <row r="937" s="1" customFormat="1" spans="1:3">
      <c r="A937" s="6"/>
      <c r="B937" s="6"/>
      <c r="C937" s="6"/>
    </row>
    <row r="938" s="1" customFormat="1" spans="1:3">
      <c r="A938" s="6"/>
      <c r="B938" s="6"/>
      <c r="C938" s="6"/>
    </row>
    <row r="939" s="1" customFormat="1" spans="1:3">
      <c r="A939" s="6"/>
      <c r="B939" s="6"/>
      <c r="C939" s="6"/>
    </row>
    <row r="940" s="1" customFormat="1" spans="1:3">
      <c r="A940" s="6"/>
      <c r="B940" s="6"/>
      <c r="C940" s="6"/>
    </row>
    <row r="941" s="1" customFormat="1" spans="1:3">
      <c r="A941" s="6"/>
      <c r="B941" s="6"/>
      <c r="C941" s="6"/>
    </row>
    <row r="942" s="1" customFormat="1" spans="1:3">
      <c r="A942" s="6"/>
      <c r="B942" s="6"/>
      <c r="C942" s="6"/>
    </row>
    <row r="943" s="1" customFormat="1" spans="1:3">
      <c r="A943" s="6"/>
      <c r="B943" s="6"/>
      <c r="C943" s="6"/>
    </row>
    <row r="944" s="1" customFormat="1" spans="1:3">
      <c r="A944" s="6"/>
      <c r="B944" s="6"/>
      <c r="C944" s="6"/>
    </row>
    <row r="945" s="1" customFormat="1" spans="1:3">
      <c r="A945" s="6"/>
      <c r="B945" s="6"/>
      <c r="C945" s="6"/>
    </row>
    <row r="946" s="1" customFormat="1" spans="1:3">
      <c r="A946" s="6"/>
      <c r="B946" s="6"/>
      <c r="C946" s="6"/>
    </row>
    <row r="947" s="1" customFormat="1" spans="1:3">
      <c r="A947" s="6"/>
      <c r="B947" s="6"/>
      <c r="C947" s="6"/>
    </row>
    <row r="948" s="1" customFormat="1" spans="1:3">
      <c r="A948" s="6"/>
      <c r="B948" s="6"/>
      <c r="C948" s="6"/>
    </row>
    <row r="949" s="1" customFormat="1" spans="1:3">
      <c r="A949" s="6"/>
      <c r="B949" s="6"/>
      <c r="C949" s="6"/>
    </row>
    <row r="950" s="1" customFormat="1" spans="1:3">
      <c r="A950" s="6"/>
      <c r="B950" s="6"/>
      <c r="C950" s="6"/>
    </row>
    <row r="951" s="1" customFormat="1" spans="1:3">
      <c r="A951" s="6"/>
      <c r="B951" s="6"/>
      <c r="C951" s="6"/>
    </row>
    <row r="952" s="1" customFormat="1" spans="1:3">
      <c r="A952" s="6"/>
      <c r="B952" s="6"/>
      <c r="C952" s="6"/>
    </row>
    <row r="953" s="1" customFormat="1" spans="1:3">
      <c r="A953" s="6"/>
      <c r="B953" s="6"/>
      <c r="C953" s="6"/>
    </row>
    <row r="954" s="1" customFormat="1" spans="1:3">
      <c r="A954" s="6"/>
      <c r="B954" s="6"/>
      <c r="C954" s="6"/>
    </row>
    <row r="955" s="1" customFormat="1" spans="1:3">
      <c r="A955" s="6"/>
      <c r="B955" s="6"/>
      <c r="C955" s="6"/>
    </row>
    <row r="956" s="1" customFormat="1" spans="1:3">
      <c r="A956" s="6"/>
      <c r="B956" s="6"/>
      <c r="C956" s="6"/>
    </row>
    <row r="957" s="1" customFormat="1" spans="1:3">
      <c r="A957" s="6"/>
      <c r="B957" s="6"/>
      <c r="C957" s="6"/>
    </row>
    <row r="958" s="1" customFormat="1" spans="1:3">
      <c r="A958" s="6"/>
      <c r="B958" s="6"/>
      <c r="C958" s="6"/>
    </row>
    <row r="959" s="1" customFormat="1" spans="1:3">
      <c r="A959" s="6"/>
      <c r="B959" s="6"/>
      <c r="C959" s="6"/>
    </row>
    <row r="960" s="1" customFormat="1" spans="1:3">
      <c r="A960" s="6"/>
      <c r="B960" s="6"/>
      <c r="C960" s="6"/>
    </row>
    <row r="961" s="1" customFormat="1" spans="1:3">
      <c r="A961" s="6"/>
      <c r="B961" s="6"/>
      <c r="C961" s="6"/>
    </row>
    <row r="962" s="1" customFormat="1" spans="1:3">
      <c r="A962" s="6"/>
      <c r="B962" s="6"/>
      <c r="C962" s="6"/>
    </row>
    <row r="963" s="1" customFormat="1" spans="1:3">
      <c r="A963" s="6"/>
      <c r="B963" s="6"/>
      <c r="C963" s="6"/>
    </row>
    <row r="964" s="1" customFormat="1" spans="1:3">
      <c r="A964" s="6"/>
      <c r="B964" s="6"/>
      <c r="C964" s="6"/>
    </row>
    <row r="965" s="1" customFormat="1" spans="1:3">
      <c r="A965" s="6"/>
      <c r="B965" s="6"/>
      <c r="C965" s="6"/>
    </row>
    <row r="966" s="1" customFormat="1" spans="1:3">
      <c r="A966" s="6"/>
      <c r="B966" s="6"/>
      <c r="C966" s="6"/>
    </row>
    <row r="967" s="1" customFormat="1" spans="1:3">
      <c r="A967" s="6"/>
      <c r="B967" s="6"/>
      <c r="C967" s="6"/>
    </row>
    <row r="968" s="1" customFormat="1" spans="1:3">
      <c r="A968" s="6"/>
      <c r="B968" s="6"/>
      <c r="C968" s="6"/>
    </row>
    <row r="969" s="1" customFormat="1" spans="1:3">
      <c r="A969" s="6"/>
      <c r="B969" s="6"/>
      <c r="C969" s="6"/>
    </row>
    <row r="970" s="1" customFormat="1" spans="1:3">
      <c r="A970" s="6"/>
      <c r="B970" s="6"/>
      <c r="C970" s="6"/>
    </row>
    <row r="971" s="1" customFormat="1" spans="1:3">
      <c r="A971" s="6"/>
      <c r="B971" s="6"/>
      <c r="C971" s="6"/>
    </row>
    <row r="972" s="1" customFormat="1" spans="1:3">
      <c r="A972" s="6"/>
      <c r="B972" s="6"/>
      <c r="C972" s="6"/>
    </row>
    <row r="973" s="1" customFormat="1" spans="1:3">
      <c r="A973" s="6"/>
      <c r="B973" s="6"/>
      <c r="C973" s="6"/>
    </row>
    <row r="974" s="1" customFormat="1" spans="1:3">
      <c r="A974" s="6"/>
      <c r="B974" s="6"/>
      <c r="C974" s="6"/>
    </row>
    <row r="975" s="1" customFormat="1" spans="1:3">
      <c r="A975" s="6"/>
      <c r="B975" s="6"/>
      <c r="C975" s="6"/>
    </row>
    <row r="976" s="1" customFormat="1" spans="1:3">
      <c r="A976" s="6"/>
      <c r="B976" s="6"/>
      <c r="C976" s="6"/>
    </row>
    <row r="977" s="1" customFormat="1" spans="1:3">
      <c r="A977" s="6"/>
      <c r="B977" s="6"/>
      <c r="C977" s="6"/>
    </row>
    <row r="978" s="1" customFormat="1" spans="1:3">
      <c r="A978" s="6"/>
      <c r="B978" s="6"/>
      <c r="C978" s="6"/>
    </row>
    <row r="979" s="1" customFormat="1" spans="1:3">
      <c r="A979" s="6"/>
      <c r="B979" s="6"/>
      <c r="C979" s="6"/>
    </row>
    <row r="980" s="1" customFormat="1" spans="1:3">
      <c r="A980" s="6"/>
      <c r="B980" s="6"/>
      <c r="C980" s="6"/>
    </row>
    <row r="981" s="1" customFormat="1" spans="1:3">
      <c r="A981" s="6"/>
      <c r="B981" s="6"/>
      <c r="C981" s="6"/>
    </row>
    <row r="982" s="1" customFormat="1" spans="1:3">
      <c r="A982" s="6"/>
      <c r="B982" s="6"/>
      <c r="C982" s="6"/>
    </row>
    <row r="983" s="1" customFormat="1" spans="1:3">
      <c r="A983" s="6"/>
      <c r="B983" s="6"/>
      <c r="C983" s="6"/>
    </row>
    <row r="984" s="1" customFormat="1" spans="1:3">
      <c r="A984" s="6"/>
      <c r="B984" s="6"/>
      <c r="C984" s="6"/>
    </row>
    <row r="985" s="1" customFormat="1" spans="1:3">
      <c r="A985" s="6"/>
      <c r="B985" s="6"/>
      <c r="C985" s="6"/>
    </row>
    <row r="986" s="1" customFormat="1" spans="1:3">
      <c r="A986" s="6"/>
      <c r="B986" s="6"/>
      <c r="C986" s="6"/>
    </row>
    <row r="987" s="1" customFormat="1" spans="1:3">
      <c r="A987" s="6"/>
      <c r="B987" s="6"/>
      <c r="C987" s="6"/>
    </row>
    <row r="988" s="1" customFormat="1" spans="1:3">
      <c r="A988" s="6"/>
      <c r="B988" s="6"/>
      <c r="C988" s="6"/>
    </row>
    <row r="989" s="1" customFormat="1" spans="1:3">
      <c r="A989" s="6"/>
      <c r="B989" s="6"/>
      <c r="C989" s="6"/>
    </row>
    <row r="990" s="1" customFormat="1" spans="1:3">
      <c r="A990" s="6"/>
      <c r="B990" s="6"/>
      <c r="C990" s="6"/>
    </row>
    <row r="991" s="1" customFormat="1" spans="1:3">
      <c r="A991" s="6"/>
      <c r="B991" s="6"/>
      <c r="C991" s="6"/>
    </row>
    <row r="992" s="1" customFormat="1" spans="1:3">
      <c r="A992" s="6"/>
      <c r="B992" s="6"/>
      <c r="C992" s="6"/>
    </row>
    <row r="993" s="1" customFormat="1" spans="1:3">
      <c r="A993" s="6"/>
      <c r="B993" s="6"/>
      <c r="C993" s="6"/>
    </row>
    <row r="994" s="1" customFormat="1" spans="1:3">
      <c r="A994" s="6"/>
      <c r="B994" s="6"/>
      <c r="C994" s="6"/>
    </row>
    <row r="995" s="1" customFormat="1" spans="1:3">
      <c r="A995" s="6"/>
      <c r="B995" s="6"/>
      <c r="C995" s="6"/>
    </row>
    <row r="996" s="1" customFormat="1" spans="1:3">
      <c r="A996" s="6"/>
      <c r="B996" s="6"/>
      <c r="C996" s="6"/>
    </row>
    <row r="997" s="1" customFormat="1" spans="1:3">
      <c r="A997" s="6"/>
      <c r="B997" s="6"/>
      <c r="C997" s="6"/>
    </row>
    <row r="998" s="1" customFormat="1" spans="1:3">
      <c r="A998" s="6"/>
      <c r="B998" s="6"/>
      <c r="C998" s="6"/>
    </row>
    <row r="999" s="1" customFormat="1" spans="1:3">
      <c r="A999" s="6"/>
      <c r="B999" s="6"/>
      <c r="C999" s="6"/>
    </row>
    <row r="1000" s="1" customFormat="1" spans="1:3">
      <c r="A1000" s="6"/>
      <c r="B1000" s="6"/>
      <c r="C1000" s="6"/>
    </row>
    <row r="1001" s="1" customFormat="1" spans="1:3">
      <c r="A1001" s="6"/>
      <c r="B1001" s="6"/>
      <c r="C1001" s="6"/>
    </row>
    <row r="1002" s="1" customFormat="1" spans="1:3">
      <c r="A1002" s="6"/>
      <c r="B1002" s="6"/>
      <c r="C1002" s="6"/>
    </row>
    <row r="1003" s="1" customFormat="1" spans="1:3">
      <c r="A1003" s="6"/>
      <c r="B1003" s="6"/>
      <c r="C1003" s="6"/>
    </row>
    <row r="1004" s="1" customFormat="1" spans="1:3">
      <c r="A1004" s="6"/>
      <c r="B1004" s="6"/>
      <c r="C1004" s="6"/>
    </row>
    <row r="1005" s="1" customFormat="1" spans="1:3">
      <c r="A1005" s="6"/>
      <c r="B1005" s="6"/>
      <c r="C1005" s="6"/>
    </row>
    <row r="1006" s="1" customFormat="1" spans="1:3">
      <c r="A1006" s="6"/>
      <c r="B1006" s="6"/>
      <c r="C1006" s="6"/>
    </row>
    <row r="1007" s="1" customFormat="1" spans="1:3">
      <c r="A1007" s="6"/>
      <c r="B1007" s="6"/>
      <c r="C1007" s="6"/>
    </row>
    <row r="1008" s="1" customFormat="1" spans="1:3">
      <c r="A1008" s="6"/>
      <c r="B1008" s="6"/>
      <c r="C1008" s="6"/>
    </row>
    <row r="1009" s="1" customFormat="1" spans="1:3">
      <c r="A1009" s="6"/>
      <c r="B1009" s="6"/>
      <c r="C1009" s="6"/>
    </row>
    <row r="1010" s="1" customFormat="1" spans="1:3">
      <c r="A1010" s="6"/>
      <c r="B1010" s="6"/>
      <c r="C1010" s="6"/>
    </row>
    <row r="1011" s="1" customFormat="1" spans="1:3">
      <c r="A1011" s="6"/>
      <c r="B1011" s="6"/>
      <c r="C1011" s="6"/>
    </row>
    <row r="1012" s="1" customFormat="1" spans="1:3">
      <c r="A1012" s="6"/>
      <c r="B1012" s="6"/>
      <c r="C1012" s="6"/>
    </row>
    <row r="1013" s="1" customFormat="1" spans="1:3">
      <c r="A1013" s="6"/>
      <c r="B1013" s="6"/>
      <c r="C1013" s="6"/>
    </row>
    <row r="1014" s="1" customFormat="1" spans="1:3">
      <c r="A1014" s="6"/>
      <c r="B1014" s="6"/>
      <c r="C1014" s="6"/>
    </row>
    <row r="1015" s="1" customFormat="1" spans="1:3">
      <c r="A1015" s="6"/>
      <c r="B1015" s="6"/>
      <c r="C1015" s="6"/>
    </row>
    <row r="1016" s="1" customFormat="1" spans="1:3">
      <c r="A1016" s="6"/>
      <c r="B1016" s="6"/>
      <c r="C1016" s="6"/>
    </row>
    <row r="1017" s="1" customFormat="1" spans="1:3">
      <c r="A1017" s="6"/>
      <c r="B1017" s="6"/>
      <c r="C1017" s="6"/>
    </row>
    <row r="1018" s="1" customFormat="1" spans="1:3">
      <c r="A1018" s="6"/>
      <c r="B1018" s="6"/>
      <c r="C1018" s="6"/>
    </row>
    <row r="1019" s="1" customFormat="1" spans="1:3">
      <c r="A1019" s="6"/>
      <c r="B1019" s="6"/>
      <c r="C1019" s="6"/>
    </row>
    <row r="1020" s="1" customFormat="1" spans="1:3">
      <c r="A1020" s="6"/>
      <c r="B1020" s="6"/>
      <c r="C1020" s="6"/>
    </row>
    <row r="1021" s="1" customFormat="1" spans="1:3">
      <c r="A1021" s="6"/>
      <c r="B1021" s="6"/>
      <c r="C1021" s="6"/>
    </row>
    <row r="1022" s="1" customFormat="1" spans="1:3">
      <c r="A1022" s="6"/>
      <c r="B1022" s="6"/>
      <c r="C1022" s="6"/>
    </row>
    <row r="1023" s="1" customFormat="1" spans="1:3">
      <c r="A1023" s="6"/>
      <c r="B1023" s="6"/>
      <c r="C1023" s="6"/>
    </row>
    <row r="1024" s="1" customFormat="1" spans="1:3">
      <c r="A1024" s="6"/>
      <c r="B1024" s="6"/>
      <c r="C1024" s="6"/>
    </row>
    <row r="1025" s="1" customFormat="1" spans="1:3">
      <c r="A1025" s="6"/>
      <c r="B1025" s="6"/>
      <c r="C1025" s="6"/>
    </row>
    <row r="1026" s="1" customFormat="1" spans="1:3">
      <c r="A1026" s="6"/>
      <c r="B1026" s="6"/>
      <c r="C1026" s="6"/>
    </row>
    <row r="1027" s="1" customFormat="1" spans="1:3">
      <c r="A1027" s="6"/>
      <c r="B1027" s="6"/>
      <c r="C1027" s="6"/>
    </row>
    <row r="1028" s="1" customFormat="1" spans="1:3">
      <c r="A1028" s="6"/>
      <c r="B1028" s="6"/>
      <c r="C1028" s="6"/>
    </row>
    <row r="1029" s="1" customFormat="1" spans="1:3">
      <c r="A1029" s="6"/>
      <c r="B1029" s="6"/>
      <c r="C1029" s="6"/>
    </row>
    <row r="1030" s="1" customFormat="1" spans="1:3">
      <c r="A1030" s="6"/>
      <c r="B1030" s="6"/>
      <c r="C1030" s="6"/>
    </row>
    <row r="1031" s="1" customFormat="1" spans="1:3">
      <c r="A1031" s="6"/>
      <c r="B1031" s="6"/>
      <c r="C1031" s="6"/>
    </row>
    <row r="1032" s="1" customFormat="1" spans="1:3">
      <c r="A1032" s="6"/>
      <c r="B1032" s="6"/>
      <c r="C1032" s="6"/>
    </row>
    <row r="1033" s="1" customFormat="1" spans="1:3">
      <c r="A1033" s="6"/>
      <c r="B1033" s="6"/>
      <c r="C1033" s="6"/>
    </row>
    <row r="1034" s="1" customFormat="1" spans="1:3">
      <c r="A1034" s="6"/>
      <c r="B1034" s="6"/>
      <c r="C1034" s="6"/>
    </row>
    <row r="1035" s="1" customFormat="1" spans="1:3">
      <c r="A1035" s="6"/>
      <c r="B1035" s="6"/>
      <c r="C1035" s="6"/>
    </row>
    <row r="1036" s="1" customFormat="1" spans="1:3">
      <c r="A1036" s="6"/>
      <c r="B1036" s="6"/>
      <c r="C1036" s="6"/>
    </row>
    <row r="1037" s="1" customFormat="1" spans="1:3">
      <c r="A1037" s="6"/>
      <c r="B1037" s="6"/>
      <c r="C1037" s="6"/>
    </row>
    <row r="1038" s="1" customFormat="1" spans="1:3">
      <c r="A1038" s="6"/>
      <c r="B1038" s="6"/>
      <c r="C1038" s="6"/>
    </row>
    <row r="1039" s="1" customFormat="1" spans="1:3">
      <c r="A1039" s="6"/>
      <c r="B1039" s="6"/>
      <c r="C1039" s="6"/>
    </row>
    <row r="1040" s="1" customFormat="1" spans="1:3">
      <c r="A1040" s="6"/>
      <c r="B1040" s="6"/>
      <c r="C1040" s="6"/>
    </row>
    <row r="1041" s="1" customFormat="1" spans="1:3">
      <c r="A1041" s="6"/>
      <c r="B1041" s="6"/>
      <c r="C1041" s="6"/>
    </row>
    <row r="1042" s="1" customFormat="1" spans="1:3">
      <c r="A1042" s="6"/>
      <c r="B1042" s="6"/>
      <c r="C1042" s="6"/>
    </row>
    <row r="1043" s="1" customFormat="1" spans="1:3">
      <c r="A1043" s="6"/>
      <c r="B1043" s="6"/>
      <c r="C1043" s="6"/>
    </row>
    <row r="1044" s="1" customFormat="1" spans="1:3">
      <c r="A1044" s="6"/>
      <c r="B1044" s="6"/>
      <c r="C1044" s="6"/>
    </row>
    <row r="1045" s="1" customFormat="1" spans="1:3">
      <c r="A1045" s="6"/>
      <c r="B1045" s="6"/>
      <c r="C1045" s="6"/>
    </row>
    <row r="1046" s="1" customFormat="1" spans="1:3">
      <c r="A1046" s="6"/>
      <c r="B1046" s="6"/>
      <c r="C1046" s="6"/>
    </row>
    <row r="1047" s="1" customFormat="1" spans="1:3">
      <c r="A1047" s="6"/>
      <c r="B1047" s="6"/>
      <c r="C1047" s="6"/>
    </row>
    <row r="1048" s="1" customFormat="1" spans="1:3">
      <c r="A1048" s="6"/>
      <c r="B1048" s="6"/>
      <c r="C1048" s="6"/>
    </row>
    <row r="1049" s="1" customFormat="1" spans="1:3">
      <c r="A1049" s="6"/>
      <c r="B1049" s="6"/>
      <c r="C1049" s="6"/>
    </row>
    <row r="1050" s="1" customFormat="1" spans="1:3">
      <c r="A1050" s="6"/>
      <c r="B1050" s="6"/>
      <c r="C1050" s="6"/>
    </row>
    <row r="1051" s="1" customFormat="1" spans="1:3">
      <c r="A1051" s="6"/>
      <c r="B1051" s="6"/>
      <c r="C1051" s="6"/>
    </row>
    <row r="1052" s="1" customFormat="1" spans="1:3">
      <c r="A1052" s="6"/>
      <c r="B1052" s="6"/>
      <c r="C1052" s="6"/>
    </row>
    <row r="1053" s="1" customFormat="1" spans="1:3">
      <c r="A1053" s="6"/>
      <c r="B1053" s="6"/>
      <c r="C1053" s="6"/>
    </row>
    <row r="1054" s="1" customFormat="1" spans="1:3">
      <c r="A1054" s="6"/>
      <c r="B1054" s="6"/>
      <c r="C1054" s="6"/>
    </row>
    <row r="1055" s="1" customFormat="1" spans="1:3">
      <c r="A1055" s="6"/>
      <c r="B1055" s="6"/>
      <c r="C1055" s="6"/>
    </row>
    <row r="1056" s="1" customFormat="1" spans="1:3">
      <c r="A1056" s="6"/>
      <c r="B1056" s="6"/>
      <c r="C1056" s="6"/>
    </row>
    <row r="1057" s="1" customFormat="1" spans="1:3">
      <c r="A1057" s="6"/>
      <c r="B1057" s="6"/>
      <c r="C1057" s="6"/>
    </row>
    <row r="1058" s="1" customFormat="1" spans="1:3">
      <c r="A1058" s="6"/>
      <c r="B1058" s="6"/>
      <c r="C1058" s="6"/>
    </row>
    <row r="1059" s="1" customFormat="1" spans="1:3">
      <c r="A1059" s="6"/>
      <c r="B1059" s="6"/>
      <c r="C1059" s="6"/>
    </row>
    <row r="1060" s="1" customFormat="1" spans="1:3">
      <c r="A1060" s="6"/>
      <c r="B1060" s="6"/>
      <c r="C1060" s="6"/>
    </row>
    <row r="1061" s="1" customFormat="1" spans="1:3">
      <c r="A1061" s="6"/>
      <c r="B1061" s="6"/>
      <c r="C1061" s="6"/>
    </row>
    <row r="1062" s="1" customFormat="1" spans="1:3">
      <c r="A1062" s="6"/>
      <c r="B1062" s="6"/>
      <c r="C1062" s="6"/>
    </row>
    <row r="1063" s="1" customFormat="1" spans="1:3">
      <c r="A1063" s="6"/>
      <c r="B1063" s="6"/>
      <c r="C1063" s="6"/>
    </row>
    <row r="1064" s="1" customFormat="1" spans="1:3">
      <c r="A1064" s="6"/>
      <c r="B1064" s="6"/>
      <c r="C1064" s="6"/>
    </row>
    <row r="1065" s="1" customFormat="1" spans="1:3">
      <c r="A1065" s="6"/>
      <c r="B1065" s="6"/>
      <c r="C1065" s="6"/>
    </row>
    <row r="1066" s="1" customFormat="1" spans="1:3">
      <c r="A1066" s="6"/>
      <c r="B1066" s="6"/>
      <c r="C1066" s="6"/>
    </row>
    <row r="1067" s="1" customFormat="1" spans="1:3">
      <c r="A1067" s="6"/>
      <c r="B1067" s="6"/>
      <c r="C1067" s="6"/>
    </row>
    <row r="1068" s="1" customFormat="1" spans="1:3">
      <c r="A1068" s="6"/>
      <c r="B1068" s="6"/>
      <c r="C1068" s="6"/>
    </row>
    <row r="1069" s="1" customFormat="1" spans="1:3">
      <c r="A1069" s="6"/>
      <c r="B1069" s="6"/>
      <c r="C1069" s="6"/>
    </row>
    <row r="1070" s="1" customFormat="1" spans="1:3">
      <c r="A1070" s="6"/>
      <c r="B1070" s="6"/>
      <c r="C1070" s="6"/>
    </row>
    <row r="1071" s="1" customFormat="1" spans="1:3">
      <c r="A1071" s="6"/>
      <c r="B1071" s="6"/>
      <c r="C1071" s="6"/>
    </row>
    <row r="1072" s="1" customFormat="1" spans="1:3">
      <c r="A1072" s="6"/>
      <c r="B1072" s="6"/>
      <c r="C1072" s="6"/>
    </row>
    <row r="1073" s="1" customFormat="1" spans="1:3">
      <c r="A1073" s="6"/>
      <c r="B1073" s="6"/>
      <c r="C1073" s="6"/>
    </row>
    <row r="1074" s="1" customFormat="1" spans="1:3">
      <c r="A1074" s="6"/>
      <c r="B1074" s="6"/>
      <c r="C1074" s="6"/>
    </row>
    <row r="1075" s="1" customFormat="1" spans="1:3">
      <c r="A1075" s="6"/>
      <c r="B1075" s="6"/>
      <c r="C1075" s="6"/>
    </row>
    <row r="1076" s="1" customFormat="1" spans="1:3">
      <c r="A1076" s="6"/>
      <c r="B1076" s="6"/>
      <c r="C1076" s="6"/>
    </row>
    <row r="1077" s="1" customFormat="1" spans="1:3">
      <c r="A1077" s="6"/>
      <c r="B1077" s="6"/>
      <c r="C1077" s="6"/>
    </row>
    <row r="1078" s="1" customFormat="1" spans="1:3">
      <c r="A1078" s="6"/>
      <c r="B1078" s="6"/>
      <c r="C1078" s="6"/>
    </row>
    <row r="1079" s="1" customFormat="1" spans="1:3">
      <c r="A1079" s="6"/>
      <c r="B1079" s="6"/>
      <c r="C1079" s="6"/>
    </row>
    <row r="1080" s="1" customFormat="1" spans="1:3">
      <c r="A1080" s="6"/>
      <c r="B1080" s="6"/>
      <c r="C1080" s="6"/>
    </row>
    <row r="1081" s="1" customFormat="1" spans="1:3">
      <c r="A1081" s="6"/>
      <c r="B1081" s="6"/>
      <c r="C1081" s="6"/>
    </row>
    <row r="1082" s="1" customFormat="1" spans="1:3">
      <c r="A1082" s="6"/>
      <c r="B1082" s="6"/>
      <c r="C1082" s="6"/>
    </row>
    <row r="1083" s="1" customFormat="1" spans="1:3">
      <c r="A1083" s="6"/>
      <c r="B1083" s="6"/>
      <c r="C1083" s="6"/>
    </row>
    <row r="1084" s="1" customFormat="1" spans="1:3">
      <c r="A1084" s="6"/>
      <c r="B1084" s="6"/>
      <c r="C1084" s="6"/>
    </row>
    <row r="1085" s="1" customFormat="1" spans="1:3">
      <c r="A1085" s="6"/>
      <c r="B1085" s="6"/>
      <c r="C1085" s="6"/>
    </row>
    <row r="1086" s="1" customFormat="1" spans="1:3">
      <c r="A1086" s="6"/>
      <c r="B1086" s="6"/>
      <c r="C1086" s="6"/>
    </row>
    <row r="1087" s="1" customFormat="1" spans="1:3">
      <c r="A1087" s="6"/>
      <c r="B1087" s="6"/>
      <c r="C1087" s="6"/>
    </row>
    <row r="1088" s="1" customFormat="1" spans="1:3">
      <c r="A1088" s="6"/>
      <c r="B1088" s="6"/>
      <c r="C1088" s="6"/>
    </row>
    <row r="1089" s="1" customFormat="1" spans="1:3">
      <c r="A1089" s="6"/>
      <c r="B1089" s="6"/>
      <c r="C1089" s="6"/>
    </row>
    <row r="1090" s="1" customFormat="1" spans="1:3">
      <c r="A1090" s="6"/>
      <c r="B1090" s="6"/>
      <c r="C1090" s="6"/>
    </row>
    <row r="1091" s="1" customFormat="1" spans="1:3">
      <c r="A1091" s="6"/>
      <c r="B1091" s="6"/>
      <c r="C1091" s="6"/>
    </row>
    <row r="1092" s="1" customFormat="1" spans="1:3">
      <c r="A1092" s="6"/>
      <c r="B1092" s="6"/>
      <c r="C1092" s="6"/>
    </row>
    <row r="1093" s="1" customFormat="1" spans="1:3">
      <c r="A1093" s="6"/>
      <c r="B1093" s="6"/>
      <c r="C1093" s="6"/>
    </row>
    <row r="1094" s="1" customFormat="1" spans="1:3">
      <c r="A1094" s="6"/>
      <c r="B1094" s="6"/>
      <c r="C1094" s="6"/>
    </row>
    <row r="1095" s="1" customFormat="1" spans="1:3">
      <c r="A1095" s="6"/>
      <c r="B1095" s="6"/>
      <c r="C1095" s="6"/>
    </row>
    <row r="1096" s="1" customFormat="1" spans="1:3">
      <c r="A1096" s="6"/>
      <c r="B1096" s="6"/>
      <c r="C1096" s="6"/>
    </row>
    <row r="1097" s="1" customFormat="1" spans="1:3">
      <c r="A1097" s="6"/>
      <c r="B1097" s="6"/>
      <c r="C1097" s="6"/>
    </row>
    <row r="1098" s="1" customFormat="1" spans="1:3">
      <c r="A1098" s="6"/>
      <c r="B1098" s="6"/>
      <c r="C1098" s="6"/>
    </row>
    <row r="1099" s="1" customFormat="1" spans="1:3">
      <c r="A1099" s="6"/>
      <c r="B1099" s="6"/>
      <c r="C1099" s="6"/>
    </row>
    <row r="1100" s="1" customFormat="1" spans="1:3">
      <c r="A1100" s="6"/>
      <c r="B1100" s="6"/>
      <c r="C1100" s="6"/>
    </row>
    <row r="1101" s="1" customFormat="1" spans="1:3">
      <c r="A1101" s="6"/>
      <c r="B1101" s="6"/>
      <c r="C1101" s="6"/>
    </row>
    <row r="1102" s="1" customFormat="1" spans="1:3">
      <c r="A1102" s="6"/>
      <c r="B1102" s="6"/>
      <c r="C1102" s="6"/>
    </row>
    <row r="1103" s="1" customFormat="1" spans="1:3">
      <c r="A1103" s="6"/>
      <c r="B1103" s="6"/>
      <c r="C1103" s="6"/>
    </row>
    <row r="1104" s="1" customFormat="1" spans="1:3">
      <c r="A1104" s="6"/>
      <c r="B1104" s="6"/>
      <c r="C1104" s="6"/>
    </row>
    <row r="1105" s="1" customFormat="1" spans="1:3">
      <c r="A1105" s="6"/>
      <c r="B1105" s="6"/>
      <c r="C1105" s="6"/>
    </row>
    <row r="1106" s="1" customFormat="1" spans="1:3">
      <c r="A1106" s="6"/>
      <c r="B1106" s="6"/>
      <c r="C1106" s="6"/>
    </row>
    <row r="1107" s="1" customFormat="1" spans="1:3">
      <c r="A1107" s="6"/>
      <c r="B1107" s="6"/>
      <c r="C1107" s="6"/>
    </row>
    <row r="1108" s="1" customFormat="1" spans="1:3">
      <c r="A1108" s="6"/>
      <c r="B1108" s="6"/>
      <c r="C1108" s="6"/>
    </row>
    <row r="1109" s="1" customFormat="1" spans="1:3">
      <c r="A1109" s="6"/>
      <c r="B1109" s="6"/>
      <c r="C1109" s="6"/>
    </row>
    <row r="1110" s="1" customFormat="1" spans="1:3">
      <c r="A1110" s="6"/>
      <c r="B1110" s="6"/>
      <c r="C1110" s="6"/>
    </row>
    <row r="1111" s="1" customFormat="1" spans="1:3">
      <c r="A1111" s="6"/>
      <c r="B1111" s="6"/>
      <c r="C1111" s="6"/>
    </row>
    <row r="1112" s="1" customFormat="1" spans="1:3">
      <c r="A1112" s="6"/>
      <c r="B1112" s="6"/>
      <c r="C1112" s="6"/>
    </row>
    <row r="1113" s="1" customFormat="1" spans="1:3">
      <c r="A1113" s="6"/>
      <c r="B1113" s="6"/>
      <c r="C1113" s="6"/>
    </row>
    <row r="1114" s="1" customFormat="1" spans="1:3">
      <c r="A1114" s="6"/>
      <c r="B1114" s="6"/>
      <c r="C1114" s="6"/>
    </row>
    <row r="1115" s="1" customFormat="1" spans="1:3">
      <c r="A1115" s="6"/>
      <c r="B1115" s="6"/>
      <c r="C1115" s="6"/>
    </row>
    <row r="1116" s="1" customFormat="1" spans="1:3">
      <c r="A1116" s="6"/>
      <c r="B1116" s="6"/>
      <c r="C1116" s="6"/>
    </row>
    <row r="1117" s="1" customFormat="1" spans="1:3">
      <c r="A1117" s="6"/>
      <c r="B1117" s="6"/>
      <c r="C1117" s="6"/>
    </row>
    <row r="1118" s="1" customFormat="1" spans="1:3">
      <c r="A1118" s="6"/>
      <c r="B1118" s="6"/>
      <c r="C1118" s="6"/>
    </row>
    <row r="1119" s="1" customFormat="1" spans="1:3">
      <c r="A1119" s="6"/>
      <c r="B1119" s="6"/>
      <c r="C1119" s="6"/>
    </row>
    <row r="1120" s="1" customFormat="1" spans="1:3">
      <c r="A1120" s="6"/>
      <c r="B1120" s="6"/>
      <c r="C1120" s="6"/>
    </row>
    <row r="1121" s="1" customFormat="1" spans="1:3">
      <c r="A1121" s="6"/>
      <c r="B1121" s="6"/>
      <c r="C1121" s="6"/>
    </row>
    <row r="1122" s="1" customFormat="1" spans="1:3">
      <c r="A1122" s="6"/>
      <c r="B1122" s="6"/>
      <c r="C1122" s="6"/>
    </row>
    <row r="1123" s="1" customFormat="1" spans="1:3">
      <c r="A1123" s="6"/>
      <c r="B1123" s="6"/>
      <c r="C1123" s="6"/>
    </row>
    <row r="1124" s="1" customFormat="1" spans="1:3">
      <c r="A1124" s="6"/>
      <c r="B1124" s="6"/>
      <c r="C1124" s="6"/>
    </row>
    <row r="1125" s="1" customFormat="1" spans="1:3">
      <c r="A1125" s="6"/>
      <c r="B1125" s="6"/>
      <c r="C1125" s="6"/>
    </row>
    <row r="1126" s="1" customFormat="1" spans="1:3">
      <c r="A1126" s="6"/>
      <c r="B1126" s="6"/>
      <c r="C1126" s="6"/>
    </row>
    <row r="1127" s="1" customFormat="1" spans="1:3">
      <c r="A1127" s="6"/>
      <c r="B1127" s="6"/>
      <c r="C1127" s="6"/>
    </row>
    <row r="1128" s="1" customFormat="1" spans="1:3">
      <c r="A1128" s="6"/>
      <c r="B1128" s="6"/>
      <c r="C1128" s="6"/>
    </row>
    <row r="1129" s="1" customFormat="1" spans="1:3">
      <c r="A1129" s="6"/>
      <c r="B1129" s="6"/>
      <c r="C1129" s="6"/>
    </row>
    <row r="1130" s="1" customFormat="1" spans="1:3">
      <c r="A1130" s="6"/>
      <c r="B1130" s="6"/>
      <c r="C1130" s="6"/>
    </row>
    <row r="1131" s="1" customFormat="1" spans="1:3">
      <c r="A1131" s="6"/>
      <c r="B1131" s="6"/>
      <c r="C1131" s="6"/>
    </row>
    <row r="1132" s="1" customFormat="1" spans="1:3">
      <c r="A1132" s="6"/>
      <c r="B1132" s="6"/>
      <c r="C1132" s="6"/>
    </row>
    <row r="1133" s="1" customFormat="1" spans="1:3">
      <c r="A1133" s="6"/>
      <c r="B1133" s="6"/>
      <c r="C1133" s="6"/>
    </row>
    <row r="1134" s="1" customFormat="1" spans="1:3">
      <c r="A1134" s="6"/>
      <c r="B1134" s="6"/>
      <c r="C1134" s="6"/>
    </row>
    <row r="1135" s="1" customFormat="1" spans="1:3">
      <c r="A1135" s="6"/>
      <c r="B1135" s="6"/>
      <c r="C1135" s="6"/>
    </row>
    <row r="1136" s="1" customFormat="1" spans="1:3">
      <c r="A1136" s="6"/>
      <c r="B1136" s="6"/>
      <c r="C1136" s="6"/>
    </row>
    <row r="1137" s="1" customFormat="1" spans="1:3">
      <c r="A1137" s="6"/>
      <c r="B1137" s="6"/>
      <c r="C1137" s="6"/>
    </row>
    <row r="1138" s="1" customFormat="1" spans="1:3">
      <c r="A1138" s="6"/>
      <c r="B1138" s="6"/>
      <c r="C1138" s="6"/>
    </row>
    <row r="1139" s="1" customFormat="1" spans="1:3">
      <c r="A1139" s="6"/>
      <c r="B1139" s="6"/>
      <c r="C1139" s="6"/>
    </row>
    <row r="1140" s="1" customFormat="1" spans="1:3">
      <c r="A1140" s="6"/>
      <c r="B1140" s="6"/>
      <c r="C1140" s="6"/>
    </row>
    <row r="1141" s="1" customFormat="1" spans="1:3">
      <c r="A1141" s="6"/>
      <c r="B1141" s="6"/>
      <c r="C1141" s="6"/>
    </row>
    <row r="1142" s="1" customFormat="1" spans="1:3">
      <c r="A1142" s="6"/>
      <c r="B1142" s="6"/>
      <c r="C1142" s="6"/>
    </row>
    <row r="1143" s="1" customFormat="1" spans="1:3">
      <c r="A1143" s="6"/>
      <c r="B1143" s="6"/>
      <c r="C1143" s="6"/>
    </row>
    <row r="1144" s="1" customFormat="1" spans="1:3">
      <c r="A1144" s="6"/>
      <c r="B1144" s="6"/>
      <c r="C1144" s="6"/>
    </row>
    <row r="1145" s="1" customFormat="1" spans="1:3">
      <c r="A1145" s="6"/>
      <c r="B1145" s="6"/>
      <c r="C1145" s="6"/>
    </row>
    <row r="1146" s="1" customFormat="1" spans="1:3">
      <c r="A1146" s="6"/>
      <c r="B1146" s="6"/>
      <c r="C1146" s="6"/>
    </row>
    <row r="1147" s="1" customFormat="1" spans="1:3">
      <c r="A1147" s="6"/>
      <c r="B1147" s="6"/>
      <c r="C1147" s="6"/>
    </row>
    <row r="1148" s="1" customFormat="1" spans="1:3">
      <c r="A1148" s="6"/>
      <c r="B1148" s="6"/>
      <c r="C1148" s="6"/>
    </row>
    <row r="1149" s="1" customFormat="1" spans="1:3">
      <c r="A1149" s="6"/>
      <c r="B1149" s="6"/>
      <c r="C1149" s="6"/>
    </row>
    <row r="1150" s="1" customFormat="1" spans="1:3">
      <c r="A1150" s="6"/>
      <c r="B1150" s="6"/>
      <c r="C1150" s="6"/>
    </row>
    <row r="1151" s="1" customFormat="1" spans="1:3">
      <c r="A1151" s="6"/>
      <c r="B1151" s="6"/>
      <c r="C1151" s="6"/>
    </row>
    <row r="1152" s="1" customFormat="1" spans="1:3">
      <c r="A1152" s="6"/>
      <c r="B1152" s="6"/>
      <c r="C1152" s="6"/>
    </row>
    <row r="1153" s="1" customFormat="1" spans="1:3">
      <c r="A1153" s="6"/>
      <c r="B1153" s="6"/>
      <c r="C1153" s="6"/>
    </row>
    <row r="1154" s="1" customFormat="1" spans="1:3">
      <c r="A1154" s="6"/>
      <c r="B1154" s="6"/>
      <c r="C1154" s="6"/>
    </row>
    <row r="1155" s="1" customFormat="1" spans="1:3">
      <c r="A1155" s="6"/>
      <c r="B1155" s="6"/>
      <c r="C1155" s="6"/>
    </row>
    <row r="1156" s="1" customFormat="1" spans="1:3">
      <c r="A1156" s="6"/>
      <c r="B1156" s="6"/>
      <c r="C1156" s="6"/>
    </row>
    <row r="1157" s="1" customFormat="1" spans="1:3">
      <c r="A1157" s="6"/>
      <c r="B1157" s="6"/>
      <c r="C1157" s="6"/>
    </row>
    <row r="1158" s="1" customFormat="1" spans="1:3">
      <c r="A1158" s="6"/>
      <c r="B1158" s="6"/>
      <c r="C1158" s="6"/>
    </row>
    <row r="1159" s="1" customFormat="1" spans="1:3">
      <c r="A1159" s="6"/>
      <c r="B1159" s="6"/>
      <c r="C1159" s="6"/>
    </row>
    <row r="1160" s="1" customFormat="1" spans="1:3">
      <c r="A1160" s="6"/>
      <c r="B1160" s="6"/>
      <c r="C1160" s="6"/>
    </row>
    <row r="1161" s="1" customFormat="1" spans="1:3">
      <c r="A1161" s="6"/>
      <c r="B1161" s="6"/>
      <c r="C1161" s="6"/>
    </row>
    <row r="1162" s="1" customFormat="1" spans="1:3">
      <c r="A1162" s="6"/>
      <c r="B1162" s="6"/>
      <c r="C1162" s="6"/>
    </row>
    <row r="1163" s="1" customFormat="1" spans="1:3">
      <c r="A1163" s="6"/>
      <c r="B1163" s="6"/>
      <c r="C1163" s="6"/>
    </row>
    <row r="1164" s="1" customFormat="1" spans="1:3">
      <c r="A1164" s="6"/>
      <c r="B1164" s="6"/>
      <c r="C1164" s="6"/>
    </row>
    <row r="1165" s="1" customFormat="1" spans="1:3">
      <c r="A1165" s="6"/>
      <c r="B1165" s="6"/>
      <c r="C1165" s="6"/>
    </row>
    <row r="1166" s="1" customFormat="1" spans="1:3">
      <c r="A1166" s="6"/>
      <c r="B1166" s="6"/>
      <c r="C1166" s="6"/>
    </row>
    <row r="1167" s="1" customFormat="1" spans="1:3">
      <c r="A1167" s="6"/>
      <c r="B1167" s="6"/>
      <c r="C1167" s="6"/>
    </row>
    <row r="1168" s="1" customFormat="1" spans="1:3">
      <c r="A1168" s="6"/>
      <c r="B1168" s="6"/>
      <c r="C1168" s="6"/>
    </row>
    <row r="1169" s="1" customFormat="1" spans="1:3">
      <c r="A1169" s="6"/>
      <c r="B1169" s="6"/>
      <c r="C1169" s="6"/>
    </row>
    <row r="1170" s="1" customFormat="1" spans="1:3">
      <c r="A1170" s="6"/>
      <c r="B1170" s="6"/>
      <c r="C1170" s="6"/>
    </row>
    <row r="1171" s="1" customFormat="1" spans="1:3">
      <c r="A1171" s="6"/>
      <c r="B1171" s="6"/>
      <c r="C1171" s="6"/>
    </row>
    <row r="1172" s="1" customFormat="1" spans="1:3">
      <c r="A1172" s="6"/>
      <c r="B1172" s="6"/>
      <c r="C1172" s="6"/>
    </row>
    <row r="1173" s="1" customFormat="1" spans="1:3">
      <c r="A1173" s="6"/>
      <c r="B1173" s="6"/>
      <c r="C1173" s="6"/>
    </row>
    <row r="1174" s="1" customFormat="1" spans="1:3">
      <c r="A1174" s="6"/>
      <c r="B1174" s="6"/>
      <c r="C1174" s="6"/>
    </row>
    <row r="1175" s="1" customFormat="1" spans="1:3">
      <c r="A1175" s="6"/>
      <c r="B1175" s="6"/>
      <c r="C1175" s="6"/>
    </row>
    <row r="1176" s="1" customFormat="1" spans="1:3">
      <c r="A1176" s="6"/>
      <c r="B1176" s="6"/>
      <c r="C1176" s="6"/>
    </row>
    <row r="1177" s="1" customFormat="1" spans="1:3">
      <c r="A1177" s="6"/>
      <c r="B1177" s="6"/>
      <c r="C1177" s="6"/>
    </row>
    <row r="1178" s="1" customFormat="1" spans="1:3">
      <c r="A1178" s="6"/>
      <c r="B1178" s="6"/>
      <c r="C1178" s="6"/>
    </row>
    <row r="1179" s="1" customFormat="1" spans="1:3">
      <c r="A1179" s="6"/>
      <c r="B1179" s="6"/>
      <c r="C1179" s="6"/>
    </row>
    <row r="1180" s="1" customFormat="1" spans="1:3">
      <c r="A1180" s="6"/>
      <c r="B1180" s="6"/>
      <c r="C1180" s="6"/>
    </row>
    <row r="1181" s="1" customFormat="1" spans="1:3">
      <c r="A1181" s="6"/>
      <c r="B1181" s="6"/>
      <c r="C1181" s="6"/>
    </row>
    <row r="1182" s="1" customFormat="1" spans="1:3">
      <c r="A1182" s="6"/>
      <c r="B1182" s="6"/>
      <c r="C1182" s="6"/>
    </row>
    <row r="1183" s="1" customFormat="1" spans="1:3">
      <c r="A1183" s="6"/>
      <c r="B1183" s="6"/>
      <c r="C1183" s="6"/>
    </row>
    <row r="1184" s="1" customFormat="1" spans="1:3">
      <c r="A1184" s="6"/>
      <c r="B1184" s="6"/>
      <c r="C1184" s="6"/>
    </row>
    <row r="1185" s="1" customFormat="1" spans="1:3">
      <c r="A1185" s="6"/>
      <c r="B1185" s="6"/>
      <c r="C1185" s="6"/>
    </row>
    <row r="1186" s="1" customFormat="1" spans="1:3">
      <c r="A1186" s="6"/>
      <c r="B1186" s="6"/>
      <c r="C1186" s="6"/>
    </row>
    <row r="1187" s="1" customFormat="1" spans="1:3">
      <c r="A1187" s="6"/>
      <c r="B1187" s="6"/>
      <c r="C1187" s="6"/>
    </row>
    <row r="1188" s="1" customFormat="1" spans="1:3">
      <c r="A1188" s="6"/>
      <c r="B1188" s="6"/>
      <c r="C1188" s="6"/>
    </row>
    <row r="1189" s="1" customFormat="1" spans="1:3">
      <c r="A1189" s="6"/>
      <c r="B1189" s="6"/>
      <c r="C1189" s="6"/>
    </row>
    <row r="1190" s="1" customFormat="1" spans="1:3">
      <c r="A1190" s="6"/>
      <c r="B1190" s="6"/>
      <c r="C1190" s="6"/>
    </row>
    <row r="1191" s="1" customFormat="1" spans="1:3">
      <c r="A1191" s="6"/>
      <c r="B1191" s="6"/>
      <c r="C1191" s="6"/>
    </row>
    <row r="1192" s="1" customFormat="1" spans="1:3">
      <c r="A1192" s="6"/>
      <c r="B1192" s="6"/>
      <c r="C1192" s="6"/>
    </row>
    <row r="1193" s="1" customFormat="1" spans="1:3">
      <c r="A1193" s="6"/>
      <c r="B1193" s="6"/>
      <c r="C1193" s="6"/>
    </row>
    <row r="1194" s="1" customFormat="1" spans="1:3">
      <c r="A1194" s="6"/>
      <c r="B1194" s="6"/>
      <c r="C1194" s="6"/>
    </row>
    <row r="1195" s="1" customFormat="1" spans="1:3">
      <c r="A1195" s="6"/>
      <c r="B1195" s="6"/>
      <c r="C1195" s="6"/>
    </row>
    <row r="1196" s="1" customFormat="1" spans="1:3">
      <c r="A1196" s="6"/>
      <c r="B1196" s="6"/>
      <c r="C1196" s="6"/>
    </row>
    <row r="1197" s="1" customFormat="1" spans="1:3">
      <c r="A1197" s="6"/>
      <c r="B1197" s="6"/>
      <c r="C1197" s="6"/>
    </row>
    <row r="1198" s="1" customFormat="1" spans="1:3">
      <c r="A1198" s="6"/>
      <c r="B1198" s="6"/>
      <c r="C1198" s="6"/>
    </row>
    <row r="1199" s="1" customFormat="1" spans="1:3">
      <c r="A1199" s="6"/>
      <c r="B1199" s="6"/>
      <c r="C1199" s="6"/>
    </row>
    <row r="1200" s="1" customFormat="1" spans="1:3">
      <c r="A1200" s="6"/>
      <c r="B1200" s="6"/>
      <c r="C1200" s="6"/>
    </row>
    <row r="1201" s="1" customFormat="1" spans="1:3">
      <c r="A1201" s="6"/>
      <c r="B1201" s="6"/>
      <c r="C1201" s="6"/>
    </row>
    <row r="1202" s="1" customFormat="1" spans="1:3">
      <c r="A1202" s="6"/>
      <c r="B1202" s="6"/>
      <c r="C1202" s="6"/>
    </row>
    <row r="1203" s="1" customFormat="1" spans="1:3">
      <c r="A1203" s="6"/>
      <c r="B1203" s="6"/>
      <c r="C1203" s="6"/>
    </row>
    <row r="1204" s="1" customFormat="1" spans="1:3">
      <c r="A1204" s="6"/>
      <c r="B1204" s="6"/>
      <c r="C1204" s="6"/>
    </row>
    <row r="1205" s="1" customFormat="1" spans="1:3">
      <c r="A1205" s="6"/>
      <c r="B1205" s="6"/>
      <c r="C1205" s="6"/>
    </row>
    <row r="1206" s="1" customFormat="1" spans="1:3">
      <c r="A1206" s="6"/>
      <c r="B1206" s="6"/>
      <c r="C1206" s="6"/>
    </row>
    <row r="1207" s="1" customFormat="1" spans="1:3">
      <c r="A1207" s="6"/>
      <c r="B1207" s="6"/>
      <c r="C1207" s="6"/>
    </row>
    <row r="1208" s="1" customFormat="1" spans="1:3">
      <c r="A1208" s="6"/>
      <c r="B1208" s="6"/>
      <c r="C1208" s="6"/>
    </row>
    <row r="1209" s="1" customFormat="1" spans="1:3">
      <c r="A1209" s="6"/>
      <c r="B1209" s="6"/>
      <c r="C1209" s="6"/>
    </row>
    <row r="1210" s="1" customFormat="1" spans="1:3">
      <c r="A1210" s="6"/>
      <c r="B1210" s="6"/>
      <c r="C1210" s="6"/>
    </row>
    <row r="1211" s="1" customFormat="1" spans="1:3">
      <c r="A1211" s="6"/>
      <c r="B1211" s="6"/>
      <c r="C1211" s="6"/>
    </row>
    <row r="1212" s="1" customFormat="1" spans="1:3">
      <c r="A1212" s="6"/>
      <c r="B1212" s="6"/>
      <c r="C1212" s="6"/>
    </row>
    <row r="1213" s="1" customFormat="1" spans="1:3">
      <c r="A1213" s="6"/>
      <c r="B1213" s="6"/>
      <c r="C1213" s="6"/>
    </row>
    <row r="1214" s="1" customFormat="1" spans="1:3">
      <c r="A1214" s="6"/>
      <c r="B1214" s="6"/>
      <c r="C1214" s="6"/>
    </row>
    <row r="1215" s="1" customFormat="1" spans="1:3">
      <c r="A1215" s="6"/>
      <c r="B1215" s="6"/>
      <c r="C1215" s="6"/>
    </row>
    <row r="1216" s="1" customFormat="1" spans="1:3">
      <c r="A1216" s="6"/>
      <c r="B1216" s="6"/>
      <c r="C1216" s="6"/>
    </row>
    <row r="1217" s="1" customFormat="1" spans="1:3">
      <c r="A1217" s="6"/>
      <c r="B1217" s="6"/>
      <c r="C1217" s="6"/>
    </row>
    <row r="1218" s="1" customFormat="1" spans="1:3">
      <c r="A1218" s="6"/>
      <c r="B1218" s="6"/>
      <c r="C1218" s="6"/>
    </row>
    <row r="1219" s="1" customFormat="1" spans="1:3">
      <c r="A1219" s="6"/>
      <c r="B1219" s="6"/>
      <c r="C1219" s="6"/>
    </row>
    <row r="1220" s="1" customFormat="1" spans="1:3">
      <c r="A1220" s="6"/>
      <c r="B1220" s="6"/>
      <c r="C1220" s="6"/>
    </row>
    <row r="1221" s="1" customFormat="1" spans="1:3">
      <c r="A1221" s="6"/>
      <c r="B1221" s="6"/>
      <c r="C1221" s="6"/>
    </row>
    <row r="1222" s="1" customFormat="1" spans="1:3">
      <c r="A1222" s="6"/>
      <c r="B1222" s="6"/>
      <c r="C1222" s="6"/>
    </row>
    <row r="1223" s="1" customFormat="1" spans="1:3">
      <c r="A1223" s="6"/>
      <c r="B1223" s="6"/>
      <c r="C1223" s="6"/>
    </row>
    <row r="1224" s="1" customFormat="1" spans="1:3">
      <c r="A1224" s="6"/>
      <c r="B1224" s="6"/>
      <c r="C1224" s="6"/>
    </row>
    <row r="1225" s="1" customFormat="1" spans="1:3">
      <c r="A1225" s="6"/>
      <c r="B1225" s="6"/>
      <c r="C1225" s="6"/>
    </row>
    <row r="1226" s="1" customFormat="1" spans="1:3">
      <c r="A1226" s="6"/>
      <c r="B1226" s="6"/>
      <c r="C1226" s="6"/>
    </row>
    <row r="1227" s="1" customFormat="1" spans="1:3">
      <c r="A1227" s="6"/>
      <c r="B1227" s="6"/>
      <c r="C1227" s="6"/>
    </row>
    <row r="1228" s="1" customFormat="1" spans="1:3">
      <c r="A1228" s="6"/>
      <c r="B1228" s="6"/>
      <c r="C1228" s="6"/>
    </row>
    <row r="1229" s="1" customFormat="1" spans="1:3">
      <c r="A1229" s="6"/>
      <c r="B1229" s="6"/>
      <c r="C1229" s="6"/>
    </row>
    <row r="1230" s="1" customFormat="1" spans="1:3">
      <c r="A1230" s="6"/>
      <c r="B1230" s="6"/>
      <c r="C1230" s="6"/>
    </row>
    <row r="1231" s="1" customFormat="1" spans="1:3">
      <c r="A1231" s="6"/>
      <c r="B1231" s="6"/>
      <c r="C1231" s="6"/>
    </row>
    <row r="1232" s="1" customFormat="1" spans="1:3">
      <c r="A1232" s="6"/>
      <c r="B1232" s="6"/>
      <c r="C1232" s="6"/>
    </row>
    <row r="1233" s="1" customFormat="1" spans="1:3">
      <c r="A1233" s="6"/>
      <c r="B1233" s="6"/>
      <c r="C1233" s="6"/>
    </row>
    <row r="1234" s="1" customFormat="1" spans="1:3">
      <c r="A1234" s="6"/>
      <c r="B1234" s="6"/>
      <c r="C1234" s="6"/>
    </row>
    <row r="1235" s="1" customFormat="1" spans="1:3">
      <c r="A1235" s="6"/>
      <c r="B1235" s="6"/>
      <c r="C1235" s="6"/>
    </row>
    <row r="1236" s="1" customFormat="1" spans="1:3">
      <c r="A1236" s="6"/>
      <c r="B1236" s="6"/>
      <c r="C1236" s="6"/>
    </row>
    <row r="1237" s="1" customFormat="1" spans="1:3">
      <c r="A1237" s="6"/>
      <c r="B1237" s="6"/>
      <c r="C1237" s="6"/>
    </row>
    <row r="1238" s="1" customFormat="1" spans="1:3">
      <c r="A1238" s="6"/>
      <c r="B1238" s="6"/>
      <c r="C1238" s="6"/>
    </row>
    <row r="1239" s="1" customFormat="1" spans="1:3">
      <c r="A1239" s="6"/>
      <c r="B1239" s="6"/>
      <c r="C1239" s="6"/>
    </row>
    <row r="1240" s="1" customFormat="1" spans="1:3">
      <c r="A1240" s="6"/>
      <c r="B1240" s="6"/>
      <c r="C1240" s="6"/>
    </row>
    <row r="1241" s="1" customFormat="1" spans="1:3">
      <c r="A1241" s="6"/>
      <c r="B1241" s="6"/>
      <c r="C1241" s="6"/>
    </row>
    <row r="1242" s="1" customFormat="1" spans="1:3">
      <c r="A1242" s="6"/>
      <c r="B1242" s="6"/>
      <c r="C1242" s="6"/>
    </row>
    <row r="1243" s="1" customFormat="1" spans="1:3">
      <c r="A1243" s="6"/>
      <c r="B1243" s="6"/>
      <c r="C1243" s="6"/>
    </row>
    <row r="1244" s="1" customFormat="1" spans="1:3">
      <c r="A1244" s="6"/>
      <c r="B1244" s="6"/>
      <c r="C1244" s="6"/>
    </row>
    <row r="1245" s="1" customFormat="1" spans="1:3">
      <c r="A1245" s="6"/>
      <c r="B1245" s="6"/>
      <c r="C1245" s="6"/>
    </row>
    <row r="1246" s="1" customFormat="1" spans="1:3">
      <c r="A1246" s="6"/>
      <c r="B1246" s="6"/>
      <c r="C1246" s="6"/>
    </row>
    <row r="1247" s="1" customFormat="1" spans="1:3">
      <c r="A1247" s="6"/>
      <c r="B1247" s="6"/>
      <c r="C1247" s="6"/>
    </row>
    <row r="1248" s="1" customFormat="1" spans="1:3">
      <c r="A1248" s="6"/>
      <c r="B1248" s="6"/>
      <c r="C1248" s="6"/>
    </row>
    <row r="1249" s="1" customFormat="1" spans="1:3">
      <c r="A1249" s="6"/>
      <c r="B1249" s="6"/>
      <c r="C1249" s="6"/>
    </row>
    <row r="1250" s="1" customFormat="1" spans="1:3">
      <c r="A1250" s="6"/>
      <c r="B1250" s="6"/>
      <c r="C1250" s="6"/>
    </row>
    <row r="1251" s="1" customFormat="1" spans="1:3">
      <c r="A1251" s="6"/>
      <c r="B1251" s="6"/>
      <c r="C1251" s="6"/>
    </row>
    <row r="1252" s="1" customFormat="1" spans="1:3">
      <c r="A1252" s="6"/>
      <c r="B1252" s="6"/>
      <c r="C1252" s="6"/>
    </row>
    <row r="1253" s="1" customFormat="1" spans="1:3">
      <c r="A1253" s="6"/>
      <c r="B1253" s="6"/>
      <c r="C1253" s="6"/>
    </row>
    <row r="1254" s="1" customFormat="1" spans="1:3">
      <c r="A1254" s="6"/>
      <c r="B1254" s="6"/>
      <c r="C1254" s="6"/>
    </row>
    <row r="1255" s="1" customFormat="1" spans="1:3">
      <c r="A1255" s="6"/>
      <c r="B1255" s="6"/>
      <c r="C1255" s="6"/>
    </row>
    <row r="1256" s="1" customFormat="1" spans="1:3">
      <c r="A1256" s="6"/>
      <c r="B1256" s="6"/>
      <c r="C1256" s="6"/>
    </row>
    <row r="1257" s="1" customFormat="1" spans="1:3">
      <c r="A1257" s="6"/>
      <c r="B1257" s="6"/>
      <c r="C1257" s="6"/>
    </row>
    <row r="1258" s="1" customFormat="1" spans="1:3">
      <c r="A1258" s="6"/>
      <c r="B1258" s="6"/>
      <c r="C1258" s="6"/>
    </row>
    <row r="1259" s="1" customFormat="1" spans="1:3">
      <c r="A1259" s="6"/>
      <c r="B1259" s="6"/>
      <c r="C1259" s="6"/>
    </row>
    <row r="1260" s="1" customFormat="1" spans="1:3">
      <c r="A1260" s="6"/>
      <c r="B1260" s="6"/>
      <c r="C1260" s="6"/>
    </row>
    <row r="1261" s="1" customFormat="1" spans="1:3">
      <c r="A1261" s="6"/>
      <c r="B1261" s="6"/>
      <c r="C1261" s="6"/>
    </row>
    <row r="1262" s="1" customFormat="1" spans="1:3">
      <c r="A1262" s="6"/>
      <c r="B1262" s="6"/>
      <c r="C1262" s="6"/>
    </row>
    <row r="1263" s="1" customFormat="1" spans="1:3">
      <c r="A1263" s="6"/>
      <c r="B1263" s="6"/>
      <c r="C1263" s="6"/>
    </row>
    <row r="1264" s="1" customFormat="1" spans="1:3">
      <c r="A1264" s="6"/>
      <c r="B1264" s="6"/>
      <c r="C1264" s="6"/>
    </row>
    <row r="1265" s="1" customFormat="1" spans="1:3">
      <c r="A1265" s="6"/>
      <c r="B1265" s="6"/>
      <c r="C1265" s="6"/>
    </row>
    <row r="1266" s="1" customFormat="1" spans="1:3">
      <c r="A1266" s="6"/>
      <c r="B1266" s="6"/>
      <c r="C1266" s="6"/>
    </row>
    <row r="1267" s="1" customFormat="1" spans="1:3">
      <c r="A1267" s="6"/>
      <c r="B1267" s="6"/>
      <c r="C1267" s="6"/>
    </row>
    <row r="1268" s="1" customFormat="1" spans="1:3">
      <c r="A1268" s="6"/>
      <c r="B1268" s="6"/>
      <c r="C1268" s="6"/>
    </row>
    <row r="1269" s="1" customFormat="1" spans="1:3">
      <c r="A1269" s="6"/>
      <c r="B1269" s="6"/>
      <c r="C1269" s="6"/>
    </row>
    <row r="1270" s="1" customFormat="1" spans="1:3">
      <c r="A1270" s="6"/>
      <c r="B1270" s="6"/>
      <c r="C1270" s="6"/>
    </row>
    <row r="1271" s="1" customFormat="1" spans="1:3">
      <c r="A1271" s="6"/>
      <c r="B1271" s="6"/>
      <c r="C1271" s="6"/>
    </row>
    <row r="1272" s="1" customFormat="1" spans="1:3">
      <c r="A1272" s="6"/>
      <c r="B1272" s="6"/>
      <c r="C1272" s="6"/>
    </row>
    <row r="1273" s="1" customFormat="1" spans="1:3">
      <c r="A1273" s="6"/>
      <c r="B1273" s="6"/>
      <c r="C1273" s="6"/>
    </row>
    <row r="1274" s="1" customFormat="1" spans="1:3">
      <c r="A1274" s="6"/>
      <c r="B1274" s="6"/>
      <c r="C1274" s="6"/>
    </row>
    <row r="1275" s="1" customFormat="1" spans="1:3">
      <c r="A1275" s="6"/>
      <c r="B1275" s="6"/>
      <c r="C1275" s="6"/>
    </row>
    <row r="1276" s="1" customFormat="1" spans="1:3">
      <c r="A1276" s="6"/>
      <c r="B1276" s="6"/>
      <c r="C1276" s="6"/>
    </row>
    <row r="1277" s="1" customFormat="1" spans="1:3">
      <c r="A1277" s="6"/>
      <c r="B1277" s="6"/>
      <c r="C1277" s="6"/>
    </row>
    <row r="1278" s="1" customFormat="1" spans="1:3">
      <c r="A1278" s="6"/>
      <c r="B1278" s="6"/>
      <c r="C1278" s="6"/>
    </row>
    <row r="1279" s="1" customFormat="1" spans="1:3">
      <c r="A1279" s="6"/>
      <c r="B1279" s="6"/>
      <c r="C1279" s="6"/>
    </row>
    <row r="1280" s="1" customFormat="1" spans="1:3">
      <c r="A1280" s="6"/>
      <c r="B1280" s="6"/>
      <c r="C1280" s="6"/>
    </row>
    <row r="1281" s="1" customFormat="1" spans="1:3">
      <c r="A1281" s="6"/>
      <c r="B1281" s="6"/>
      <c r="C1281" s="6"/>
    </row>
    <row r="1282" s="1" customFormat="1" spans="1:3">
      <c r="A1282" s="6"/>
      <c r="B1282" s="6"/>
      <c r="C1282" s="6"/>
    </row>
    <row r="1283" s="1" customFormat="1" spans="1:3">
      <c r="A1283" s="6"/>
      <c r="B1283" s="6"/>
      <c r="C1283" s="6"/>
    </row>
    <row r="1284" s="1" customFormat="1" spans="1:3">
      <c r="A1284" s="6"/>
      <c r="B1284" s="6"/>
      <c r="C1284" s="6"/>
    </row>
    <row r="1285" s="1" customFormat="1" spans="1:3">
      <c r="A1285" s="6"/>
      <c r="B1285" s="6"/>
      <c r="C1285" s="6"/>
    </row>
    <row r="1286" s="1" customFormat="1" spans="1:3">
      <c r="A1286" s="6"/>
      <c r="B1286" s="6"/>
      <c r="C1286" s="6"/>
    </row>
    <row r="1287" s="1" customFormat="1" spans="1:3">
      <c r="A1287" s="6"/>
      <c r="B1287" s="6"/>
      <c r="C1287" s="6"/>
    </row>
    <row r="1288" s="1" customFormat="1" spans="1:3">
      <c r="A1288" s="6"/>
      <c r="B1288" s="6"/>
      <c r="C1288" s="6"/>
    </row>
    <row r="1289" s="1" customFormat="1" spans="1:3">
      <c r="A1289" s="6"/>
      <c r="B1289" s="6"/>
      <c r="C1289" s="6"/>
    </row>
    <row r="1290" s="1" customFormat="1" spans="1:3">
      <c r="A1290" s="6"/>
      <c r="B1290" s="6"/>
      <c r="C1290" s="6"/>
    </row>
    <row r="1291" s="1" customFormat="1" spans="1:3">
      <c r="A1291" s="6"/>
      <c r="B1291" s="6"/>
      <c r="C1291" s="6"/>
    </row>
    <row r="1292" s="1" customFormat="1" spans="1:3">
      <c r="A1292" s="6"/>
      <c r="B1292" s="6"/>
      <c r="C1292" s="6"/>
    </row>
    <row r="1293" s="1" customFormat="1" spans="1:3">
      <c r="A1293" s="6"/>
      <c r="B1293" s="6"/>
      <c r="C1293" s="6"/>
    </row>
    <row r="1294" s="1" customFormat="1" spans="1:3">
      <c r="A1294" s="6"/>
      <c r="B1294" s="6"/>
      <c r="C1294" s="6"/>
    </row>
    <row r="1295" s="1" customFormat="1" spans="1:3">
      <c r="A1295" s="6"/>
      <c r="B1295" s="6"/>
      <c r="C1295" s="6"/>
    </row>
    <row r="1296" s="1" customFormat="1" spans="1:3">
      <c r="A1296" s="6"/>
      <c r="B1296" s="6"/>
      <c r="C1296" s="6"/>
    </row>
    <row r="1297" s="1" customFormat="1" spans="1:3">
      <c r="A1297" s="6"/>
      <c r="B1297" s="6"/>
      <c r="C1297" s="6"/>
    </row>
    <row r="1298" s="1" customFormat="1" spans="1:3">
      <c r="A1298" s="6"/>
      <c r="B1298" s="6"/>
      <c r="C1298" s="6"/>
    </row>
    <row r="1299" s="1" customFormat="1" spans="1:3">
      <c r="A1299" s="6"/>
      <c r="B1299" s="6"/>
      <c r="C1299" s="6"/>
    </row>
    <row r="1300" s="1" customFormat="1" spans="1:3">
      <c r="A1300" s="6"/>
      <c r="B1300" s="6"/>
      <c r="C1300" s="6"/>
    </row>
    <row r="1301" s="1" customFormat="1" spans="1:3">
      <c r="A1301" s="6"/>
      <c r="B1301" s="6"/>
      <c r="C1301" s="6"/>
    </row>
    <row r="1302" s="1" customFormat="1" spans="1:3">
      <c r="A1302" s="6"/>
      <c r="B1302" s="6"/>
      <c r="C1302" s="6"/>
    </row>
    <row r="1303" s="1" customFormat="1" spans="1:3">
      <c r="A1303" s="6"/>
      <c r="B1303" s="6"/>
      <c r="C1303" s="6"/>
    </row>
    <row r="1304" s="1" customFormat="1" spans="1:3">
      <c r="A1304" s="6"/>
      <c r="B1304" s="6"/>
      <c r="C1304" s="6"/>
    </row>
    <row r="1305" s="1" customFormat="1" spans="1:3">
      <c r="A1305" s="6"/>
      <c r="B1305" s="6"/>
      <c r="C1305" s="6"/>
    </row>
    <row r="1306" s="1" customFormat="1" spans="1:3">
      <c r="A1306" s="6"/>
      <c r="B1306" s="6"/>
      <c r="C1306" s="6"/>
    </row>
    <row r="1307" s="1" customFormat="1" spans="1:3">
      <c r="A1307" s="6"/>
      <c r="B1307" s="6"/>
      <c r="C1307" s="6"/>
    </row>
    <row r="1308" s="1" customFormat="1" spans="1:3">
      <c r="A1308" s="6"/>
      <c r="B1308" s="6"/>
      <c r="C1308" s="6"/>
    </row>
    <row r="1309" s="1" customFormat="1" spans="1:3">
      <c r="A1309" s="6"/>
      <c r="B1309" s="6"/>
      <c r="C1309" s="6"/>
    </row>
    <row r="1310" s="1" customFormat="1" spans="1:3">
      <c r="A1310" s="6"/>
      <c r="B1310" s="6"/>
      <c r="C1310" s="6"/>
    </row>
    <row r="1311" s="1" customFormat="1" spans="1:3">
      <c r="A1311" s="6"/>
      <c r="B1311" s="6"/>
      <c r="C1311" s="6"/>
    </row>
    <row r="1312" s="1" customFormat="1" spans="1:3">
      <c r="A1312" s="6"/>
      <c r="B1312" s="6"/>
      <c r="C1312" s="6"/>
    </row>
    <row r="1313" s="1" customFormat="1" spans="1:3">
      <c r="A1313" s="6"/>
      <c r="B1313" s="6"/>
      <c r="C1313" s="6"/>
    </row>
    <row r="1314" s="1" customFormat="1" spans="1:3">
      <c r="A1314" s="6"/>
      <c r="B1314" s="6"/>
      <c r="C1314" s="6"/>
    </row>
    <row r="1315" s="1" customFormat="1" spans="1:3">
      <c r="A1315" s="6"/>
      <c r="B1315" s="6"/>
      <c r="C1315" s="6"/>
    </row>
    <row r="1316" s="1" customFormat="1" spans="1:3">
      <c r="A1316" s="6"/>
      <c r="B1316" s="6"/>
      <c r="C1316" s="6"/>
    </row>
    <row r="1317" s="1" customFormat="1" spans="1:3">
      <c r="A1317" s="6"/>
      <c r="B1317" s="6"/>
      <c r="C1317" s="6"/>
    </row>
    <row r="1318" s="1" customFormat="1" spans="1:3">
      <c r="A1318" s="6"/>
      <c r="B1318" s="6"/>
      <c r="C1318" s="6"/>
    </row>
    <row r="1319" s="1" customFormat="1" spans="1:3">
      <c r="A1319" s="6"/>
      <c r="B1319" s="6"/>
      <c r="C1319" s="6"/>
    </row>
    <row r="1320" s="1" customFormat="1" spans="1:3">
      <c r="A1320" s="6"/>
      <c r="B1320" s="6"/>
      <c r="C1320" s="6"/>
    </row>
    <row r="1321" s="1" customFormat="1" spans="1:3">
      <c r="A1321" s="6"/>
      <c r="B1321" s="6"/>
      <c r="C1321" s="6"/>
    </row>
    <row r="1322" s="1" customFormat="1" spans="1:3">
      <c r="A1322" s="6"/>
      <c r="B1322" s="6"/>
      <c r="C1322" s="6"/>
    </row>
    <row r="1323" s="1" customFormat="1" spans="1:3">
      <c r="A1323" s="6"/>
      <c r="B1323" s="6"/>
      <c r="C1323" s="6"/>
    </row>
    <row r="1324" s="1" customFormat="1" spans="1:3">
      <c r="A1324" s="6"/>
      <c r="B1324" s="6"/>
      <c r="C1324" s="6"/>
    </row>
    <row r="1325" s="1" customFormat="1" spans="1:3">
      <c r="A1325" s="6"/>
      <c r="B1325" s="6"/>
      <c r="C1325" s="6"/>
    </row>
    <row r="1326" s="1" customFormat="1" spans="1:3">
      <c r="A1326" s="6"/>
      <c r="B1326" s="6"/>
      <c r="C1326" s="6"/>
    </row>
    <row r="1327" s="1" customFormat="1" spans="1:3">
      <c r="A1327" s="6"/>
      <c r="B1327" s="6"/>
      <c r="C1327" s="6"/>
    </row>
    <row r="1328" s="1" customFormat="1" spans="1:3">
      <c r="A1328" s="6"/>
      <c r="B1328" s="6"/>
      <c r="C1328" s="6"/>
    </row>
    <row r="1329" s="1" customFormat="1" spans="1:3">
      <c r="A1329" s="6"/>
      <c r="B1329" s="6"/>
      <c r="C1329" s="6"/>
    </row>
    <row r="1330" s="1" customFormat="1" spans="1:3">
      <c r="A1330" s="6"/>
      <c r="B1330" s="6"/>
      <c r="C1330" s="6"/>
    </row>
    <row r="1331" s="1" customFormat="1" spans="1:3">
      <c r="A1331" s="6"/>
      <c r="B1331" s="6"/>
      <c r="C1331" s="6"/>
    </row>
    <row r="1332" s="1" customFormat="1" spans="1:3">
      <c r="A1332" s="6"/>
      <c r="B1332" s="6"/>
      <c r="C1332" s="6"/>
    </row>
    <row r="1333" s="1" customFormat="1" spans="1:3">
      <c r="A1333" s="6"/>
      <c r="B1333" s="6"/>
      <c r="C1333" s="6"/>
    </row>
    <row r="1334" s="1" customFormat="1" spans="1:3">
      <c r="A1334" s="6"/>
      <c r="B1334" s="6"/>
      <c r="C1334" s="6"/>
    </row>
    <row r="1335" s="1" customFormat="1" spans="1:3">
      <c r="A1335" s="6"/>
      <c r="B1335" s="6"/>
      <c r="C1335" s="6"/>
    </row>
    <row r="1336" s="1" customFormat="1" spans="1:3">
      <c r="A1336" s="6"/>
      <c r="B1336" s="6"/>
      <c r="C1336" s="6"/>
    </row>
    <row r="1337" s="1" customFormat="1" spans="1:3">
      <c r="A1337" s="6"/>
      <c r="B1337" s="6"/>
      <c r="C1337" s="6"/>
    </row>
    <row r="1338" s="1" customFormat="1" spans="1:3">
      <c r="A1338" s="6"/>
      <c r="B1338" s="6"/>
      <c r="C1338" s="6"/>
    </row>
    <row r="1339" s="1" customFormat="1" spans="1:3">
      <c r="A1339" s="6"/>
      <c r="B1339" s="6"/>
      <c r="C1339" s="6"/>
    </row>
    <row r="1340" s="1" customFormat="1" spans="1:3">
      <c r="A1340" s="6"/>
      <c r="B1340" s="6"/>
      <c r="C1340" s="6"/>
    </row>
    <row r="1341" s="1" customFormat="1" spans="1:3">
      <c r="A1341" s="6"/>
      <c r="B1341" s="6"/>
      <c r="C1341" s="6"/>
    </row>
    <row r="1342" s="1" customFormat="1" spans="1:3">
      <c r="A1342" s="6"/>
      <c r="B1342" s="6"/>
      <c r="C1342" s="6"/>
    </row>
    <row r="1343" s="1" customFormat="1" spans="1:3">
      <c r="A1343" s="6"/>
      <c r="B1343" s="6"/>
      <c r="C1343" s="6"/>
    </row>
    <row r="1344" s="1" customFormat="1" spans="1:3">
      <c r="A1344" s="6"/>
      <c r="B1344" s="6"/>
      <c r="C1344" s="6"/>
    </row>
    <row r="1345" s="1" customFormat="1" spans="1:3">
      <c r="A1345" s="6"/>
      <c r="B1345" s="6"/>
      <c r="C1345" s="6"/>
    </row>
    <row r="1346" s="1" customFormat="1" spans="1:3">
      <c r="A1346" s="6"/>
      <c r="B1346" s="6"/>
      <c r="C1346" s="6"/>
    </row>
    <row r="1347" s="1" customFormat="1" spans="1:3">
      <c r="A1347" s="6"/>
      <c r="B1347" s="6"/>
      <c r="C1347" s="6"/>
    </row>
    <row r="1348" s="1" customFormat="1" spans="1:3">
      <c r="A1348" s="6"/>
      <c r="B1348" s="6"/>
      <c r="C1348" s="6"/>
    </row>
    <row r="1349" s="1" customFormat="1" spans="1:3">
      <c r="A1349" s="6"/>
      <c r="B1349" s="6"/>
      <c r="C1349" s="6"/>
    </row>
    <row r="1350" s="1" customFormat="1" spans="1:3">
      <c r="A1350" s="6"/>
      <c r="B1350" s="6"/>
      <c r="C1350" s="6"/>
    </row>
    <row r="1351" s="1" customFormat="1" spans="1:3">
      <c r="A1351" s="6"/>
      <c r="B1351" s="6"/>
      <c r="C1351" s="6"/>
    </row>
    <row r="1352" s="1" customFormat="1" spans="1:3">
      <c r="A1352" s="6"/>
      <c r="B1352" s="6"/>
      <c r="C1352" s="6"/>
    </row>
    <row r="1353" s="1" customFormat="1" spans="1:3">
      <c r="A1353" s="6"/>
      <c r="B1353" s="6"/>
      <c r="C1353" s="6"/>
    </row>
    <row r="1354" s="1" customFormat="1" spans="1:3">
      <c r="A1354" s="6"/>
      <c r="B1354" s="6"/>
      <c r="C1354" s="6"/>
    </row>
    <row r="1355" s="1" customFormat="1" spans="1:3">
      <c r="A1355" s="6"/>
      <c r="B1355" s="6"/>
      <c r="C1355" s="6"/>
    </row>
    <row r="1356" s="1" customFormat="1" spans="1:3">
      <c r="A1356" s="6"/>
      <c r="B1356" s="6"/>
      <c r="C1356" s="6"/>
    </row>
    <row r="1357" s="1" customFormat="1" spans="1:3">
      <c r="A1357" s="6"/>
      <c r="B1357" s="6"/>
      <c r="C1357" s="6"/>
    </row>
    <row r="1358" s="1" customFormat="1" spans="1:3">
      <c r="A1358" s="6"/>
      <c r="B1358" s="6"/>
      <c r="C1358" s="6"/>
    </row>
    <row r="1359" s="1" customFormat="1" spans="1:3">
      <c r="A1359" s="6"/>
      <c r="B1359" s="6"/>
      <c r="C1359" s="6"/>
    </row>
    <row r="1360" s="1" customFormat="1" spans="1:3">
      <c r="A1360" s="6"/>
      <c r="B1360" s="6"/>
      <c r="C1360" s="6"/>
    </row>
    <row r="1361" s="1" customFormat="1" spans="1:3">
      <c r="A1361" s="6"/>
      <c r="B1361" s="6"/>
      <c r="C1361" s="6"/>
    </row>
    <row r="1362" s="1" customFormat="1" spans="1:3">
      <c r="A1362" s="6"/>
      <c r="B1362" s="6"/>
      <c r="C1362" s="6"/>
    </row>
    <row r="1363" s="1" customFormat="1" spans="1:3">
      <c r="A1363" s="6"/>
      <c r="B1363" s="6"/>
      <c r="C1363" s="6"/>
    </row>
    <row r="1364" s="1" customFormat="1" spans="1:3">
      <c r="A1364" s="6"/>
      <c r="B1364" s="6"/>
      <c r="C1364" s="6"/>
    </row>
    <row r="1365" s="1" customFormat="1" spans="1:3">
      <c r="A1365" s="6"/>
      <c r="B1365" s="6"/>
      <c r="C1365" s="6"/>
    </row>
    <row r="1366" s="1" customFormat="1" spans="1:3">
      <c r="A1366" s="6"/>
      <c r="B1366" s="6"/>
      <c r="C1366" s="6"/>
    </row>
    <row r="1367" s="1" customFormat="1" spans="1:3">
      <c r="A1367" s="6"/>
      <c r="B1367" s="6"/>
      <c r="C1367" s="6"/>
    </row>
    <row r="1368" s="1" customFormat="1" spans="1:3">
      <c r="A1368" s="6"/>
      <c r="B1368" s="6"/>
      <c r="C1368" s="6"/>
    </row>
    <row r="1369" s="1" customFormat="1" spans="1:3">
      <c r="A1369" s="6"/>
      <c r="B1369" s="6"/>
      <c r="C1369" s="6"/>
    </row>
    <row r="1370" s="1" customFormat="1" spans="1:3">
      <c r="A1370" s="6"/>
      <c r="B1370" s="6"/>
      <c r="C1370" s="6"/>
    </row>
    <row r="1371" s="1" customFormat="1" spans="1:3">
      <c r="A1371" s="6"/>
      <c r="B1371" s="6"/>
      <c r="C1371" s="6"/>
    </row>
    <row r="1372" s="1" customFormat="1" spans="1:3">
      <c r="A1372" s="6"/>
      <c r="B1372" s="6"/>
      <c r="C1372" s="6"/>
    </row>
    <row r="1373" s="1" customFormat="1" spans="1:3">
      <c r="A1373" s="6"/>
      <c r="B1373" s="6"/>
      <c r="C1373" s="6"/>
    </row>
    <row r="1374" s="1" customFormat="1" spans="1:3">
      <c r="A1374" s="6"/>
      <c r="B1374" s="6"/>
      <c r="C1374" s="6"/>
    </row>
    <row r="1375" s="1" customFormat="1" spans="1:3">
      <c r="A1375" s="6"/>
      <c r="B1375" s="6"/>
      <c r="C1375" s="6"/>
    </row>
    <row r="1376" s="1" customFormat="1" spans="1:3">
      <c r="A1376" s="6"/>
      <c r="B1376" s="6"/>
      <c r="C1376" s="6"/>
    </row>
    <row r="1377" s="1" customFormat="1" spans="1:3">
      <c r="A1377" s="6"/>
      <c r="B1377" s="6"/>
      <c r="C1377" s="6"/>
    </row>
    <row r="1378" s="1" customFormat="1" spans="1:3">
      <c r="A1378" s="6"/>
      <c r="B1378" s="6"/>
      <c r="C1378" s="6"/>
    </row>
    <row r="1379" s="1" customFormat="1" spans="1:3">
      <c r="A1379" s="6"/>
      <c r="B1379" s="6"/>
      <c r="C1379" s="6"/>
    </row>
    <row r="1380" s="1" customFormat="1" spans="1:3">
      <c r="A1380" s="6"/>
      <c r="B1380" s="6"/>
      <c r="C1380" s="6"/>
    </row>
    <row r="1381" s="1" customFormat="1" spans="1:3">
      <c r="A1381" s="6"/>
      <c r="B1381" s="6"/>
      <c r="C1381" s="6"/>
    </row>
    <row r="1382" s="1" customFormat="1" spans="1:3">
      <c r="A1382" s="6"/>
      <c r="B1382" s="6"/>
      <c r="C1382" s="6"/>
    </row>
    <row r="1383" s="1" customFormat="1" spans="1:3">
      <c r="A1383" s="6"/>
      <c r="B1383" s="6"/>
      <c r="C1383" s="6"/>
    </row>
    <row r="1384" s="1" customFormat="1" spans="1:3">
      <c r="A1384" s="6"/>
      <c r="B1384" s="6"/>
      <c r="C1384" s="6"/>
    </row>
    <row r="1385" s="1" customFormat="1" spans="1:3">
      <c r="A1385" s="6"/>
      <c r="B1385" s="6"/>
      <c r="C1385" s="6"/>
    </row>
    <row r="1386" s="1" customFormat="1" spans="1:3">
      <c r="A1386" s="6"/>
      <c r="B1386" s="6"/>
      <c r="C1386" s="6"/>
    </row>
    <row r="1387" s="1" customFormat="1" spans="1:3">
      <c r="A1387" s="6"/>
      <c r="B1387" s="6"/>
      <c r="C1387" s="6"/>
    </row>
    <row r="1388" s="1" customFormat="1" spans="1:3">
      <c r="A1388" s="6"/>
      <c r="B1388" s="6"/>
      <c r="C1388" s="6"/>
    </row>
    <row r="1389" s="1" customFormat="1" spans="1:3">
      <c r="A1389" s="6"/>
      <c r="B1389" s="6"/>
      <c r="C1389" s="6"/>
    </row>
    <row r="1390" s="1" customFormat="1" spans="1:3">
      <c r="A1390" s="6"/>
      <c r="B1390" s="6"/>
      <c r="C1390" s="6"/>
    </row>
    <row r="1391" s="1" customFormat="1" spans="1:3">
      <c r="A1391" s="6"/>
      <c r="B1391" s="6"/>
      <c r="C1391" s="6"/>
    </row>
    <row r="1392" s="1" customFormat="1" spans="1:3">
      <c r="A1392" s="6"/>
      <c r="B1392" s="6"/>
      <c r="C1392" s="6"/>
    </row>
    <row r="1393" s="1" customFormat="1" spans="1:3">
      <c r="A1393" s="6"/>
      <c r="B1393" s="6"/>
      <c r="C1393" s="6"/>
    </row>
    <row r="1394" s="1" customFormat="1" spans="1:3">
      <c r="A1394" s="6"/>
      <c r="B1394" s="6"/>
      <c r="C1394" s="6"/>
    </row>
    <row r="1395" s="1" customFormat="1" spans="1:3">
      <c r="A1395" s="6"/>
      <c r="B1395" s="6"/>
      <c r="C1395" s="6"/>
    </row>
    <row r="1396" s="1" customFormat="1" spans="1:3">
      <c r="A1396" s="6"/>
      <c r="B1396" s="6"/>
      <c r="C1396" s="6"/>
    </row>
    <row r="1397" s="1" customFormat="1" spans="1:3">
      <c r="A1397" s="6"/>
      <c r="B1397" s="6"/>
      <c r="C1397" s="6"/>
    </row>
    <row r="1398" s="1" customFormat="1" spans="1:3">
      <c r="A1398" s="6"/>
      <c r="B1398" s="6"/>
      <c r="C1398" s="6"/>
    </row>
    <row r="1399" s="1" customFormat="1" spans="1:3">
      <c r="A1399" s="6"/>
      <c r="B1399" s="6"/>
      <c r="C1399" s="6"/>
    </row>
    <row r="1400" s="1" customFormat="1" spans="1:3">
      <c r="A1400" s="6"/>
      <c r="B1400" s="6"/>
      <c r="C1400" s="6"/>
    </row>
    <row r="1401" s="1" customFormat="1" spans="1:3">
      <c r="A1401" s="6"/>
      <c r="B1401" s="6"/>
      <c r="C1401" s="6"/>
    </row>
    <row r="1402" s="1" customFormat="1" spans="1:3">
      <c r="A1402" s="6"/>
      <c r="B1402" s="6"/>
      <c r="C1402" s="6"/>
    </row>
    <row r="1403" s="1" customFormat="1" spans="1:3">
      <c r="A1403" s="6"/>
      <c r="B1403" s="6"/>
      <c r="C1403" s="6"/>
    </row>
    <row r="1404" s="1" customFormat="1" spans="1:3">
      <c r="A1404" s="6"/>
      <c r="B1404" s="6"/>
      <c r="C1404" s="6"/>
    </row>
    <row r="1405" s="1" customFormat="1" spans="1:3">
      <c r="A1405" s="6"/>
      <c r="B1405" s="6"/>
      <c r="C1405" s="6"/>
    </row>
    <row r="1406" s="1" customFormat="1" spans="1:3">
      <c r="A1406" s="6"/>
      <c r="B1406" s="6"/>
      <c r="C1406" s="6"/>
    </row>
    <row r="1407" s="1" customFormat="1" spans="1:3">
      <c r="A1407" s="6"/>
      <c r="B1407" s="6"/>
      <c r="C1407" s="6"/>
    </row>
    <row r="1408" s="1" customFormat="1" spans="1:3">
      <c r="A1408" s="6"/>
      <c r="B1408" s="6"/>
      <c r="C1408" s="6"/>
    </row>
    <row r="1409" s="1" customFormat="1" spans="1:3">
      <c r="A1409" s="6"/>
      <c r="B1409" s="6"/>
      <c r="C1409" s="6"/>
    </row>
    <row r="1410" s="1" customFormat="1" spans="1:3">
      <c r="A1410" s="6"/>
      <c r="B1410" s="6"/>
      <c r="C1410" s="6"/>
    </row>
    <row r="1411" s="1" customFormat="1" spans="1:3">
      <c r="A1411" s="6"/>
      <c r="B1411" s="6"/>
      <c r="C1411" s="6"/>
    </row>
    <row r="1412" s="1" customFormat="1" spans="1:3">
      <c r="A1412" s="6"/>
      <c r="B1412" s="6"/>
      <c r="C1412" s="6"/>
    </row>
    <row r="1413" s="1" customFormat="1" spans="1:3">
      <c r="A1413" s="6"/>
      <c r="B1413" s="6"/>
      <c r="C1413" s="6"/>
    </row>
    <row r="1414" s="1" customFormat="1" spans="1:3">
      <c r="A1414" s="6"/>
      <c r="B1414" s="6"/>
      <c r="C1414" s="6"/>
    </row>
    <row r="1415" s="1" customFormat="1" spans="1:3">
      <c r="A1415" s="6"/>
      <c r="B1415" s="6"/>
      <c r="C1415" s="6"/>
    </row>
    <row r="1416" s="1" customFormat="1" spans="1:3">
      <c r="A1416" s="6"/>
      <c r="B1416" s="6"/>
      <c r="C1416" s="6"/>
    </row>
    <row r="1417" s="1" customFormat="1" spans="1:3">
      <c r="A1417" s="6"/>
      <c r="B1417" s="6"/>
      <c r="C1417" s="6"/>
    </row>
    <row r="1418" s="1" customFormat="1" spans="1:3">
      <c r="A1418" s="6"/>
      <c r="B1418" s="6"/>
      <c r="C1418" s="6"/>
    </row>
    <row r="1419" s="1" customFormat="1" spans="1:3">
      <c r="A1419" s="6"/>
      <c r="B1419" s="6"/>
      <c r="C1419" s="6"/>
    </row>
    <row r="1420" s="1" customFormat="1" spans="1:3">
      <c r="A1420" s="6"/>
      <c r="B1420" s="6"/>
      <c r="C1420" s="6"/>
    </row>
    <row r="1421" s="1" customFormat="1" spans="1:3">
      <c r="A1421" s="6"/>
      <c r="B1421" s="6"/>
      <c r="C1421" s="6"/>
    </row>
    <row r="1422" s="1" customFormat="1" spans="1:3">
      <c r="A1422" s="6"/>
      <c r="B1422" s="6"/>
      <c r="C1422" s="6"/>
    </row>
    <row r="1423" s="1" customFormat="1" spans="1:3">
      <c r="A1423" s="6"/>
      <c r="B1423" s="6"/>
      <c r="C1423" s="6"/>
    </row>
    <row r="1424" s="1" customFormat="1" spans="1:3">
      <c r="A1424" s="6"/>
      <c r="B1424" s="6"/>
      <c r="C1424" s="6"/>
    </row>
    <row r="1425" s="1" customFormat="1" spans="1:3">
      <c r="A1425" s="6"/>
      <c r="B1425" s="6"/>
      <c r="C1425" s="6"/>
    </row>
    <row r="1426" s="1" customFormat="1" spans="1:3">
      <c r="A1426" s="6"/>
      <c r="B1426" s="6"/>
      <c r="C1426" s="6"/>
    </row>
    <row r="1427" s="1" customFormat="1" spans="1:3">
      <c r="A1427" s="6"/>
      <c r="B1427" s="6"/>
      <c r="C1427" s="6"/>
    </row>
    <row r="1428" s="1" customFormat="1" spans="1:3">
      <c r="A1428" s="6"/>
      <c r="B1428" s="6"/>
      <c r="C1428" s="6"/>
    </row>
    <row r="1429" s="1" customFormat="1" spans="1:3">
      <c r="A1429" s="6"/>
      <c r="B1429" s="6"/>
      <c r="C1429" s="6"/>
    </row>
    <row r="1430" s="1" customFormat="1" spans="1:3">
      <c r="A1430" s="6"/>
      <c r="B1430" s="6"/>
      <c r="C1430" s="6"/>
    </row>
    <row r="1431" s="1" customFormat="1" spans="1:3">
      <c r="A1431" s="6"/>
      <c r="B1431" s="6"/>
      <c r="C1431" s="6"/>
    </row>
    <row r="1432" s="1" customFormat="1" spans="1:3">
      <c r="A1432" s="6"/>
      <c r="B1432" s="6"/>
      <c r="C1432" s="6"/>
    </row>
    <row r="1433" s="1" customFormat="1" spans="1:3">
      <c r="A1433" s="6"/>
      <c r="B1433" s="6"/>
      <c r="C1433" s="6"/>
    </row>
    <row r="1434" s="1" customFormat="1" spans="1:3">
      <c r="A1434" s="6"/>
      <c r="B1434" s="6"/>
      <c r="C1434" s="6"/>
    </row>
    <row r="1435" s="1" customFormat="1" spans="1:3">
      <c r="A1435" s="6"/>
      <c r="B1435" s="6"/>
      <c r="C1435" s="6"/>
    </row>
    <row r="1436" s="1" customFormat="1" spans="1:3">
      <c r="A1436" s="6"/>
      <c r="B1436" s="6"/>
      <c r="C1436" s="6"/>
    </row>
    <row r="1437" s="1" customFormat="1" spans="1:3">
      <c r="A1437" s="6"/>
      <c r="B1437" s="6"/>
      <c r="C1437" s="6"/>
    </row>
    <row r="1438" s="1" customFormat="1" spans="1:3">
      <c r="A1438" s="6"/>
      <c r="B1438" s="6"/>
      <c r="C1438" s="6"/>
    </row>
    <row r="1439" s="1" customFormat="1" spans="1:3">
      <c r="A1439" s="6"/>
      <c r="B1439" s="6"/>
      <c r="C1439" s="6"/>
    </row>
    <row r="1440" s="1" customFormat="1" spans="1:3">
      <c r="A1440" s="6"/>
      <c r="B1440" s="6"/>
      <c r="C1440" s="6"/>
    </row>
    <row r="1441" s="1" customFormat="1" spans="1:3">
      <c r="A1441" s="6"/>
      <c r="B1441" s="6"/>
      <c r="C1441" s="6"/>
    </row>
    <row r="1442" s="1" customFormat="1" spans="1:3">
      <c r="A1442" s="6"/>
      <c r="B1442" s="6"/>
      <c r="C1442" s="6"/>
    </row>
    <row r="1443" s="1" customFormat="1" spans="1:3">
      <c r="A1443" s="6"/>
      <c r="B1443" s="6"/>
      <c r="C1443" s="6"/>
    </row>
    <row r="1444" s="1" customFormat="1" spans="1:3">
      <c r="A1444" s="6"/>
      <c r="B1444" s="6"/>
      <c r="C1444" s="6"/>
    </row>
    <row r="1445" s="1" customFormat="1" spans="1:3">
      <c r="A1445" s="6"/>
      <c r="B1445" s="6"/>
      <c r="C1445" s="6"/>
    </row>
    <row r="1446" s="1" customFormat="1" spans="1:3">
      <c r="A1446" s="6"/>
      <c r="B1446" s="6"/>
      <c r="C1446" s="6"/>
    </row>
    <row r="1447" s="1" customFormat="1" spans="1:3">
      <c r="A1447" s="6"/>
      <c r="B1447" s="6"/>
      <c r="C1447" s="6"/>
    </row>
    <row r="1448" s="1" customFormat="1" spans="1:3">
      <c r="A1448" s="6"/>
      <c r="B1448" s="6"/>
      <c r="C1448" s="6"/>
    </row>
    <row r="1449" s="1" customFormat="1" spans="1:3">
      <c r="A1449" s="6"/>
      <c r="B1449" s="6"/>
      <c r="C1449" s="6"/>
    </row>
    <row r="1450" s="1" customFormat="1" spans="1:3">
      <c r="A1450" s="6"/>
      <c r="B1450" s="6"/>
      <c r="C1450" s="6"/>
    </row>
    <row r="1451" s="1" customFormat="1" spans="1:3">
      <c r="A1451" s="6"/>
      <c r="B1451" s="6"/>
      <c r="C1451" s="6"/>
    </row>
    <row r="1452" s="1" customFormat="1" spans="1:3">
      <c r="A1452" s="6"/>
      <c r="B1452" s="6"/>
      <c r="C1452" s="6"/>
    </row>
    <row r="1453" s="1" customFormat="1" spans="1:3">
      <c r="A1453" s="6"/>
      <c r="B1453" s="6"/>
      <c r="C1453" s="6"/>
    </row>
    <row r="1454" s="1" customFormat="1" spans="1:3">
      <c r="A1454" s="6"/>
      <c r="B1454" s="6"/>
      <c r="C1454" s="6"/>
    </row>
    <row r="1455" s="1" customFormat="1" spans="1:3">
      <c r="A1455" s="6"/>
      <c r="B1455" s="6"/>
      <c r="C1455" s="6"/>
    </row>
    <row r="1456" s="1" customFormat="1" spans="1:3">
      <c r="A1456" s="6"/>
      <c r="B1456" s="6"/>
      <c r="C1456" s="6"/>
    </row>
    <row r="1457" s="1" customFormat="1" spans="1:3">
      <c r="A1457" s="6"/>
      <c r="B1457" s="6"/>
      <c r="C1457" s="6"/>
    </row>
    <row r="1458" s="1" customFormat="1" spans="1:3">
      <c r="A1458" s="6"/>
      <c r="B1458" s="6"/>
      <c r="C1458" s="6"/>
    </row>
    <row r="1459" s="1" customFormat="1" spans="1:3">
      <c r="A1459" s="6"/>
      <c r="B1459" s="6"/>
      <c r="C1459" s="6"/>
    </row>
    <row r="1460" s="1" customFormat="1" spans="1:3">
      <c r="A1460" s="6"/>
      <c r="B1460" s="6"/>
      <c r="C1460" s="6"/>
    </row>
    <row r="1461" s="1" customFormat="1" spans="1:3">
      <c r="A1461" s="6"/>
      <c r="B1461" s="6"/>
      <c r="C1461" s="6"/>
    </row>
    <row r="1462" s="1" customFormat="1" spans="1:3">
      <c r="A1462" s="6"/>
      <c r="B1462" s="6"/>
      <c r="C1462" s="6"/>
    </row>
    <row r="1463" s="1" customFormat="1" spans="1:3">
      <c r="A1463" s="6"/>
      <c r="B1463" s="6"/>
      <c r="C1463" s="6"/>
    </row>
    <row r="1464" s="1" customFormat="1" spans="1:3">
      <c r="A1464" s="6"/>
      <c r="B1464" s="6"/>
      <c r="C1464" s="6"/>
    </row>
    <row r="1465" s="1" customFormat="1" spans="1:3">
      <c r="A1465" s="6"/>
      <c r="B1465" s="6"/>
      <c r="C1465" s="6"/>
    </row>
    <row r="1466" s="1" customFormat="1" spans="1:3">
      <c r="A1466" s="6"/>
      <c r="B1466" s="6"/>
      <c r="C1466" s="6"/>
    </row>
    <row r="1467" s="1" customFormat="1" spans="1:3">
      <c r="A1467" s="6"/>
      <c r="B1467" s="6"/>
      <c r="C1467" s="6"/>
    </row>
    <row r="1468" s="1" customFormat="1" spans="1:3">
      <c r="A1468" s="6"/>
      <c r="B1468" s="6"/>
      <c r="C1468" s="6"/>
    </row>
    <row r="1469" s="1" customFormat="1" spans="1:3">
      <c r="A1469" s="6"/>
      <c r="B1469" s="6"/>
      <c r="C1469" s="6"/>
    </row>
    <row r="1470" s="1" customFormat="1" spans="1:3">
      <c r="A1470" s="6"/>
      <c r="B1470" s="6"/>
      <c r="C1470" s="6"/>
    </row>
    <row r="1471" s="1" customFormat="1" spans="1:3">
      <c r="A1471" s="6"/>
      <c r="B1471" s="6"/>
      <c r="C1471" s="6"/>
    </row>
    <row r="1472" s="1" customFormat="1" spans="1:3">
      <c r="A1472" s="6"/>
      <c r="B1472" s="6"/>
      <c r="C1472" s="6"/>
    </row>
    <row r="1473" s="1" customFormat="1" spans="1:3">
      <c r="A1473" s="6"/>
      <c r="B1473" s="6"/>
      <c r="C1473" s="6"/>
    </row>
    <row r="1474" s="1" customFormat="1" spans="1:3">
      <c r="A1474" s="6"/>
      <c r="B1474" s="6"/>
      <c r="C1474" s="6"/>
    </row>
    <row r="1475" s="1" customFormat="1" spans="1:3">
      <c r="A1475" s="6"/>
      <c r="B1475" s="6"/>
      <c r="C1475" s="6"/>
    </row>
    <row r="1476" s="1" customFormat="1" spans="1:3">
      <c r="A1476" s="6"/>
      <c r="B1476" s="6"/>
      <c r="C1476" s="6"/>
    </row>
    <row r="1477" s="1" customFormat="1" spans="1:3">
      <c r="A1477" s="6"/>
      <c r="B1477" s="6"/>
      <c r="C1477" s="6"/>
    </row>
    <row r="1478" s="1" customFormat="1" spans="1:3">
      <c r="A1478" s="6"/>
      <c r="B1478" s="6"/>
      <c r="C1478" s="6"/>
    </row>
    <row r="1479" s="1" customFormat="1" spans="1:3">
      <c r="A1479" s="6"/>
      <c r="B1479" s="6"/>
      <c r="C1479" s="6"/>
    </row>
    <row r="1480" s="1" customFormat="1" spans="1:3">
      <c r="A1480" s="6"/>
      <c r="B1480" s="6"/>
      <c r="C1480" s="6"/>
    </row>
    <row r="1481" s="1" customFormat="1" spans="1:3">
      <c r="A1481" s="6"/>
      <c r="B1481" s="6"/>
      <c r="C1481" s="6"/>
    </row>
    <row r="1482" s="1" customFormat="1" spans="1:3">
      <c r="A1482" s="6"/>
      <c r="B1482" s="6"/>
      <c r="C1482" s="6"/>
    </row>
    <row r="1483" s="1" customFormat="1" spans="1:3">
      <c r="A1483" s="6"/>
      <c r="B1483" s="6"/>
      <c r="C1483" s="6"/>
    </row>
    <row r="1484" s="1" customFormat="1" spans="1:3">
      <c r="A1484" s="6"/>
      <c r="B1484" s="6"/>
      <c r="C1484" s="6"/>
    </row>
    <row r="1485" s="1" customFormat="1" spans="1:3">
      <c r="A1485" s="6"/>
      <c r="B1485" s="6"/>
      <c r="C1485" s="6"/>
    </row>
    <row r="1486" s="1" customFormat="1" spans="1:3">
      <c r="A1486" s="6"/>
      <c r="B1486" s="6"/>
      <c r="C1486" s="6"/>
    </row>
    <row r="1487" s="1" customFormat="1" spans="1:3">
      <c r="A1487" s="6"/>
      <c r="B1487" s="6"/>
      <c r="C1487" s="6"/>
    </row>
    <row r="1488" s="1" customFormat="1" spans="1:3">
      <c r="A1488" s="6"/>
      <c r="B1488" s="6"/>
      <c r="C1488" s="6"/>
    </row>
    <row r="1489" s="1" customFormat="1" spans="1:3">
      <c r="A1489" s="6"/>
      <c r="B1489" s="6"/>
      <c r="C1489" s="6"/>
    </row>
    <row r="1490" s="1" customFormat="1" spans="1:3">
      <c r="A1490" s="6"/>
      <c r="B1490" s="6"/>
      <c r="C1490" s="6"/>
    </row>
    <row r="1491" s="1" customFormat="1" spans="1:3">
      <c r="A1491" s="6"/>
      <c r="B1491" s="6"/>
      <c r="C1491" s="6"/>
    </row>
    <row r="1492" s="1" customFormat="1" spans="1:3">
      <c r="A1492" s="6"/>
      <c r="B1492" s="6"/>
      <c r="C1492" s="6"/>
    </row>
    <row r="1493" s="1" customFormat="1" spans="1:3">
      <c r="A1493" s="6"/>
      <c r="B1493" s="6"/>
      <c r="C1493" s="6"/>
    </row>
    <row r="1494" s="1" customFormat="1" spans="1:3">
      <c r="A1494" s="6"/>
      <c r="B1494" s="6"/>
      <c r="C1494" s="6"/>
    </row>
    <row r="1495" s="1" customFormat="1" spans="1:3">
      <c r="A1495" s="6"/>
      <c r="B1495" s="6"/>
      <c r="C1495" s="6"/>
    </row>
    <row r="1496" s="1" customFormat="1" spans="1:3">
      <c r="A1496" s="6"/>
      <c r="B1496" s="6"/>
      <c r="C1496" s="6"/>
    </row>
    <row r="1497" s="1" customFormat="1" spans="1:3">
      <c r="A1497" s="6"/>
      <c r="B1497" s="6"/>
      <c r="C1497" s="6"/>
    </row>
    <row r="1498" s="1" customFormat="1" spans="1:3">
      <c r="A1498" s="6"/>
      <c r="B1498" s="6"/>
      <c r="C1498" s="6"/>
    </row>
    <row r="1499" s="1" customFormat="1" spans="1:3">
      <c r="A1499" s="6"/>
      <c r="B1499" s="6"/>
      <c r="C1499" s="6"/>
    </row>
    <row r="1500" s="1" customFormat="1" spans="1:3">
      <c r="A1500" s="6"/>
      <c r="B1500" s="6"/>
      <c r="C1500" s="6"/>
    </row>
    <row r="1501" s="1" customFormat="1" spans="1:3">
      <c r="A1501" s="6"/>
      <c r="B1501" s="6"/>
      <c r="C1501" s="6"/>
    </row>
    <row r="1502" s="1" customFormat="1" spans="1:3">
      <c r="A1502" s="6"/>
      <c r="B1502" s="6"/>
      <c r="C1502" s="6"/>
    </row>
    <row r="1503" s="1" customFormat="1" spans="1:3">
      <c r="A1503" s="6"/>
      <c r="B1503" s="6"/>
      <c r="C1503" s="6"/>
    </row>
    <row r="1504" s="1" customFormat="1" spans="1:3">
      <c r="A1504" s="6"/>
      <c r="B1504" s="6"/>
      <c r="C1504" s="6"/>
    </row>
    <row r="1505" s="1" customFormat="1" spans="1:3">
      <c r="A1505" s="6"/>
      <c r="B1505" s="6"/>
      <c r="C1505" s="6"/>
    </row>
    <row r="1506" s="1" customFormat="1" spans="1:3">
      <c r="A1506" s="6"/>
      <c r="B1506" s="6"/>
      <c r="C1506" s="6"/>
    </row>
    <row r="1507" s="1" customFormat="1" spans="1:3">
      <c r="A1507" s="6"/>
      <c r="B1507" s="6"/>
      <c r="C1507" s="6"/>
    </row>
    <row r="1508" s="1" customFormat="1" spans="1:3">
      <c r="A1508" s="6"/>
      <c r="B1508" s="6"/>
      <c r="C1508" s="6"/>
    </row>
    <row r="1509" s="1" customFormat="1" spans="1:3">
      <c r="A1509" s="6"/>
      <c r="B1509" s="6"/>
      <c r="C1509" s="6"/>
    </row>
    <row r="1510" s="1" customFormat="1" spans="1:3">
      <c r="A1510" s="6"/>
      <c r="B1510" s="6"/>
      <c r="C1510" s="6"/>
    </row>
    <row r="1511" s="1" customFormat="1" spans="1:3">
      <c r="A1511" s="6"/>
      <c r="B1511" s="6"/>
      <c r="C1511" s="6"/>
    </row>
    <row r="1512" s="1" customFormat="1" spans="1:3">
      <c r="A1512" s="6"/>
      <c r="B1512" s="6"/>
      <c r="C1512" s="6"/>
    </row>
    <row r="1513" s="1" customFormat="1" spans="1:3">
      <c r="A1513" s="6"/>
      <c r="B1513" s="6"/>
      <c r="C1513" s="6"/>
    </row>
    <row r="1514" s="1" customFormat="1" spans="1:3">
      <c r="A1514" s="6"/>
      <c r="B1514" s="6"/>
      <c r="C1514" s="6"/>
    </row>
    <row r="1515" s="1" customFormat="1" spans="1:3">
      <c r="A1515" s="6"/>
      <c r="B1515" s="6"/>
      <c r="C1515" s="6"/>
    </row>
    <row r="1516" s="1" customFormat="1" spans="1:3">
      <c r="A1516" s="6"/>
      <c r="B1516" s="6"/>
      <c r="C1516" s="6"/>
    </row>
    <row r="1517" s="1" customFormat="1" spans="1:3">
      <c r="A1517" s="6"/>
      <c r="B1517" s="6"/>
      <c r="C1517" s="6"/>
    </row>
    <row r="1518" s="1" customFormat="1" spans="1:3">
      <c r="A1518" s="6"/>
      <c r="B1518" s="6"/>
      <c r="C1518" s="6"/>
    </row>
    <row r="1519" s="1" customFormat="1" spans="1:3">
      <c r="A1519" s="6"/>
      <c r="B1519" s="6"/>
      <c r="C1519" s="6"/>
    </row>
    <row r="1520" s="1" customFormat="1" spans="1:3">
      <c r="A1520" s="6"/>
      <c r="B1520" s="6"/>
      <c r="C1520" s="6"/>
    </row>
    <row r="1521" s="1" customFormat="1" spans="1:3">
      <c r="A1521" s="6"/>
      <c r="B1521" s="6"/>
      <c r="C1521" s="6"/>
    </row>
    <row r="1522" s="1" customFormat="1" spans="1:3">
      <c r="A1522" s="6"/>
      <c r="B1522" s="6"/>
      <c r="C1522" s="6"/>
    </row>
    <row r="1523" s="1" customFormat="1" spans="1:3">
      <c r="A1523" s="6"/>
      <c r="B1523" s="6"/>
      <c r="C1523" s="6"/>
    </row>
    <row r="1524" s="1" customFormat="1" spans="1:3">
      <c r="A1524" s="6"/>
      <c r="B1524" s="6"/>
      <c r="C1524" s="6"/>
    </row>
    <row r="1525" s="1" customFormat="1" spans="1:3">
      <c r="A1525" s="6"/>
      <c r="B1525" s="6"/>
      <c r="C1525" s="6"/>
    </row>
    <row r="1526" s="1" customFormat="1" spans="1:3">
      <c r="A1526" s="6"/>
      <c r="B1526" s="6"/>
      <c r="C1526" s="6"/>
    </row>
    <row r="1527" s="1" customFormat="1" spans="1:3">
      <c r="A1527" s="6"/>
      <c r="B1527" s="6"/>
      <c r="C1527" s="6"/>
    </row>
    <row r="1528" s="1" customFormat="1" spans="1:3">
      <c r="A1528" s="6"/>
      <c r="B1528" s="6"/>
      <c r="C1528" s="6"/>
    </row>
    <row r="1529" s="1" customFormat="1" spans="1:3">
      <c r="A1529" s="6"/>
      <c r="B1529" s="6"/>
      <c r="C1529" s="6"/>
    </row>
    <row r="1530" s="1" customFormat="1" spans="1:3">
      <c r="A1530" s="6"/>
      <c r="B1530" s="6"/>
      <c r="C1530" s="6"/>
    </row>
    <row r="1531" s="1" customFormat="1" spans="1:3">
      <c r="A1531" s="6"/>
      <c r="B1531" s="6"/>
      <c r="C1531" s="6"/>
    </row>
    <row r="1532" s="1" customFormat="1" spans="1:3">
      <c r="A1532" s="6"/>
      <c r="B1532" s="6"/>
      <c r="C1532" s="6"/>
    </row>
    <row r="1533" s="1" customFormat="1" spans="1:3">
      <c r="A1533" s="6"/>
      <c r="B1533" s="6"/>
      <c r="C1533" s="6"/>
    </row>
    <row r="1534" s="1" customFormat="1" spans="1:3">
      <c r="A1534" s="6"/>
      <c r="B1534" s="6"/>
      <c r="C1534" s="6"/>
    </row>
    <row r="1535" s="1" customFormat="1" spans="1:3">
      <c r="A1535" s="6"/>
      <c r="B1535" s="6"/>
      <c r="C1535" s="6"/>
    </row>
    <row r="1536" s="1" customFormat="1" spans="1:3">
      <c r="A1536" s="6"/>
      <c r="B1536" s="6"/>
      <c r="C1536" s="6"/>
    </row>
    <row r="1537" s="1" customFormat="1" spans="1:3">
      <c r="A1537" s="6"/>
      <c r="B1537" s="6"/>
      <c r="C1537" s="6"/>
    </row>
    <row r="1538" s="1" customFormat="1" spans="1:3">
      <c r="A1538" s="6"/>
      <c r="B1538" s="6"/>
      <c r="C1538" s="6"/>
    </row>
    <row r="1539" s="1" customFormat="1" spans="1:3">
      <c r="A1539" s="6"/>
      <c r="B1539" s="6"/>
      <c r="C1539" s="6"/>
    </row>
    <row r="1540" s="1" customFormat="1" spans="1:3">
      <c r="A1540" s="6"/>
      <c r="B1540" s="6"/>
      <c r="C1540" s="6"/>
    </row>
    <row r="1541" s="1" customFormat="1" spans="1:3">
      <c r="A1541" s="6"/>
      <c r="B1541" s="6"/>
      <c r="C1541" s="6"/>
    </row>
    <row r="1542" s="1" customFormat="1" spans="1:3">
      <c r="A1542" s="6"/>
      <c r="B1542" s="6"/>
      <c r="C1542" s="6"/>
    </row>
    <row r="1543" s="1" customFormat="1" spans="1:3">
      <c r="A1543" s="6"/>
      <c r="B1543" s="6"/>
      <c r="C1543" s="6"/>
    </row>
    <row r="1544" s="1" customFormat="1" spans="1:3">
      <c r="A1544" s="6"/>
      <c r="B1544" s="6"/>
      <c r="C1544" s="6"/>
    </row>
    <row r="1545" s="1" customFormat="1" spans="1:3">
      <c r="A1545" s="6"/>
      <c r="B1545" s="6"/>
      <c r="C1545" s="6"/>
    </row>
    <row r="1546" s="1" customFormat="1" spans="1:3">
      <c r="A1546" s="6"/>
      <c r="B1546" s="6"/>
      <c r="C1546" s="6"/>
    </row>
    <row r="1547" s="1" customFormat="1" spans="1:3">
      <c r="A1547" s="6"/>
      <c r="B1547" s="6"/>
      <c r="C1547" s="6"/>
    </row>
    <row r="1548" s="1" customFormat="1" spans="1:3">
      <c r="A1548" s="6"/>
      <c r="B1548" s="6"/>
      <c r="C1548" s="6"/>
    </row>
    <row r="1549" s="1" customFormat="1" spans="1:3">
      <c r="A1549" s="6"/>
      <c r="B1549" s="6"/>
      <c r="C1549" s="6"/>
    </row>
    <row r="1550" s="1" customFormat="1" spans="1:3">
      <c r="A1550" s="6"/>
      <c r="B1550" s="6"/>
      <c r="C1550" s="6"/>
    </row>
    <row r="1551" s="1" customFormat="1" spans="1:3">
      <c r="A1551" s="6"/>
      <c r="B1551" s="6"/>
      <c r="C1551" s="6"/>
    </row>
    <row r="1552" s="1" customFormat="1" spans="1:3">
      <c r="A1552" s="6"/>
      <c r="B1552" s="6"/>
      <c r="C1552" s="6"/>
    </row>
    <row r="1553" s="1" customFormat="1" spans="1:3">
      <c r="A1553" s="6"/>
      <c r="B1553" s="6"/>
      <c r="C1553" s="6"/>
    </row>
    <row r="1554" s="1" customFormat="1" spans="1:3">
      <c r="A1554" s="6"/>
      <c r="B1554" s="6"/>
      <c r="C1554" s="6"/>
    </row>
    <row r="1555" s="1" customFormat="1" spans="1:3">
      <c r="A1555" s="6"/>
      <c r="B1555" s="6"/>
      <c r="C1555" s="6"/>
    </row>
    <row r="1556" s="1" customFormat="1" spans="1:3">
      <c r="A1556" s="6"/>
      <c r="B1556" s="6"/>
      <c r="C1556" s="6"/>
    </row>
    <row r="1557" s="1" customFormat="1" spans="1:3">
      <c r="A1557" s="6"/>
      <c r="B1557" s="6"/>
      <c r="C1557" s="6"/>
    </row>
    <row r="1558" s="1" customFormat="1" spans="1:3">
      <c r="A1558" s="6"/>
      <c r="B1558" s="6"/>
      <c r="C1558" s="6"/>
    </row>
    <row r="1559" s="1" customFormat="1" spans="1:3">
      <c r="A1559" s="6"/>
      <c r="B1559" s="6"/>
      <c r="C1559" s="6"/>
    </row>
    <row r="1560" s="1" customFormat="1" spans="1:3">
      <c r="A1560" s="6"/>
      <c r="B1560" s="6"/>
      <c r="C1560" s="6"/>
    </row>
    <row r="1561" s="1" customFormat="1" spans="1:3">
      <c r="A1561" s="6"/>
      <c r="B1561" s="6"/>
      <c r="C1561" s="6"/>
    </row>
    <row r="1562" s="1" customFormat="1" spans="1:3">
      <c r="A1562" s="6"/>
      <c r="B1562" s="6"/>
      <c r="C1562" s="6"/>
    </row>
    <row r="1563" s="1" customFormat="1" spans="1:3">
      <c r="A1563" s="6"/>
      <c r="B1563" s="6"/>
      <c r="C1563" s="6"/>
    </row>
    <row r="1564" s="1" customFormat="1" spans="1:3">
      <c r="A1564" s="6"/>
      <c r="B1564" s="6"/>
      <c r="C1564" s="6"/>
    </row>
    <row r="1565" s="1" customFormat="1" spans="1:3">
      <c r="A1565" s="6"/>
      <c r="B1565" s="6"/>
      <c r="C1565" s="6"/>
    </row>
    <row r="1566" s="1" customFormat="1" spans="1:3">
      <c r="A1566" s="6"/>
      <c r="B1566" s="6"/>
      <c r="C1566" s="6"/>
    </row>
    <row r="1567" s="1" customFormat="1" spans="1:3">
      <c r="A1567" s="6"/>
      <c r="B1567" s="6"/>
      <c r="C1567" s="6"/>
    </row>
    <row r="1568" s="1" customFormat="1" spans="1:3">
      <c r="A1568" s="6"/>
      <c r="B1568" s="6"/>
      <c r="C1568" s="6"/>
    </row>
    <row r="1569" s="1" customFormat="1" spans="1:3">
      <c r="A1569" s="6"/>
      <c r="B1569" s="6"/>
      <c r="C1569" s="6"/>
    </row>
    <row r="1570" s="1" customFormat="1" spans="1:3">
      <c r="A1570" s="6"/>
      <c r="B1570" s="6"/>
      <c r="C1570" s="6"/>
    </row>
    <row r="1571" s="1" customFormat="1" spans="1:3">
      <c r="A1571" s="6"/>
      <c r="B1571" s="6"/>
      <c r="C1571" s="6"/>
    </row>
    <row r="1572" s="1" customFormat="1" spans="1:3">
      <c r="A1572" s="6"/>
      <c r="B1572" s="6"/>
      <c r="C1572" s="6"/>
    </row>
    <row r="1573" s="1" customFormat="1" spans="1:3">
      <c r="A1573" s="6"/>
      <c r="B1573" s="6"/>
      <c r="C1573" s="6"/>
    </row>
    <row r="1574" s="1" customFormat="1" spans="1:3">
      <c r="A1574" s="6"/>
      <c r="B1574" s="6"/>
      <c r="C1574" s="6"/>
    </row>
    <row r="1575" s="1" customFormat="1" spans="1:3">
      <c r="A1575" s="6"/>
      <c r="B1575" s="6"/>
      <c r="C1575" s="6"/>
    </row>
    <row r="1576" s="1" customFormat="1" spans="1:3">
      <c r="A1576" s="6"/>
      <c r="B1576" s="6"/>
      <c r="C1576" s="6"/>
    </row>
    <row r="1577" s="1" customFormat="1" spans="1:3">
      <c r="A1577" s="6"/>
      <c r="B1577" s="6"/>
      <c r="C1577" s="6"/>
    </row>
    <row r="1578" s="1" customFormat="1" spans="1:3">
      <c r="A1578" s="6"/>
      <c r="B1578" s="6"/>
      <c r="C1578" s="6"/>
    </row>
    <row r="1579" s="1" customFormat="1" spans="1:3">
      <c r="A1579" s="6"/>
      <c r="B1579" s="6"/>
      <c r="C1579" s="6"/>
    </row>
    <row r="1580" s="1" customFormat="1" spans="1:3">
      <c r="A1580" s="6"/>
      <c r="B1580" s="6"/>
      <c r="C1580" s="6"/>
    </row>
    <row r="1581" s="1" customFormat="1" spans="1:3">
      <c r="A1581" s="6"/>
      <c r="B1581" s="6"/>
      <c r="C1581" s="6"/>
    </row>
    <row r="1582" s="1" customFormat="1" spans="1:3">
      <c r="A1582" s="6"/>
      <c r="B1582" s="6"/>
      <c r="C1582" s="6"/>
    </row>
    <row r="1583" s="1" customFormat="1" spans="1:3">
      <c r="A1583" s="6"/>
      <c r="B1583" s="6"/>
      <c r="C1583" s="6"/>
    </row>
    <row r="1584" s="1" customFormat="1" spans="1:3">
      <c r="A1584" s="6"/>
      <c r="B1584" s="6"/>
      <c r="C1584" s="6"/>
    </row>
    <row r="1585" s="1" customFormat="1" spans="1:3">
      <c r="A1585" s="6"/>
      <c r="B1585" s="6"/>
      <c r="C1585" s="6"/>
    </row>
    <row r="1586" s="1" customFormat="1" spans="1:3">
      <c r="A1586" s="6"/>
      <c r="B1586" s="6"/>
      <c r="C1586" s="6"/>
    </row>
    <row r="1587" s="1" customFormat="1" spans="1:3">
      <c r="A1587" s="6"/>
      <c r="B1587" s="6"/>
      <c r="C1587" s="6"/>
    </row>
    <row r="1588" s="1" customFormat="1" spans="1:3">
      <c r="A1588" s="6"/>
      <c r="B1588" s="6"/>
      <c r="C1588" s="6"/>
    </row>
    <row r="1589" s="1" customFormat="1" spans="1:3">
      <c r="A1589" s="6"/>
      <c r="B1589" s="6"/>
      <c r="C1589" s="6"/>
    </row>
    <row r="1590" s="1" customFormat="1" spans="1:3">
      <c r="A1590" s="6"/>
      <c r="B1590" s="6"/>
      <c r="C1590" s="6"/>
    </row>
    <row r="1591" s="1" customFormat="1" spans="1:3">
      <c r="A1591" s="6"/>
      <c r="B1591" s="6"/>
      <c r="C1591" s="6"/>
    </row>
    <row r="1592" s="1" customFormat="1" spans="1:3">
      <c r="A1592" s="6"/>
      <c r="B1592" s="6"/>
      <c r="C1592" s="6"/>
    </row>
    <row r="1593" s="1" customFormat="1" spans="1:3">
      <c r="A1593" s="6"/>
      <c r="B1593" s="6"/>
      <c r="C1593" s="6"/>
    </row>
    <row r="1594" s="1" customFormat="1" spans="1:3">
      <c r="A1594" s="6"/>
      <c r="B1594" s="6"/>
      <c r="C1594" s="6"/>
    </row>
    <row r="1595" s="1" customFormat="1" spans="1:3">
      <c r="A1595" s="6"/>
      <c r="B1595" s="6"/>
      <c r="C1595" s="6"/>
    </row>
    <row r="1596" s="1" customFormat="1" spans="1:3">
      <c r="A1596" s="6"/>
      <c r="B1596" s="6"/>
      <c r="C1596" s="6"/>
    </row>
    <row r="1597" s="1" customFormat="1" spans="1:3">
      <c r="A1597" s="6"/>
      <c r="B1597" s="6"/>
      <c r="C1597" s="6"/>
    </row>
    <row r="1598" s="1" customFormat="1" spans="1:3">
      <c r="A1598" s="6"/>
      <c r="B1598" s="6"/>
      <c r="C1598" s="6"/>
    </row>
    <row r="1599" s="1" customFormat="1" spans="1:3">
      <c r="A1599" s="6"/>
      <c r="B1599" s="6"/>
      <c r="C1599" s="6"/>
    </row>
    <row r="1600" s="1" customFormat="1" spans="1:3">
      <c r="A1600" s="6"/>
      <c r="B1600" s="6"/>
      <c r="C1600" s="6"/>
    </row>
    <row r="1601" s="1" customFormat="1" spans="1:3">
      <c r="A1601" s="6"/>
      <c r="B1601" s="6"/>
      <c r="C1601" s="6"/>
    </row>
    <row r="1602" s="1" customFormat="1" spans="1:3">
      <c r="A1602" s="6"/>
      <c r="B1602" s="6"/>
      <c r="C1602" s="6"/>
    </row>
    <row r="1603" s="1" customFormat="1" spans="1:3">
      <c r="A1603" s="6"/>
      <c r="B1603" s="6"/>
      <c r="C1603" s="6"/>
    </row>
    <row r="1604" s="1" customFormat="1" spans="1:3">
      <c r="A1604" s="6"/>
      <c r="B1604" s="6"/>
      <c r="C1604" s="6"/>
    </row>
    <row r="1605" s="1" customFormat="1" spans="1:3">
      <c r="A1605" s="6"/>
      <c r="B1605" s="6"/>
      <c r="C1605" s="6"/>
    </row>
    <row r="1606" s="1" customFormat="1" spans="1:3">
      <c r="A1606" s="6"/>
      <c r="B1606" s="6"/>
      <c r="C1606" s="6"/>
    </row>
    <row r="1607" s="1" customFormat="1" spans="1:3">
      <c r="A1607" s="6"/>
      <c r="B1607" s="6"/>
      <c r="C1607" s="6"/>
    </row>
    <row r="1608" s="1" customFormat="1" spans="1:3">
      <c r="A1608" s="6"/>
      <c r="B1608" s="6"/>
      <c r="C1608" s="6"/>
    </row>
    <row r="1609" s="1" customFormat="1" spans="1:3">
      <c r="A1609" s="6"/>
      <c r="B1609" s="6"/>
      <c r="C1609" s="6"/>
    </row>
    <row r="1610" s="1" customFormat="1" spans="1:3">
      <c r="A1610" s="6"/>
      <c r="B1610" s="6"/>
      <c r="C1610" s="6"/>
    </row>
    <row r="1611" s="1" customFormat="1" spans="1:3">
      <c r="A1611" s="6"/>
      <c r="B1611" s="6"/>
      <c r="C1611" s="6"/>
    </row>
    <row r="1612" s="1" customFormat="1" spans="1:3">
      <c r="A1612" s="6"/>
      <c r="B1612" s="6"/>
      <c r="C1612" s="6"/>
    </row>
    <row r="1613" s="1" customFormat="1" spans="1:3">
      <c r="A1613" s="6"/>
      <c r="B1613" s="6"/>
      <c r="C1613" s="6"/>
    </row>
    <row r="1614" s="1" customFormat="1" spans="1:3">
      <c r="A1614" s="6"/>
      <c r="B1614" s="6"/>
      <c r="C1614" s="6"/>
    </row>
    <row r="1615" s="1" customFormat="1" spans="1:3">
      <c r="A1615" s="6"/>
      <c r="B1615" s="6"/>
      <c r="C1615" s="6"/>
    </row>
    <row r="1616" s="1" customFormat="1" spans="1:3">
      <c r="A1616" s="6"/>
      <c r="B1616" s="6"/>
      <c r="C1616" s="6"/>
    </row>
    <row r="1617" s="1" customFormat="1" spans="1:3">
      <c r="A1617" s="6"/>
      <c r="B1617" s="6"/>
      <c r="C1617" s="6"/>
    </row>
    <row r="1618" s="1" customFormat="1" spans="1:3">
      <c r="A1618" s="6"/>
      <c r="B1618" s="6"/>
      <c r="C1618" s="6"/>
    </row>
    <row r="1619" s="1" customFormat="1" spans="1:3">
      <c r="A1619" s="6"/>
      <c r="B1619" s="6"/>
      <c r="C1619" s="6"/>
    </row>
    <row r="1620" s="1" customFormat="1" spans="1:3">
      <c r="A1620" s="6"/>
      <c r="B1620" s="6"/>
      <c r="C1620" s="6"/>
    </row>
    <row r="1621" s="1" customFormat="1" spans="1:3">
      <c r="A1621" s="6"/>
      <c r="B1621" s="6"/>
      <c r="C1621" s="6"/>
    </row>
    <row r="1622" s="1" customFormat="1" spans="1:3">
      <c r="A1622" s="6"/>
      <c r="B1622" s="6"/>
      <c r="C1622" s="6"/>
    </row>
    <row r="1623" s="1" customFormat="1" spans="1:3">
      <c r="A1623" s="6"/>
      <c r="B1623" s="6"/>
      <c r="C1623" s="6"/>
    </row>
    <row r="1624" s="1" customFormat="1" spans="1:3">
      <c r="A1624" s="6"/>
      <c r="B1624" s="6"/>
      <c r="C1624" s="6"/>
    </row>
    <row r="1625" s="1" customFormat="1" spans="1:3">
      <c r="A1625" s="6"/>
      <c r="B1625" s="6"/>
      <c r="C1625" s="6"/>
    </row>
    <row r="1626" s="1" customFormat="1" spans="1:3">
      <c r="A1626" s="6"/>
      <c r="B1626" s="6"/>
      <c r="C1626" s="6"/>
    </row>
    <row r="1627" s="1" customFormat="1" spans="1:3">
      <c r="A1627" s="6"/>
      <c r="B1627" s="6"/>
      <c r="C1627" s="6"/>
    </row>
    <row r="1628" s="1" customFormat="1" spans="1:3">
      <c r="A1628" s="6"/>
      <c r="B1628" s="6"/>
      <c r="C1628" s="6"/>
    </row>
    <row r="1629" s="1" customFormat="1" spans="1:3">
      <c r="A1629" s="6"/>
      <c r="B1629" s="6"/>
      <c r="C1629" s="6"/>
    </row>
    <row r="1630" s="1" customFormat="1" spans="1:3">
      <c r="A1630" s="6"/>
      <c r="B1630" s="6"/>
      <c r="C1630" s="6"/>
    </row>
    <row r="1631" s="1" customFormat="1" spans="1:3">
      <c r="A1631" s="6"/>
      <c r="B1631" s="6"/>
      <c r="C1631" s="6"/>
    </row>
    <row r="1632" s="1" customFormat="1" spans="1:3">
      <c r="A1632" s="6"/>
      <c r="B1632" s="6"/>
      <c r="C1632" s="6"/>
    </row>
    <row r="1633" s="1" customFormat="1" spans="1:3">
      <c r="A1633" s="6"/>
      <c r="B1633" s="6"/>
      <c r="C1633" s="6"/>
    </row>
    <row r="1634" s="1" customFormat="1" spans="1:3">
      <c r="A1634" s="6"/>
      <c r="B1634" s="6"/>
      <c r="C1634" s="6"/>
    </row>
    <row r="1635" s="1" customFormat="1" spans="1:3">
      <c r="A1635" s="6"/>
      <c r="B1635" s="6"/>
      <c r="C1635" s="6"/>
    </row>
    <row r="1636" s="1" customFormat="1" spans="1:3">
      <c r="A1636" s="6"/>
      <c r="B1636" s="6"/>
      <c r="C1636" s="6"/>
    </row>
    <row r="1637" s="1" customFormat="1" spans="1:3">
      <c r="A1637" s="6"/>
      <c r="B1637" s="6"/>
      <c r="C1637" s="6"/>
    </row>
    <row r="1638" s="1" customFormat="1" spans="1:3">
      <c r="A1638" s="6"/>
      <c r="B1638" s="6"/>
      <c r="C1638" s="6"/>
    </row>
    <row r="1639" s="1" customFormat="1" spans="1:3">
      <c r="A1639" s="6"/>
      <c r="B1639" s="6"/>
      <c r="C1639" s="6"/>
    </row>
    <row r="1640" s="1" customFormat="1" spans="1:3">
      <c r="A1640" s="6"/>
      <c r="B1640" s="6"/>
      <c r="C1640" s="6"/>
    </row>
    <row r="1641" s="1" customFormat="1" spans="1:3">
      <c r="A1641" s="6"/>
      <c r="B1641" s="6"/>
      <c r="C1641" s="6"/>
    </row>
    <row r="1642" s="1" customFormat="1" spans="1:3">
      <c r="A1642" s="6"/>
      <c r="B1642" s="6"/>
      <c r="C1642" s="6"/>
    </row>
    <row r="1643" s="1" customFormat="1" spans="1:3">
      <c r="A1643" s="6"/>
      <c r="B1643" s="6"/>
      <c r="C1643" s="6"/>
    </row>
    <row r="1644" s="1" customFormat="1" spans="1:3">
      <c r="A1644" s="6"/>
      <c r="B1644" s="6"/>
      <c r="C1644" s="6"/>
    </row>
    <row r="1645" s="1" customFormat="1" spans="1:3">
      <c r="A1645" s="6"/>
      <c r="B1645" s="6"/>
      <c r="C1645" s="6"/>
    </row>
    <row r="1646" s="1" customFormat="1" spans="1:3">
      <c r="A1646" s="6"/>
      <c r="B1646" s="6"/>
      <c r="C1646" s="6"/>
    </row>
    <row r="1647" s="1" customFormat="1" spans="1:3">
      <c r="A1647" s="6"/>
      <c r="B1647" s="6"/>
      <c r="C1647" s="6"/>
    </row>
    <row r="1648" s="1" customFormat="1" spans="1:3">
      <c r="A1648" s="6"/>
      <c r="B1648" s="6"/>
      <c r="C1648" s="6"/>
    </row>
    <row r="1649" s="1" customFormat="1" spans="1:3">
      <c r="A1649" s="6"/>
      <c r="B1649" s="6"/>
      <c r="C1649" s="6"/>
    </row>
    <row r="1650" s="1" customFormat="1" spans="1:3">
      <c r="A1650" s="6"/>
      <c r="B1650" s="6"/>
      <c r="C1650" s="6"/>
    </row>
    <row r="1651" s="1" customFormat="1" spans="1:3">
      <c r="A1651" s="6"/>
      <c r="B1651" s="6"/>
      <c r="C1651" s="6"/>
    </row>
    <row r="1652" s="1" customFormat="1" spans="1:3">
      <c r="A1652" s="6"/>
      <c r="B1652" s="6"/>
      <c r="C1652" s="6"/>
    </row>
    <row r="1653" s="1" customFormat="1" spans="1:3">
      <c r="A1653" s="6"/>
      <c r="B1653" s="6"/>
      <c r="C1653" s="6"/>
    </row>
    <row r="1654" s="1" customFormat="1" spans="1:3">
      <c r="A1654" s="6"/>
      <c r="B1654" s="6"/>
      <c r="C1654" s="6"/>
    </row>
    <row r="1655" s="1" customFormat="1" spans="1:3">
      <c r="A1655" s="6"/>
      <c r="B1655" s="6"/>
      <c r="C1655" s="6"/>
    </row>
    <row r="1656" s="1" customFormat="1" spans="1:3">
      <c r="A1656" s="6"/>
      <c r="B1656" s="6"/>
      <c r="C1656" s="6"/>
    </row>
    <row r="1657" s="1" customFormat="1" spans="1:3">
      <c r="A1657" s="6"/>
      <c r="B1657" s="6"/>
      <c r="C1657" s="6"/>
    </row>
    <row r="1658" s="1" customFormat="1" spans="1:3">
      <c r="A1658" s="6"/>
      <c r="B1658" s="6"/>
      <c r="C1658" s="6"/>
    </row>
    <row r="1659" s="1" customFormat="1" spans="1:3">
      <c r="A1659" s="6"/>
      <c r="B1659" s="6"/>
      <c r="C1659" s="6"/>
    </row>
    <row r="1660" s="1" customFormat="1" spans="1:3">
      <c r="A1660" s="6"/>
      <c r="B1660" s="6"/>
      <c r="C1660" s="6"/>
    </row>
    <row r="1661" s="1" customFormat="1" spans="1:3">
      <c r="A1661" s="6"/>
      <c r="B1661" s="6"/>
      <c r="C1661" s="6"/>
    </row>
    <row r="1662" s="1" customFormat="1" spans="1:3">
      <c r="A1662" s="6"/>
      <c r="B1662" s="6"/>
      <c r="C1662" s="6"/>
    </row>
    <row r="1663" s="1" customFormat="1" spans="1:3">
      <c r="A1663" s="6"/>
      <c r="B1663" s="6"/>
      <c r="C1663" s="6"/>
    </row>
    <row r="1664" s="1" customFormat="1" spans="1:3">
      <c r="A1664" s="6"/>
      <c r="B1664" s="6"/>
      <c r="C1664" s="6"/>
    </row>
    <row r="1665" s="1" customFormat="1" spans="1:3">
      <c r="A1665" s="6"/>
      <c r="B1665" s="6"/>
      <c r="C1665" s="6"/>
    </row>
    <row r="1666" s="1" customFormat="1" spans="1:3">
      <c r="A1666" s="6"/>
      <c r="B1666" s="6"/>
      <c r="C1666" s="6"/>
    </row>
    <row r="1667" s="1" customFormat="1" spans="1:3">
      <c r="A1667" s="6"/>
      <c r="B1667" s="6"/>
      <c r="C1667" s="6"/>
    </row>
    <row r="1668" s="1" customFormat="1" spans="1:3">
      <c r="A1668" s="6"/>
      <c r="B1668" s="6"/>
      <c r="C1668" s="6"/>
    </row>
    <row r="1669" s="1" customFormat="1" spans="1:3">
      <c r="A1669" s="6"/>
      <c r="B1669" s="6"/>
      <c r="C1669" s="6"/>
    </row>
    <row r="1670" s="1" customFormat="1" spans="1:3">
      <c r="A1670" s="6"/>
      <c r="B1670" s="6"/>
      <c r="C1670" s="6"/>
    </row>
    <row r="1671" s="1" customFormat="1" spans="1:3">
      <c r="A1671" s="6"/>
      <c r="B1671" s="6"/>
      <c r="C1671" s="6"/>
    </row>
    <row r="1672" s="1" customFormat="1" spans="1:3">
      <c r="A1672" s="6"/>
      <c r="B1672" s="6"/>
      <c r="C1672" s="6"/>
    </row>
    <row r="1673" s="1" customFormat="1" spans="1:3">
      <c r="A1673" s="6"/>
      <c r="B1673" s="6"/>
      <c r="C1673" s="6"/>
    </row>
    <row r="1674" s="1" customFormat="1" spans="1:3">
      <c r="A1674" s="6"/>
      <c r="B1674" s="6"/>
      <c r="C1674" s="6"/>
    </row>
    <row r="1675" s="1" customFormat="1" spans="1:3">
      <c r="A1675" s="6"/>
      <c r="B1675" s="6"/>
      <c r="C1675" s="6"/>
    </row>
    <row r="1676" s="1" customFormat="1" spans="1:3">
      <c r="A1676" s="6"/>
      <c r="B1676" s="6"/>
      <c r="C1676" s="6"/>
    </row>
    <row r="1677" s="1" customFormat="1" spans="1:3">
      <c r="A1677" s="6"/>
      <c r="B1677" s="6"/>
      <c r="C1677" s="6"/>
    </row>
    <row r="1678" s="1" customFormat="1" spans="1:3">
      <c r="A1678" s="6"/>
      <c r="B1678" s="6"/>
      <c r="C1678" s="6"/>
    </row>
    <row r="1679" s="1" customFormat="1" spans="1:3">
      <c r="A1679" s="6"/>
      <c r="B1679" s="6"/>
      <c r="C1679" s="6"/>
    </row>
    <row r="1680" s="1" customFormat="1" spans="1:3">
      <c r="A1680" s="6"/>
      <c r="B1680" s="6"/>
      <c r="C1680" s="6"/>
    </row>
    <row r="1681" s="1" customFormat="1" spans="1:3">
      <c r="A1681" s="6"/>
      <c r="B1681" s="6"/>
      <c r="C1681" s="6"/>
    </row>
    <row r="1682" s="1" customFormat="1" spans="1:3">
      <c r="A1682" s="6"/>
      <c r="B1682" s="6"/>
      <c r="C1682" s="6"/>
    </row>
    <row r="1683" s="1" customFormat="1" spans="1:3">
      <c r="A1683" s="6"/>
      <c r="B1683" s="6"/>
      <c r="C1683" s="6"/>
    </row>
    <row r="1684" s="1" customFormat="1" spans="1:3">
      <c r="A1684" s="6"/>
      <c r="B1684" s="6"/>
      <c r="C1684" s="6"/>
    </row>
    <row r="1685" s="1" customFormat="1" spans="1:3">
      <c r="A1685" s="6"/>
      <c r="B1685" s="6"/>
      <c r="C1685" s="6"/>
    </row>
    <row r="1686" s="1" customFormat="1" spans="1:3">
      <c r="A1686" s="6"/>
      <c r="B1686" s="6"/>
      <c r="C1686" s="6"/>
    </row>
    <row r="1687" s="1" customFormat="1" spans="1:3">
      <c r="A1687" s="6"/>
      <c r="B1687" s="6"/>
      <c r="C1687" s="6"/>
    </row>
    <row r="1688" s="1" customFormat="1" spans="1:3">
      <c r="A1688" s="6"/>
      <c r="B1688" s="6"/>
      <c r="C1688" s="6"/>
    </row>
    <row r="1689" s="1" customFormat="1" spans="1:3">
      <c r="A1689" s="6"/>
      <c r="B1689" s="6"/>
      <c r="C1689" s="6"/>
    </row>
    <row r="1690" s="1" customFormat="1" spans="1:3">
      <c r="A1690" s="6"/>
      <c r="B1690" s="6"/>
      <c r="C1690" s="6"/>
    </row>
    <row r="1691" s="1" customFormat="1" spans="1:3">
      <c r="A1691" s="6"/>
      <c r="B1691" s="6"/>
      <c r="C1691" s="6"/>
    </row>
    <row r="1692" s="1" customFormat="1" spans="1:3">
      <c r="A1692" s="6"/>
      <c r="B1692" s="6"/>
      <c r="C1692" s="6"/>
    </row>
    <row r="1693" s="1" customFormat="1" spans="1:3">
      <c r="A1693" s="6"/>
      <c r="B1693" s="6"/>
      <c r="C1693" s="6"/>
    </row>
    <row r="1694" s="1" customFormat="1" spans="1:3">
      <c r="A1694" s="6"/>
      <c r="B1694" s="6"/>
      <c r="C1694" s="6"/>
    </row>
    <row r="1695" s="1" customFormat="1" spans="1:3">
      <c r="A1695" s="6"/>
      <c r="B1695" s="6"/>
      <c r="C1695" s="6"/>
    </row>
    <row r="1696" s="1" customFormat="1" spans="1:3">
      <c r="A1696" s="6"/>
      <c r="B1696" s="6"/>
      <c r="C1696" s="6"/>
    </row>
    <row r="1697" s="1" customFormat="1" spans="1:3">
      <c r="A1697" s="6"/>
      <c r="B1697" s="6"/>
      <c r="C1697" s="6"/>
    </row>
    <row r="1698" s="1" customFormat="1" spans="1:3">
      <c r="A1698" s="6"/>
      <c r="B1698" s="6"/>
      <c r="C1698" s="6"/>
    </row>
    <row r="1699" s="1" customFormat="1" spans="1:3">
      <c r="A1699" s="6"/>
      <c r="B1699" s="6"/>
      <c r="C1699" s="6"/>
    </row>
    <row r="1700" s="1" customFormat="1" spans="1:3">
      <c r="A1700" s="6"/>
      <c r="B1700" s="6"/>
      <c r="C1700" s="6"/>
    </row>
    <row r="1701" s="1" customFormat="1" spans="1:3">
      <c r="A1701" s="6"/>
      <c r="B1701" s="6"/>
      <c r="C1701" s="6"/>
    </row>
    <row r="1702" s="1" customFormat="1" spans="1:3">
      <c r="A1702" s="6"/>
      <c r="B1702" s="6"/>
      <c r="C1702" s="6"/>
    </row>
    <row r="1703" s="1" customFormat="1" spans="1:3">
      <c r="A1703" s="6"/>
      <c r="B1703" s="6"/>
      <c r="C1703" s="6"/>
    </row>
    <row r="1704" s="1" customFormat="1" spans="1:3">
      <c r="A1704" s="6"/>
      <c r="B1704" s="6"/>
      <c r="C1704" s="6"/>
    </row>
    <row r="1705" s="1" customFormat="1" spans="1:3">
      <c r="A1705" s="6"/>
      <c r="B1705" s="6"/>
      <c r="C1705" s="6"/>
    </row>
    <row r="1706" s="1" customFormat="1" spans="1:3">
      <c r="A1706" s="6"/>
      <c r="B1706" s="6"/>
      <c r="C1706" s="6"/>
    </row>
    <row r="1707" s="1" customFormat="1" spans="1:3">
      <c r="A1707" s="6"/>
      <c r="B1707" s="6"/>
      <c r="C1707" s="6"/>
    </row>
    <row r="1708" s="1" customFormat="1" spans="1:3">
      <c r="A1708" s="6"/>
      <c r="B1708" s="6"/>
      <c r="C1708" s="6"/>
    </row>
    <row r="1709" s="1" customFormat="1" spans="1:3">
      <c r="A1709" s="6"/>
      <c r="B1709" s="6"/>
      <c r="C1709" s="6"/>
    </row>
    <row r="1710" s="1" customFormat="1" spans="1:3">
      <c r="A1710" s="6"/>
      <c r="B1710" s="6"/>
      <c r="C1710" s="6"/>
    </row>
    <row r="1711" s="1" customFormat="1" spans="1:3">
      <c r="A1711" s="6"/>
      <c r="B1711" s="6"/>
      <c r="C1711" s="6"/>
    </row>
    <row r="1712" s="1" customFormat="1" spans="1:3">
      <c r="A1712" s="6"/>
      <c r="B1712" s="6"/>
      <c r="C1712" s="6"/>
    </row>
    <row r="1713" s="1" customFormat="1" spans="1:3">
      <c r="A1713" s="6"/>
      <c r="B1713" s="6"/>
      <c r="C1713" s="6"/>
    </row>
    <row r="1714" s="1" customFormat="1" spans="1:3">
      <c r="A1714" s="6"/>
      <c r="B1714" s="6"/>
      <c r="C1714" s="6"/>
    </row>
    <row r="1715" s="1" customFormat="1" spans="1:3">
      <c r="A1715" s="6"/>
      <c r="B1715" s="6"/>
      <c r="C1715" s="6"/>
    </row>
    <row r="1716" s="1" customFormat="1" spans="1:3">
      <c r="A1716" s="6"/>
      <c r="B1716" s="6"/>
      <c r="C1716" s="6"/>
    </row>
    <row r="1717" s="1" customFormat="1" spans="1:3">
      <c r="A1717" s="6"/>
      <c r="B1717" s="6"/>
      <c r="C1717" s="6"/>
    </row>
    <row r="1718" s="1" customFormat="1" spans="1:3">
      <c r="A1718" s="6"/>
      <c r="B1718" s="6"/>
      <c r="C1718" s="6"/>
    </row>
    <row r="1719" s="1" customFormat="1" spans="1:3">
      <c r="A1719" s="6"/>
      <c r="B1719" s="6"/>
      <c r="C1719" s="6"/>
    </row>
    <row r="1720" s="1" customFormat="1" spans="1:3">
      <c r="A1720" s="6"/>
      <c r="B1720" s="6"/>
      <c r="C1720" s="6"/>
    </row>
    <row r="1721" s="1" customFormat="1" spans="1:3">
      <c r="A1721" s="6"/>
      <c r="B1721" s="6"/>
      <c r="C1721" s="6"/>
    </row>
    <row r="1722" s="1" customFormat="1" spans="1:3">
      <c r="A1722" s="6"/>
      <c r="B1722" s="6"/>
      <c r="C1722" s="6"/>
    </row>
    <row r="1723" s="1" customFormat="1" spans="1:3">
      <c r="A1723" s="6"/>
      <c r="B1723" s="6"/>
      <c r="C1723" s="6"/>
    </row>
    <row r="1724" s="1" customFormat="1" spans="1:3">
      <c r="A1724" s="6"/>
      <c r="B1724" s="6"/>
      <c r="C1724" s="6"/>
    </row>
    <row r="1725" s="1" customFormat="1" spans="1:3">
      <c r="A1725" s="6"/>
      <c r="B1725" s="6"/>
      <c r="C1725" s="6"/>
    </row>
    <row r="1726" s="1" customFormat="1" spans="1:3">
      <c r="A1726" s="6"/>
      <c r="B1726" s="6"/>
      <c r="C1726" s="6"/>
    </row>
    <row r="1727" s="1" customFormat="1" spans="1:3">
      <c r="A1727" s="6"/>
      <c r="B1727" s="6"/>
      <c r="C1727" s="6"/>
    </row>
    <row r="1728" s="1" customFormat="1" spans="1:3">
      <c r="A1728" s="6"/>
      <c r="B1728" s="6"/>
      <c r="C1728" s="6"/>
    </row>
    <row r="1729" s="1" customFormat="1" spans="1:3">
      <c r="A1729" s="6"/>
      <c r="B1729" s="6"/>
      <c r="C1729" s="6"/>
    </row>
    <row r="1730" s="1" customFormat="1" spans="1:3">
      <c r="A1730" s="6"/>
      <c r="B1730" s="6"/>
      <c r="C1730" s="6"/>
    </row>
    <row r="1731" s="1" customFormat="1" spans="1:3">
      <c r="A1731" s="6"/>
      <c r="B1731" s="6"/>
      <c r="C1731" s="6"/>
    </row>
    <row r="1732" s="1" customFormat="1" spans="1:3">
      <c r="A1732" s="6"/>
      <c r="B1732" s="6"/>
      <c r="C1732" s="6"/>
    </row>
    <row r="1733" s="1" customFormat="1" spans="1:3">
      <c r="A1733" s="6"/>
      <c r="B1733" s="6"/>
      <c r="C1733" s="6"/>
    </row>
    <row r="1734" s="1" customFormat="1" spans="1:3">
      <c r="A1734" s="6"/>
      <c r="B1734" s="6"/>
      <c r="C1734" s="6"/>
    </row>
    <row r="1735" s="1" customFormat="1" spans="1:3">
      <c r="A1735" s="6"/>
      <c r="B1735" s="6"/>
      <c r="C1735" s="6"/>
    </row>
    <row r="1736" s="1" customFormat="1" spans="1:3">
      <c r="A1736" s="6"/>
      <c r="B1736" s="6"/>
      <c r="C1736" s="6"/>
    </row>
    <row r="1737" s="1" customFormat="1" spans="1:3">
      <c r="A1737" s="6"/>
      <c r="B1737" s="6"/>
      <c r="C1737" s="6"/>
    </row>
    <row r="1738" s="1" customFormat="1" spans="1:3">
      <c r="A1738" s="6"/>
      <c r="B1738" s="6"/>
      <c r="C1738" s="6"/>
    </row>
    <row r="1739" s="1" customFormat="1" spans="1:3">
      <c r="A1739" s="6"/>
      <c r="B1739" s="6"/>
      <c r="C1739" s="6"/>
    </row>
    <row r="1740" s="1" customFormat="1" spans="1:3">
      <c r="A1740" s="6"/>
      <c r="B1740" s="6"/>
      <c r="C1740" s="6"/>
    </row>
    <row r="1741" s="1" customFormat="1" spans="1:3">
      <c r="A1741" s="6"/>
      <c r="B1741" s="6"/>
      <c r="C1741" s="6"/>
    </row>
    <row r="1742" s="1" customFormat="1" spans="1:3">
      <c r="A1742" s="6"/>
      <c r="B1742" s="6"/>
      <c r="C1742" s="6"/>
    </row>
    <row r="1743" s="1" customFormat="1" spans="1:3">
      <c r="A1743" s="6"/>
      <c r="B1743" s="6"/>
      <c r="C1743" s="6"/>
    </row>
    <row r="1744" s="1" customFormat="1" spans="1:3">
      <c r="A1744" s="6"/>
      <c r="B1744" s="6"/>
      <c r="C1744" s="6"/>
    </row>
    <row r="1745" s="1" customFormat="1" spans="1:3">
      <c r="A1745" s="6"/>
      <c r="B1745" s="6"/>
      <c r="C1745" s="6"/>
    </row>
    <row r="1746" s="1" customFormat="1" spans="1:3">
      <c r="A1746" s="6"/>
      <c r="B1746" s="6"/>
      <c r="C1746" s="6"/>
    </row>
    <row r="1747" s="1" customFormat="1" spans="1:3">
      <c r="A1747" s="6"/>
      <c r="B1747" s="6"/>
      <c r="C1747" s="6"/>
    </row>
    <row r="1748" s="1" customFormat="1" spans="1:3">
      <c r="A1748" s="6"/>
      <c r="B1748" s="6"/>
      <c r="C1748" s="6"/>
    </row>
    <row r="1749" s="1" customFormat="1" spans="1:3">
      <c r="A1749" s="6"/>
      <c r="B1749" s="6"/>
      <c r="C1749" s="6"/>
    </row>
    <row r="1750" s="1" customFormat="1" spans="1:3">
      <c r="A1750" s="6"/>
      <c r="B1750" s="6"/>
      <c r="C1750" s="6"/>
    </row>
    <row r="1751" s="1" customFormat="1" spans="1:3">
      <c r="A1751" s="6"/>
      <c r="B1751" s="6"/>
      <c r="C1751" s="6"/>
    </row>
    <row r="1752" s="1" customFormat="1" spans="1:3">
      <c r="A1752" s="6"/>
      <c r="B1752" s="6"/>
      <c r="C1752" s="6"/>
    </row>
    <row r="1753" s="1" customFormat="1" spans="1:3">
      <c r="A1753" s="6"/>
      <c r="B1753" s="6"/>
      <c r="C1753" s="6"/>
    </row>
    <row r="1754" s="1" customFormat="1" spans="1:3">
      <c r="A1754" s="6"/>
      <c r="B1754" s="6"/>
      <c r="C1754" s="6"/>
    </row>
    <row r="1755" s="1" customFormat="1" spans="1:3">
      <c r="A1755" s="6"/>
      <c r="B1755" s="6"/>
      <c r="C1755" s="6"/>
    </row>
    <row r="1756" s="1" customFormat="1" spans="1:3">
      <c r="A1756" s="6"/>
      <c r="B1756" s="6"/>
      <c r="C1756" s="6"/>
    </row>
    <row r="1757" s="1" customFormat="1" spans="1:3">
      <c r="A1757" s="6"/>
      <c r="B1757" s="6"/>
      <c r="C1757" s="6"/>
    </row>
    <row r="1758" s="1" customFormat="1" spans="1:3">
      <c r="A1758" s="6"/>
      <c r="B1758" s="6"/>
      <c r="C1758" s="6"/>
    </row>
    <row r="1759" s="1" customFormat="1" spans="1:3">
      <c r="A1759" s="6"/>
      <c r="B1759" s="6"/>
      <c r="C1759" s="6"/>
    </row>
    <row r="1760" s="1" customFormat="1" spans="1:3">
      <c r="A1760" s="6"/>
      <c r="B1760" s="6"/>
      <c r="C1760" s="6"/>
    </row>
    <row r="1761" s="1" customFormat="1" spans="1:3">
      <c r="A1761" s="6"/>
      <c r="B1761" s="6"/>
      <c r="C1761" s="6"/>
    </row>
    <row r="1762" s="1" customFormat="1" spans="1:3">
      <c r="A1762" s="6"/>
      <c r="B1762" s="6"/>
      <c r="C1762" s="6"/>
    </row>
    <row r="1763" s="1" customFormat="1" spans="1:3">
      <c r="A1763" s="6"/>
      <c r="B1763" s="6"/>
      <c r="C1763" s="6"/>
    </row>
    <row r="1764" s="1" customFormat="1" spans="1:3">
      <c r="A1764" s="6"/>
      <c r="B1764" s="6"/>
      <c r="C1764" s="6"/>
    </row>
    <row r="1765" s="1" customFormat="1" spans="1:3">
      <c r="A1765" s="6"/>
      <c r="B1765" s="6"/>
      <c r="C1765" s="6"/>
    </row>
    <row r="1766" s="1" customFormat="1" spans="1:3">
      <c r="A1766" s="6"/>
      <c r="B1766" s="6"/>
      <c r="C1766" s="6"/>
    </row>
    <row r="1767" s="1" customFormat="1" spans="1:3">
      <c r="A1767" s="6"/>
      <c r="B1767" s="6"/>
      <c r="C1767" s="6"/>
    </row>
    <row r="1768" s="1" customFormat="1" spans="1:3">
      <c r="A1768" s="6"/>
      <c r="B1768" s="6"/>
      <c r="C1768" s="6"/>
    </row>
    <row r="1769" s="1" customFormat="1" spans="1:3">
      <c r="A1769" s="6"/>
      <c r="B1769" s="6"/>
      <c r="C1769" s="6"/>
    </row>
    <row r="1770" s="1" customFormat="1" spans="1:3">
      <c r="A1770" s="6"/>
      <c r="B1770" s="6"/>
      <c r="C1770" s="6"/>
    </row>
    <row r="1771" s="1" customFormat="1" spans="1:3">
      <c r="A1771" s="6"/>
      <c r="B1771" s="6"/>
      <c r="C1771" s="6"/>
    </row>
    <row r="1772" s="1" customFormat="1" spans="1:3">
      <c r="A1772" s="6"/>
      <c r="B1772" s="6"/>
      <c r="C1772" s="6"/>
    </row>
    <row r="1773" s="1" customFormat="1" spans="1:3">
      <c r="A1773" s="6"/>
      <c r="B1773" s="6"/>
      <c r="C1773" s="6"/>
    </row>
    <row r="1774" s="1" customFormat="1" spans="1:3">
      <c r="A1774" s="6"/>
      <c r="B1774" s="6"/>
      <c r="C1774" s="6"/>
    </row>
    <row r="1775" s="1" customFormat="1" spans="1:3">
      <c r="A1775" s="6"/>
      <c r="B1775" s="6"/>
      <c r="C1775" s="6"/>
    </row>
    <row r="1776" s="1" customFormat="1" spans="1:3">
      <c r="A1776" s="6"/>
      <c r="B1776" s="6"/>
      <c r="C1776" s="6"/>
    </row>
    <row r="1777" s="1" customFormat="1" spans="1:3">
      <c r="A1777" s="6"/>
      <c r="B1777" s="6"/>
      <c r="C1777" s="6"/>
    </row>
    <row r="1778" s="1" customFormat="1" spans="1:3">
      <c r="A1778" s="6"/>
      <c r="B1778" s="6"/>
      <c r="C1778" s="6"/>
    </row>
    <row r="1779" s="1" customFormat="1" spans="1:3">
      <c r="A1779" s="6"/>
      <c r="B1779" s="6"/>
      <c r="C1779" s="6"/>
    </row>
    <row r="1780" s="1" customFormat="1" spans="1:3">
      <c r="A1780" s="6"/>
      <c r="B1780" s="6"/>
      <c r="C1780" s="6"/>
    </row>
    <row r="1781" s="1" customFormat="1" spans="1:3">
      <c r="A1781" s="6"/>
      <c r="B1781" s="6"/>
      <c r="C1781" s="6"/>
    </row>
    <row r="1782" s="1" customFormat="1" spans="1:3">
      <c r="A1782" s="6"/>
      <c r="B1782" s="6"/>
      <c r="C1782" s="6"/>
    </row>
    <row r="1783" s="1" customFormat="1" spans="1:3">
      <c r="A1783" s="6"/>
      <c r="B1783" s="6"/>
      <c r="C1783" s="6"/>
    </row>
    <row r="1784" s="1" customFormat="1" spans="1:3">
      <c r="A1784" s="6"/>
      <c r="B1784" s="6"/>
      <c r="C1784" s="6"/>
    </row>
    <row r="1785" s="1" customFormat="1" spans="1:3">
      <c r="A1785" s="6"/>
      <c r="B1785" s="6"/>
      <c r="C1785" s="6"/>
    </row>
    <row r="1786" s="1" customFormat="1" spans="1:3">
      <c r="A1786" s="6"/>
      <c r="B1786" s="6"/>
      <c r="C1786" s="6"/>
    </row>
    <row r="1787" s="1" customFormat="1" spans="1:3">
      <c r="A1787" s="6"/>
      <c r="B1787" s="6"/>
      <c r="C1787" s="6"/>
    </row>
    <row r="1788" s="1" customFormat="1" spans="1:3">
      <c r="A1788" s="6"/>
      <c r="B1788" s="6"/>
      <c r="C1788" s="6"/>
    </row>
    <row r="1789" s="1" customFormat="1" spans="1:3">
      <c r="A1789" s="6"/>
      <c r="B1789" s="6"/>
      <c r="C1789" s="6"/>
    </row>
    <row r="1790" s="1" customFormat="1" spans="1:3">
      <c r="A1790" s="6"/>
      <c r="B1790" s="6"/>
      <c r="C1790" s="6"/>
    </row>
    <row r="1791" s="1" customFormat="1" spans="1:3">
      <c r="A1791" s="6"/>
      <c r="B1791" s="6"/>
      <c r="C1791" s="6"/>
    </row>
    <row r="1792" s="1" customFormat="1" spans="1:3">
      <c r="A1792" s="6"/>
      <c r="B1792" s="6"/>
      <c r="C1792" s="6"/>
    </row>
    <row r="1793" s="1" customFormat="1" spans="1:3">
      <c r="A1793" s="6"/>
      <c r="B1793" s="6"/>
      <c r="C1793" s="6"/>
    </row>
    <row r="1794" s="1" customFormat="1" spans="1:3">
      <c r="A1794" s="6"/>
      <c r="B1794" s="6"/>
      <c r="C1794" s="6"/>
    </row>
    <row r="1795" s="1" customFormat="1" spans="1:3">
      <c r="A1795" s="6"/>
      <c r="B1795" s="6"/>
      <c r="C1795" s="6"/>
    </row>
    <row r="1796" s="1" customFormat="1" spans="1:3">
      <c r="A1796" s="6"/>
      <c r="B1796" s="6"/>
      <c r="C1796" s="6"/>
    </row>
    <row r="1797" s="1" customFormat="1" spans="1:3">
      <c r="A1797" s="6"/>
      <c r="B1797" s="6"/>
      <c r="C1797" s="6"/>
    </row>
    <row r="1798" s="1" customFormat="1" spans="1:3">
      <c r="A1798" s="6"/>
      <c r="B1798" s="6"/>
      <c r="C1798" s="6"/>
    </row>
    <row r="1799" s="1" customFormat="1" spans="1:3">
      <c r="A1799" s="6"/>
      <c r="B1799" s="6"/>
      <c r="C1799" s="6"/>
    </row>
    <row r="1800" s="1" customFormat="1" spans="1:3">
      <c r="A1800" s="6"/>
      <c r="B1800" s="6"/>
      <c r="C1800" s="6"/>
    </row>
    <row r="1801" s="1" customFormat="1" spans="1:3">
      <c r="A1801" s="6"/>
      <c r="B1801" s="6"/>
      <c r="C1801" s="6"/>
    </row>
    <row r="1802" s="1" customFormat="1" spans="1:3">
      <c r="A1802" s="6"/>
      <c r="B1802" s="6"/>
      <c r="C1802" s="6"/>
    </row>
    <row r="1803" s="1" customFormat="1" spans="1:3">
      <c r="A1803" s="6"/>
      <c r="B1803" s="6"/>
      <c r="C1803" s="6"/>
    </row>
    <row r="1804" s="1" customFormat="1" spans="1:3">
      <c r="A1804" s="6"/>
      <c r="B1804" s="6"/>
      <c r="C1804" s="6"/>
    </row>
    <row r="1805" s="1" customFormat="1" spans="1:3">
      <c r="A1805" s="6"/>
      <c r="B1805" s="6"/>
      <c r="C1805" s="6"/>
    </row>
    <row r="1806" s="1" customFormat="1" spans="1:3">
      <c r="A1806" s="6"/>
      <c r="B1806" s="6"/>
      <c r="C1806" s="6"/>
    </row>
    <row r="1807" s="1" customFormat="1" spans="1:3">
      <c r="A1807" s="6"/>
      <c r="B1807" s="6"/>
      <c r="C1807" s="6"/>
    </row>
    <row r="1808" s="1" customFormat="1" spans="1:3">
      <c r="A1808" s="6"/>
      <c r="B1808" s="6"/>
      <c r="C1808" s="6"/>
    </row>
    <row r="1809" s="1" customFormat="1" spans="1:3">
      <c r="A1809" s="6"/>
      <c r="B1809" s="6"/>
      <c r="C1809" s="6"/>
    </row>
    <row r="1810" s="1" customFormat="1" spans="1:3">
      <c r="A1810" s="6"/>
      <c r="B1810" s="6"/>
      <c r="C1810" s="6"/>
    </row>
    <row r="1811" s="1" customFormat="1" spans="1:3">
      <c r="A1811" s="6"/>
      <c r="B1811" s="6"/>
      <c r="C1811" s="6"/>
    </row>
    <row r="1812" s="1" customFormat="1" spans="1:3">
      <c r="A1812" s="6"/>
      <c r="B1812" s="6"/>
      <c r="C1812" s="6"/>
    </row>
    <row r="1813" s="1" customFormat="1" spans="1:3">
      <c r="A1813" s="6"/>
      <c r="B1813" s="6"/>
      <c r="C1813" s="6"/>
    </row>
    <row r="1814" s="1" customFormat="1" spans="1:3">
      <c r="A1814" s="6"/>
      <c r="B1814" s="6"/>
      <c r="C1814" s="6"/>
    </row>
    <row r="1815" s="1" customFormat="1" spans="1:3">
      <c r="A1815" s="6"/>
      <c r="B1815" s="6"/>
      <c r="C1815" s="6"/>
    </row>
    <row r="1816" s="1" customFormat="1" spans="1:3">
      <c r="A1816" s="6"/>
      <c r="B1816" s="6"/>
      <c r="C1816" s="6"/>
    </row>
    <row r="1817" s="1" customFormat="1" spans="1:3">
      <c r="A1817" s="6"/>
      <c r="B1817" s="6"/>
      <c r="C1817" s="6"/>
    </row>
    <row r="1818" s="1" customFormat="1" spans="1:3">
      <c r="A1818" s="6"/>
      <c r="B1818" s="6"/>
      <c r="C1818" s="6"/>
    </row>
    <row r="1819" s="1" customFormat="1" spans="1:3">
      <c r="A1819" s="6"/>
      <c r="B1819" s="6"/>
      <c r="C1819" s="6"/>
    </row>
    <row r="1820" s="1" customFormat="1" spans="1:3">
      <c r="A1820" s="6"/>
      <c r="B1820" s="6"/>
      <c r="C1820" s="6"/>
    </row>
    <row r="1821" s="1" customFormat="1" spans="1:3">
      <c r="A1821" s="6"/>
      <c r="B1821" s="6"/>
      <c r="C1821" s="6"/>
    </row>
    <row r="1822" s="1" customFormat="1" spans="1:3">
      <c r="A1822" s="6"/>
      <c r="B1822" s="6"/>
      <c r="C1822" s="6"/>
    </row>
    <row r="1823" s="1" customFormat="1" spans="1:3">
      <c r="A1823" s="6"/>
      <c r="B1823" s="6"/>
      <c r="C1823" s="6"/>
    </row>
    <row r="1824" s="1" customFormat="1" spans="1:3">
      <c r="A1824" s="6"/>
      <c r="B1824" s="6"/>
      <c r="C1824" s="6"/>
    </row>
    <row r="1825" s="1" customFormat="1" spans="1:3">
      <c r="A1825" s="6"/>
      <c r="B1825" s="6"/>
      <c r="C1825" s="6"/>
    </row>
    <row r="1826" s="1" customFormat="1" spans="1:3">
      <c r="A1826" s="6"/>
      <c r="B1826" s="6"/>
      <c r="C1826" s="6"/>
    </row>
    <row r="1827" s="1" customFormat="1" spans="1:3">
      <c r="A1827" s="6"/>
      <c r="B1827" s="6"/>
      <c r="C1827" s="6"/>
    </row>
    <row r="1828" s="1" customFormat="1" spans="1:3">
      <c r="A1828" s="6"/>
      <c r="B1828" s="6"/>
      <c r="C1828" s="6"/>
    </row>
    <row r="1829" s="1" customFormat="1" spans="1:3">
      <c r="A1829" s="6"/>
      <c r="B1829" s="6"/>
      <c r="C1829" s="6"/>
    </row>
    <row r="1830" s="1" customFormat="1" spans="1:3">
      <c r="A1830" s="6"/>
      <c r="B1830" s="6"/>
      <c r="C1830" s="6"/>
    </row>
    <row r="1831" s="1" customFormat="1" spans="1:3">
      <c r="A1831" s="6"/>
      <c r="B1831" s="6"/>
      <c r="C1831" s="6"/>
    </row>
    <row r="1832" s="1" customFormat="1" spans="1:3">
      <c r="A1832" s="6"/>
      <c r="B1832" s="6"/>
      <c r="C1832" s="6"/>
    </row>
    <row r="1833" s="1" customFormat="1" spans="1:3">
      <c r="A1833" s="6"/>
      <c r="B1833" s="6"/>
      <c r="C1833" s="6"/>
    </row>
    <row r="1834" s="1" customFormat="1" spans="1:3">
      <c r="A1834" s="6"/>
      <c r="B1834" s="6"/>
      <c r="C1834" s="6"/>
    </row>
    <row r="1835" s="1" customFormat="1" spans="1:3">
      <c r="A1835" s="6"/>
      <c r="B1835" s="6"/>
      <c r="C1835" s="6"/>
    </row>
    <row r="1836" s="1" customFormat="1" spans="1:3">
      <c r="A1836" s="6"/>
      <c r="B1836" s="6"/>
      <c r="C1836" s="6"/>
    </row>
    <row r="1837" s="1" customFormat="1" spans="1:3">
      <c r="A1837" s="6"/>
      <c r="B1837" s="6"/>
      <c r="C1837" s="6"/>
    </row>
    <row r="1838" s="1" customFormat="1" spans="1:3">
      <c r="A1838" s="6"/>
      <c r="B1838" s="6"/>
      <c r="C1838" s="6"/>
    </row>
    <row r="1839" s="1" customFormat="1" spans="1:3">
      <c r="A1839" s="6"/>
      <c r="B1839" s="6"/>
      <c r="C1839" s="6"/>
    </row>
    <row r="1840" s="1" customFormat="1" spans="1:3">
      <c r="A1840" s="6"/>
      <c r="B1840" s="6"/>
      <c r="C1840" s="6"/>
    </row>
    <row r="1841" s="1" customFormat="1" spans="1:3">
      <c r="A1841" s="6"/>
      <c r="B1841" s="6"/>
      <c r="C1841" s="6"/>
    </row>
    <row r="1842" s="1" customFormat="1" spans="1:3">
      <c r="A1842" s="6"/>
      <c r="B1842" s="6"/>
      <c r="C1842" s="6"/>
    </row>
    <row r="1843" s="1" customFormat="1" spans="1:3">
      <c r="A1843" s="6"/>
      <c r="B1843" s="6"/>
      <c r="C1843" s="6"/>
    </row>
    <row r="1844" s="1" customFormat="1" spans="1:3">
      <c r="A1844" s="6"/>
      <c r="B1844" s="6"/>
      <c r="C1844" s="6"/>
    </row>
    <row r="1845" s="1" customFormat="1" spans="1:3">
      <c r="A1845" s="6"/>
      <c r="B1845" s="6"/>
      <c r="C1845" s="6"/>
    </row>
    <row r="1846" s="1" customFormat="1" spans="1:3">
      <c r="A1846" s="6"/>
      <c r="B1846" s="6"/>
      <c r="C1846" s="6"/>
    </row>
    <row r="1847" s="1" customFormat="1" spans="1:3">
      <c r="A1847" s="6"/>
      <c r="B1847" s="6"/>
      <c r="C1847" s="6"/>
    </row>
    <row r="1848" s="1" customFormat="1" spans="1:3">
      <c r="A1848" s="6"/>
      <c r="B1848" s="6"/>
      <c r="C1848" s="6"/>
    </row>
    <row r="1849" s="1" customFormat="1" spans="1:3">
      <c r="A1849" s="6"/>
      <c r="B1849" s="6"/>
      <c r="C1849" s="6"/>
    </row>
    <row r="1850" s="1" customFormat="1" spans="1:3">
      <c r="A1850" s="6"/>
      <c r="B1850" s="6"/>
      <c r="C1850" s="6"/>
    </row>
    <row r="1851" s="1" customFormat="1" spans="1:3">
      <c r="A1851" s="6"/>
      <c r="B1851" s="6"/>
      <c r="C1851" s="6"/>
    </row>
    <row r="1852" s="1" customFormat="1" spans="1:3">
      <c r="A1852" s="6"/>
      <c r="B1852" s="6"/>
      <c r="C1852" s="6"/>
    </row>
    <row r="1853" s="1" customFormat="1" spans="1:3">
      <c r="A1853" s="6"/>
      <c r="B1853" s="6"/>
      <c r="C1853" s="6"/>
    </row>
    <row r="1854" s="1" customFormat="1" spans="1:3">
      <c r="A1854" s="6"/>
      <c r="B1854" s="6"/>
      <c r="C1854" s="6"/>
    </row>
    <row r="1855" s="1" customFormat="1" spans="1:3">
      <c r="A1855" s="6"/>
      <c r="B1855" s="6"/>
      <c r="C1855" s="6"/>
    </row>
    <row r="1856" s="1" customFormat="1" spans="1:3">
      <c r="A1856" s="6"/>
      <c r="B1856" s="6"/>
      <c r="C1856" s="6"/>
    </row>
    <row r="1857" s="1" customFormat="1" spans="1:3">
      <c r="A1857" s="6"/>
      <c r="B1857" s="6"/>
      <c r="C1857" s="6"/>
    </row>
    <row r="1858" s="1" customFormat="1" spans="1:3">
      <c r="A1858" s="6"/>
      <c r="B1858" s="6"/>
      <c r="C1858" s="6"/>
    </row>
    <row r="1859" s="1" customFormat="1" spans="1:3">
      <c r="A1859" s="6"/>
      <c r="B1859" s="6"/>
      <c r="C1859" s="6"/>
    </row>
    <row r="1860" s="1" customFormat="1" spans="1:3">
      <c r="A1860" s="6"/>
      <c r="B1860" s="6"/>
      <c r="C1860" s="6"/>
    </row>
    <row r="1861" s="1" customFormat="1" spans="1:3">
      <c r="A1861" s="6"/>
      <c r="B1861" s="6"/>
      <c r="C1861" s="6"/>
    </row>
    <row r="1862" s="1" customFormat="1" spans="1:3">
      <c r="A1862" s="6"/>
      <c r="B1862" s="6"/>
      <c r="C1862" s="6"/>
    </row>
    <row r="1863" s="1" customFormat="1" spans="1:3">
      <c r="A1863" s="6"/>
      <c r="B1863" s="6"/>
      <c r="C1863" s="6"/>
    </row>
    <row r="1864" s="1" customFormat="1" spans="1:3">
      <c r="A1864" s="6"/>
      <c r="B1864" s="6"/>
      <c r="C1864" s="6"/>
    </row>
    <row r="1865" s="1" customFormat="1" spans="1:3">
      <c r="A1865" s="6"/>
      <c r="B1865" s="6"/>
      <c r="C1865" s="6"/>
    </row>
    <row r="1866" s="1" customFormat="1" spans="1:3">
      <c r="A1866" s="6"/>
      <c r="B1866" s="6"/>
      <c r="C1866" s="6"/>
    </row>
    <row r="1867" s="1" customFormat="1" spans="1:3">
      <c r="A1867" s="6"/>
      <c r="B1867" s="6"/>
      <c r="C1867" s="6"/>
    </row>
    <row r="1868" s="1" customFormat="1" spans="1:3">
      <c r="A1868" s="6"/>
      <c r="B1868" s="6"/>
      <c r="C1868" s="6"/>
    </row>
    <row r="1869" s="1" customFormat="1" spans="1:3">
      <c r="A1869" s="6"/>
      <c r="B1869" s="6"/>
      <c r="C1869" s="6"/>
    </row>
    <row r="1870" s="1" customFormat="1" spans="1:3">
      <c r="A1870" s="6"/>
      <c r="B1870" s="6"/>
      <c r="C1870" s="6"/>
    </row>
    <row r="1871" s="1" customFormat="1" spans="1:3">
      <c r="A1871" s="6"/>
      <c r="B1871" s="6"/>
      <c r="C1871" s="6"/>
    </row>
    <row r="1872" s="1" customFormat="1" spans="1:3">
      <c r="A1872" s="6"/>
      <c r="B1872" s="6"/>
      <c r="C1872" s="6"/>
    </row>
    <row r="1873" s="1" customFormat="1" spans="1:3">
      <c r="A1873" s="6"/>
      <c r="B1873" s="6"/>
      <c r="C1873" s="6"/>
    </row>
    <row r="1874" s="1" customFormat="1" spans="1:3">
      <c r="A1874" s="6"/>
      <c r="B1874" s="6"/>
      <c r="C1874" s="6"/>
    </row>
    <row r="1875" s="1" customFormat="1" spans="1:3">
      <c r="A1875" s="6"/>
      <c r="B1875" s="6"/>
      <c r="C1875" s="6"/>
    </row>
    <row r="1876" s="1" customFormat="1" spans="1:3">
      <c r="A1876" s="6"/>
      <c r="B1876" s="6"/>
      <c r="C1876" s="6"/>
    </row>
    <row r="1877" s="1" customFormat="1" spans="1:3">
      <c r="A1877" s="6"/>
      <c r="B1877" s="6"/>
      <c r="C1877" s="6"/>
    </row>
    <row r="1878" s="1" customFormat="1" spans="1:3">
      <c r="A1878" s="6"/>
      <c r="B1878" s="6"/>
      <c r="C1878" s="6"/>
    </row>
    <row r="1879" s="1" customFormat="1" spans="1:3">
      <c r="A1879" s="6"/>
      <c r="B1879" s="6"/>
      <c r="C1879" s="6"/>
    </row>
    <row r="1880" s="1" customFormat="1" spans="1:3">
      <c r="A1880" s="6"/>
      <c r="B1880" s="6"/>
      <c r="C1880" s="6"/>
    </row>
    <row r="1881" s="1" customFormat="1" spans="1:3">
      <c r="A1881" s="6"/>
      <c r="B1881" s="6"/>
      <c r="C1881" s="6"/>
    </row>
    <row r="1882" s="1" customFormat="1" spans="1:3">
      <c r="A1882" s="6"/>
      <c r="B1882" s="6"/>
      <c r="C1882" s="6"/>
    </row>
    <row r="1883" s="1" customFormat="1" spans="1:3">
      <c r="A1883" s="6"/>
      <c r="B1883" s="6"/>
      <c r="C1883" s="6"/>
    </row>
    <row r="1884" s="1" customFormat="1" spans="1:3">
      <c r="A1884" s="6"/>
      <c r="B1884" s="6"/>
      <c r="C1884" s="6"/>
    </row>
    <row r="1885" s="1" customFormat="1" spans="1:3">
      <c r="A1885" s="6"/>
      <c r="B1885" s="6"/>
      <c r="C1885" s="6"/>
    </row>
    <row r="1886" s="1" customFormat="1" spans="1:3">
      <c r="A1886" s="6"/>
      <c r="B1886" s="6"/>
      <c r="C1886" s="6"/>
    </row>
    <row r="1887" s="1" customFormat="1" spans="1:3">
      <c r="A1887" s="6"/>
      <c r="B1887" s="6"/>
      <c r="C1887" s="6"/>
    </row>
    <row r="1888" s="1" customFormat="1" spans="1:3">
      <c r="A1888" s="6"/>
      <c r="B1888" s="6"/>
      <c r="C1888" s="6"/>
    </row>
    <row r="1889" s="1" customFormat="1" spans="1:3">
      <c r="A1889" s="6"/>
      <c r="B1889" s="6"/>
      <c r="C1889" s="6"/>
    </row>
    <row r="1890" s="1" customFormat="1" spans="1:3">
      <c r="A1890" s="6"/>
      <c r="B1890" s="6"/>
      <c r="C1890" s="6"/>
    </row>
    <row r="1891" s="1" customFormat="1" spans="1:3">
      <c r="A1891" s="6"/>
      <c r="B1891" s="6"/>
      <c r="C1891" s="6"/>
    </row>
    <row r="1892" s="1" customFormat="1" spans="1:3">
      <c r="A1892" s="6"/>
      <c r="B1892" s="6"/>
      <c r="C1892" s="6"/>
    </row>
    <row r="1893" s="1" customFormat="1" spans="1:3">
      <c r="A1893" s="6"/>
      <c r="B1893" s="6"/>
      <c r="C1893" s="6"/>
    </row>
    <row r="1894" s="1" customFormat="1" spans="1:3">
      <c r="A1894" s="6"/>
      <c r="B1894" s="6"/>
      <c r="C1894" s="6"/>
    </row>
    <row r="1895" s="1" customFormat="1" spans="1:3">
      <c r="A1895" s="6"/>
      <c r="B1895" s="6"/>
      <c r="C1895" s="6"/>
    </row>
    <row r="1896" s="1" customFormat="1" spans="1:3">
      <c r="A1896" s="6"/>
      <c r="B1896" s="6"/>
      <c r="C1896" s="6"/>
    </row>
    <row r="1897" s="1" customFormat="1" spans="1:3">
      <c r="A1897" s="6"/>
      <c r="B1897" s="6"/>
      <c r="C1897" s="6"/>
    </row>
    <row r="1898" s="1" customFormat="1" spans="1:3">
      <c r="A1898" s="6"/>
      <c r="B1898" s="6"/>
      <c r="C1898" s="6"/>
    </row>
    <row r="1899" s="1" customFormat="1" spans="1:3">
      <c r="A1899" s="6"/>
      <c r="B1899" s="6"/>
      <c r="C1899" s="6"/>
    </row>
    <row r="1900" s="1" customFormat="1" spans="1:3">
      <c r="A1900" s="6"/>
      <c r="B1900" s="6"/>
      <c r="C1900" s="6"/>
    </row>
    <row r="1901" s="1" customFormat="1" spans="1:3">
      <c r="A1901" s="6"/>
      <c r="B1901" s="6"/>
      <c r="C1901" s="6"/>
    </row>
    <row r="1902" s="1" customFormat="1" spans="1:3">
      <c r="A1902" s="6"/>
      <c r="B1902" s="6"/>
      <c r="C1902" s="6"/>
    </row>
    <row r="1903" s="1" customFormat="1" spans="1:3">
      <c r="A1903" s="6"/>
      <c r="B1903" s="6"/>
      <c r="C1903" s="6"/>
    </row>
    <row r="1904" s="1" customFormat="1" spans="1:3">
      <c r="A1904" s="6"/>
      <c r="B1904" s="6"/>
      <c r="C1904" s="6"/>
    </row>
    <row r="1905" s="1" customFormat="1" spans="1:3">
      <c r="A1905" s="6"/>
      <c r="B1905" s="6"/>
      <c r="C1905" s="6"/>
    </row>
    <row r="1906" s="1" customFormat="1" spans="1:3">
      <c r="A1906" s="6"/>
      <c r="B1906" s="6"/>
      <c r="C1906" s="6"/>
    </row>
    <row r="1907" s="1" customFormat="1" spans="1:3">
      <c r="A1907" s="6"/>
      <c r="B1907" s="6"/>
      <c r="C1907" s="6"/>
    </row>
    <row r="1908" s="1" customFormat="1" spans="1:3">
      <c r="A1908" s="6"/>
      <c r="B1908" s="6"/>
      <c r="C1908" s="6"/>
    </row>
    <row r="1909" s="1" customFormat="1" spans="1:3">
      <c r="A1909" s="6"/>
      <c r="B1909" s="6"/>
      <c r="C1909" s="6"/>
    </row>
    <row r="1910" s="1" customFormat="1" spans="1:3">
      <c r="A1910" s="6"/>
      <c r="B1910" s="6"/>
      <c r="C1910" s="6"/>
    </row>
    <row r="1911" s="1" customFormat="1" spans="1:3">
      <c r="A1911" s="6"/>
      <c r="B1911" s="6"/>
      <c r="C1911" s="6"/>
    </row>
    <row r="1912" s="1" customFormat="1" spans="1:3">
      <c r="A1912" s="6"/>
      <c r="B1912" s="6"/>
      <c r="C1912" s="6"/>
    </row>
    <row r="1913" s="1" customFormat="1" spans="1:3">
      <c r="A1913" s="6"/>
      <c r="B1913" s="6"/>
      <c r="C1913" s="6"/>
    </row>
    <row r="1914" s="1" customFormat="1" spans="1:3">
      <c r="A1914" s="6"/>
      <c r="B1914" s="6"/>
      <c r="C1914" s="6"/>
    </row>
    <row r="1915" s="1" customFormat="1" spans="1:3">
      <c r="A1915" s="6"/>
      <c r="B1915" s="6"/>
      <c r="C1915" s="6"/>
    </row>
    <row r="1916" s="1" customFormat="1" spans="1:3">
      <c r="A1916" s="6"/>
      <c r="B1916" s="6"/>
      <c r="C1916" s="6"/>
    </row>
    <row r="1917" s="1" customFormat="1" spans="1:3">
      <c r="A1917" s="6"/>
      <c r="B1917" s="6"/>
      <c r="C1917" s="6"/>
    </row>
    <row r="1918" s="1" customFormat="1" spans="1:3">
      <c r="A1918" s="6"/>
      <c r="B1918" s="6"/>
      <c r="C1918" s="6"/>
    </row>
    <row r="1919" s="1" customFormat="1" spans="1:3">
      <c r="A1919" s="6"/>
      <c r="B1919" s="6"/>
      <c r="C1919" s="6"/>
    </row>
    <row r="1920" s="1" customFormat="1" spans="1:3">
      <c r="A1920" s="6"/>
      <c r="B1920" s="6"/>
      <c r="C1920" s="6"/>
    </row>
    <row r="1921" s="1" customFormat="1" spans="1:3">
      <c r="A1921" s="6"/>
      <c r="B1921" s="6"/>
      <c r="C1921" s="6"/>
    </row>
    <row r="1922" s="1" customFormat="1" spans="1:3">
      <c r="A1922" s="6"/>
      <c r="B1922" s="6"/>
      <c r="C1922" s="6"/>
    </row>
    <row r="1923" s="1" customFormat="1" spans="1:3">
      <c r="A1923" s="6"/>
      <c r="B1923" s="6"/>
      <c r="C1923" s="6"/>
    </row>
    <row r="1924" s="1" customFormat="1" spans="1:3">
      <c r="A1924" s="6"/>
      <c r="B1924" s="6"/>
      <c r="C1924" s="6"/>
    </row>
    <row r="1925" s="1" customFormat="1" spans="1:3">
      <c r="A1925" s="6"/>
      <c r="B1925" s="6"/>
      <c r="C1925" s="6"/>
    </row>
    <row r="1926" s="1" customFormat="1" spans="1:3">
      <c r="A1926" s="6"/>
      <c r="B1926" s="6"/>
      <c r="C1926" s="6"/>
    </row>
    <row r="1927" s="1" customFormat="1" spans="1:3">
      <c r="A1927" s="6"/>
      <c r="B1927" s="6"/>
      <c r="C1927" s="6"/>
    </row>
    <row r="1928" s="1" customFormat="1" spans="1:3">
      <c r="A1928" s="6"/>
      <c r="B1928" s="6"/>
      <c r="C1928" s="6"/>
    </row>
    <row r="1929" s="1" customFormat="1" spans="1:3">
      <c r="A1929" s="6"/>
      <c r="B1929" s="6"/>
      <c r="C1929" s="6"/>
    </row>
    <row r="1930" s="1" customFormat="1" spans="1:3">
      <c r="A1930" s="6"/>
      <c r="B1930" s="6"/>
      <c r="C1930" s="6"/>
    </row>
    <row r="1931" s="1" customFormat="1" spans="1:3">
      <c r="A1931" s="6"/>
      <c r="B1931" s="6"/>
      <c r="C1931" s="6"/>
    </row>
    <row r="1932" s="1" customFormat="1" spans="1:3">
      <c r="A1932" s="6"/>
      <c r="B1932" s="6"/>
      <c r="C1932" s="6"/>
    </row>
    <row r="1933" s="1" customFormat="1" spans="1:3">
      <c r="A1933" s="6"/>
      <c r="B1933" s="6"/>
      <c r="C1933" s="6"/>
    </row>
    <row r="1934" s="1" customFormat="1" spans="1:3">
      <c r="A1934" s="6"/>
      <c r="B1934" s="6"/>
      <c r="C1934" s="6"/>
    </row>
    <row r="1935" s="1" customFormat="1" spans="1:3">
      <c r="A1935" s="6"/>
      <c r="B1935" s="6"/>
      <c r="C1935" s="6"/>
    </row>
    <row r="1936" s="1" customFormat="1" spans="1:3">
      <c r="A1936" s="6"/>
      <c r="B1936" s="6"/>
      <c r="C1936" s="6"/>
    </row>
    <row r="1937" s="1" customFormat="1" spans="1:3">
      <c r="A1937" s="6"/>
      <c r="B1937" s="6"/>
      <c r="C1937" s="6"/>
    </row>
    <row r="1938" s="1" customFormat="1" spans="1:3">
      <c r="A1938" s="6"/>
      <c r="B1938" s="6"/>
      <c r="C1938" s="6"/>
    </row>
    <row r="1939" s="1" customFormat="1" spans="1:3">
      <c r="A1939" s="6"/>
      <c r="B1939" s="6"/>
      <c r="C1939" s="6"/>
    </row>
    <row r="1940" s="1" customFormat="1" spans="1:3">
      <c r="A1940" s="6"/>
      <c r="B1940" s="6"/>
      <c r="C1940" s="6"/>
    </row>
    <row r="1941" s="1" customFormat="1" spans="1:3">
      <c r="A1941" s="6"/>
      <c r="B1941" s="6"/>
      <c r="C1941" s="6"/>
    </row>
    <row r="1942" s="1" customFormat="1" spans="1:3">
      <c r="A1942" s="6"/>
      <c r="B1942" s="6"/>
      <c r="C1942" s="6"/>
    </row>
    <row r="1943" s="1" customFormat="1" spans="1:3">
      <c r="A1943" s="6"/>
      <c r="B1943" s="6"/>
      <c r="C1943" s="6"/>
    </row>
    <row r="1944" s="1" customFormat="1" spans="1:3">
      <c r="A1944" s="6"/>
      <c r="B1944" s="6"/>
      <c r="C1944" s="6"/>
    </row>
    <row r="1945" s="1" customFormat="1" spans="1:3">
      <c r="A1945" s="6"/>
      <c r="B1945" s="6"/>
      <c r="C1945" s="6"/>
    </row>
    <row r="1946" s="1" customFormat="1" spans="1:3">
      <c r="A1946" s="6"/>
      <c r="B1946" s="6"/>
      <c r="C1946" s="6"/>
    </row>
    <row r="1947" s="1" customFormat="1" spans="1:3">
      <c r="A1947" s="6"/>
      <c r="B1947" s="6"/>
      <c r="C1947" s="6"/>
    </row>
    <row r="1948" s="1" customFormat="1" spans="1:3">
      <c r="A1948" s="6"/>
      <c r="B1948" s="6"/>
      <c r="C1948" s="6"/>
    </row>
    <row r="1949" s="1" customFormat="1" spans="1:3">
      <c r="A1949" s="6"/>
      <c r="B1949" s="6"/>
      <c r="C1949" s="6"/>
    </row>
    <row r="1950" s="1" customFormat="1" spans="1:3">
      <c r="A1950" s="6"/>
      <c r="B1950" s="6"/>
      <c r="C1950" s="6"/>
    </row>
    <row r="1951" s="1" customFormat="1" spans="1:3">
      <c r="A1951" s="6"/>
      <c r="B1951" s="6"/>
      <c r="C1951" s="6"/>
    </row>
    <row r="1952" s="1" customFormat="1" spans="1:3">
      <c r="A1952" s="6"/>
      <c r="B1952" s="6"/>
      <c r="C1952" s="6"/>
    </row>
    <row r="1953" s="1" customFormat="1" spans="1:3">
      <c r="A1953" s="6"/>
      <c r="B1953" s="6"/>
      <c r="C1953" s="6"/>
    </row>
    <row r="1954" s="1" customFormat="1" spans="1:3">
      <c r="A1954" s="6"/>
      <c r="B1954" s="6"/>
      <c r="C1954" s="6"/>
    </row>
    <row r="1955" s="1" customFormat="1" spans="1:3">
      <c r="A1955" s="6"/>
      <c r="B1955" s="6"/>
      <c r="C1955" s="6"/>
    </row>
    <row r="1956" s="1" customFormat="1" spans="1:3">
      <c r="A1956" s="6"/>
      <c r="B1956" s="6"/>
      <c r="C1956" s="6"/>
    </row>
    <row r="1957" s="1" customFormat="1" spans="1:3">
      <c r="A1957" s="6"/>
      <c r="B1957" s="6"/>
      <c r="C1957" s="6"/>
    </row>
    <row r="1958" s="1" customFormat="1" spans="1:3">
      <c r="A1958" s="6"/>
      <c r="B1958" s="6"/>
      <c r="C1958" s="6"/>
    </row>
    <row r="1959" s="1" customFormat="1" spans="1:3">
      <c r="A1959" s="6"/>
      <c r="B1959" s="6"/>
      <c r="C1959" s="6"/>
    </row>
    <row r="1960" s="1" customFormat="1" spans="1:3">
      <c r="A1960" s="6"/>
      <c r="B1960" s="6"/>
      <c r="C1960" s="6"/>
    </row>
    <row r="1961" s="1" customFormat="1" spans="1:3">
      <c r="A1961" s="6"/>
      <c r="B1961" s="6"/>
      <c r="C1961" s="6"/>
    </row>
    <row r="1962" s="1" customFormat="1" spans="1:3">
      <c r="A1962" s="6"/>
      <c r="B1962" s="6"/>
      <c r="C1962" s="6"/>
    </row>
    <row r="1963" s="1" customFormat="1" spans="1:3">
      <c r="A1963" s="6"/>
      <c r="B1963" s="6"/>
      <c r="C1963" s="6"/>
    </row>
    <row r="1964" s="1" customFormat="1" spans="1:3">
      <c r="A1964" s="6"/>
      <c r="B1964" s="6"/>
      <c r="C1964" s="6"/>
    </row>
    <row r="1965" s="1" customFormat="1" spans="1:3">
      <c r="A1965" s="6"/>
      <c r="B1965" s="6"/>
      <c r="C1965" s="6"/>
    </row>
    <row r="1966" s="1" customFormat="1" spans="1:3">
      <c r="A1966" s="6"/>
      <c r="B1966" s="6"/>
      <c r="C1966" s="6"/>
    </row>
    <row r="1967" s="1" customFormat="1" spans="1:3">
      <c r="A1967" s="6"/>
      <c r="B1967" s="6"/>
      <c r="C1967" s="6"/>
    </row>
    <row r="1968" s="1" customFormat="1" spans="1:3">
      <c r="A1968" s="6"/>
      <c r="B1968" s="6"/>
      <c r="C1968" s="6"/>
    </row>
    <row r="1969" s="1" customFormat="1" spans="1:3">
      <c r="A1969" s="6"/>
      <c r="B1969" s="6"/>
      <c r="C1969" s="6"/>
    </row>
    <row r="1970" s="1" customFormat="1" spans="1:3">
      <c r="A1970" s="6"/>
      <c r="B1970" s="6"/>
      <c r="C1970" s="6"/>
    </row>
    <row r="1971" s="1" customFormat="1" spans="1:3">
      <c r="A1971" s="6"/>
      <c r="B1971" s="6"/>
      <c r="C1971" s="6"/>
    </row>
    <row r="1972" s="1" customFormat="1" spans="1:3">
      <c r="A1972" s="6"/>
      <c r="B1972" s="6"/>
      <c r="C1972" s="6"/>
    </row>
    <row r="1973" s="1" customFormat="1" spans="1:3">
      <c r="A1973" s="6"/>
      <c r="B1973" s="6"/>
      <c r="C1973" s="6"/>
    </row>
    <row r="1974" s="1" customFormat="1" spans="1:3">
      <c r="A1974" s="6"/>
      <c r="B1974" s="6"/>
      <c r="C1974" s="6"/>
    </row>
    <row r="1975" s="1" customFormat="1" spans="1:3">
      <c r="A1975" s="6"/>
      <c r="B1975" s="6"/>
      <c r="C1975" s="6"/>
    </row>
    <row r="1976" s="1" customFormat="1" spans="1:3">
      <c r="A1976" s="6"/>
      <c r="B1976" s="6"/>
      <c r="C1976" s="6"/>
    </row>
    <row r="1977" s="1" customFormat="1" spans="1:3">
      <c r="A1977" s="6"/>
      <c r="B1977" s="6"/>
      <c r="C1977" s="6"/>
    </row>
    <row r="1978" s="1" customFormat="1" spans="1:3">
      <c r="A1978" s="6"/>
      <c r="B1978" s="6"/>
      <c r="C1978" s="6"/>
    </row>
    <row r="1979" s="1" customFormat="1" spans="1:3">
      <c r="A1979" s="6"/>
      <c r="B1979" s="6"/>
      <c r="C1979" s="6"/>
    </row>
    <row r="1980" s="1" customFormat="1" spans="1:3">
      <c r="A1980" s="6"/>
      <c r="B1980" s="6"/>
      <c r="C1980" s="6"/>
    </row>
    <row r="1981" s="1" customFormat="1" spans="1:3">
      <c r="A1981" s="6"/>
      <c r="B1981" s="6"/>
      <c r="C1981" s="6"/>
    </row>
    <row r="1982" s="1" customFormat="1" spans="1:3">
      <c r="A1982" s="6"/>
      <c r="B1982" s="6"/>
      <c r="C1982" s="6"/>
    </row>
    <row r="1983" s="1" customFormat="1" spans="1:3">
      <c r="A1983" s="6"/>
      <c r="B1983" s="6"/>
      <c r="C1983" s="6"/>
    </row>
    <row r="1984" s="1" customFormat="1" spans="1:3">
      <c r="A1984" s="6"/>
      <c r="B1984" s="6"/>
      <c r="C1984" s="6"/>
    </row>
    <row r="1985" s="1" customFormat="1" spans="1:3">
      <c r="A1985" s="6"/>
      <c r="B1985" s="6"/>
      <c r="C1985" s="6"/>
    </row>
    <row r="1986" s="1" customFormat="1" spans="1:3">
      <c r="A1986" s="6"/>
      <c r="B1986" s="6"/>
      <c r="C1986" s="6"/>
    </row>
    <row r="1987" s="1" customFormat="1" spans="1:3">
      <c r="A1987" s="6"/>
      <c r="B1987" s="6"/>
      <c r="C1987" s="6"/>
    </row>
    <row r="1988" s="1" customFormat="1" spans="1:3">
      <c r="A1988" s="6"/>
      <c r="B1988" s="6"/>
      <c r="C1988" s="6"/>
    </row>
    <row r="1989" s="1" customFormat="1" spans="1:3">
      <c r="A1989" s="6"/>
      <c r="B1989" s="6"/>
      <c r="C1989" s="6"/>
    </row>
    <row r="1990" s="1" customFormat="1" spans="1:3">
      <c r="A1990" s="6"/>
      <c r="B1990" s="6"/>
      <c r="C1990" s="6"/>
    </row>
    <row r="1991" s="1" customFormat="1" spans="1:3">
      <c r="A1991" s="6"/>
      <c r="B1991" s="6"/>
      <c r="C1991" s="6"/>
    </row>
    <row r="1992" s="1" customFormat="1" spans="1:3">
      <c r="A1992" s="6"/>
      <c r="B1992" s="6"/>
      <c r="C1992" s="6"/>
    </row>
    <row r="1993" s="1" customFormat="1" spans="1:3">
      <c r="A1993" s="6"/>
      <c r="B1993" s="6"/>
      <c r="C1993" s="6"/>
    </row>
    <row r="1994" s="1" customFormat="1" spans="1:3">
      <c r="A1994" s="6"/>
      <c r="B1994" s="6"/>
      <c r="C1994" s="6"/>
    </row>
    <row r="1995" s="1" customFormat="1" spans="1:3">
      <c r="A1995" s="6"/>
      <c r="B1995" s="6"/>
      <c r="C1995" s="6"/>
    </row>
    <row r="1996" s="1" customFormat="1" spans="1:3">
      <c r="A1996" s="6"/>
      <c r="B1996" s="6"/>
      <c r="C1996" s="6"/>
    </row>
    <row r="1997" s="1" customFormat="1" spans="1:3">
      <c r="A1997" s="6"/>
      <c r="B1997" s="6"/>
      <c r="C1997" s="6"/>
    </row>
    <row r="1998" s="1" customFormat="1" spans="1:3">
      <c r="A1998" s="6"/>
      <c r="B1998" s="6"/>
      <c r="C1998" s="6"/>
    </row>
    <row r="1999" s="1" customFormat="1" spans="1:3">
      <c r="A1999" s="6"/>
      <c r="B1999" s="6"/>
      <c r="C1999" s="6"/>
    </row>
    <row r="2000" s="1" customFormat="1" spans="1:3">
      <c r="A2000" s="6"/>
      <c r="B2000" s="6"/>
      <c r="C2000" s="6"/>
    </row>
    <row r="2001" s="1" customFormat="1" spans="1:3">
      <c r="A2001" s="6"/>
      <c r="B2001" s="6"/>
      <c r="C2001" s="6"/>
    </row>
    <row r="2002" s="1" customFormat="1" spans="1:3">
      <c r="A2002" s="6"/>
      <c r="B2002" s="6"/>
      <c r="C2002" s="6"/>
    </row>
    <row r="2003" s="1" customFormat="1" spans="1:3">
      <c r="A2003" s="6"/>
      <c r="B2003" s="6"/>
      <c r="C2003" s="6"/>
    </row>
    <row r="2004" s="1" customFormat="1" spans="1:3">
      <c r="A2004" s="6"/>
      <c r="B2004" s="6"/>
      <c r="C2004" s="6"/>
    </row>
    <row r="2005" s="1" customFormat="1" spans="1:3">
      <c r="A2005" s="6"/>
      <c r="B2005" s="6"/>
      <c r="C2005" s="6"/>
    </row>
    <row r="2006" s="1" customFormat="1" spans="1:3">
      <c r="A2006" s="6"/>
      <c r="B2006" s="6"/>
      <c r="C2006" s="6"/>
    </row>
    <row r="2007" s="1" customFormat="1" spans="1:3">
      <c r="A2007" s="6"/>
      <c r="B2007" s="6"/>
      <c r="C2007" s="6"/>
    </row>
    <row r="2008" s="1" customFormat="1" spans="1:3">
      <c r="A2008" s="6"/>
      <c r="B2008" s="6"/>
      <c r="C2008" s="6"/>
    </row>
    <row r="2009" s="1" customFormat="1" spans="1:3">
      <c r="A2009" s="6"/>
      <c r="B2009" s="6"/>
      <c r="C2009" s="6"/>
    </row>
    <row r="2010" s="1" customFormat="1" spans="1:3">
      <c r="A2010" s="6"/>
      <c r="B2010" s="6"/>
      <c r="C2010" s="6"/>
    </row>
    <row r="2011" s="1" customFormat="1" spans="1:3">
      <c r="A2011" s="6"/>
      <c r="B2011" s="6"/>
      <c r="C2011" s="6"/>
    </row>
    <row r="2012" s="1" customFormat="1" spans="1:3">
      <c r="A2012" s="6"/>
      <c r="B2012" s="6"/>
      <c r="C2012" s="6"/>
    </row>
    <row r="2013" s="1" customFormat="1" spans="1:3">
      <c r="A2013" s="6"/>
      <c r="B2013" s="6"/>
      <c r="C2013" s="6"/>
    </row>
    <row r="2014" s="1" customFormat="1" spans="1:3">
      <c r="A2014" s="6"/>
      <c r="B2014" s="6"/>
      <c r="C2014" s="6"/>
    </row>
    <row r="2015" s="1" customFormat="1" spans="1:3">
      <c r="A2015" s="6"/>
      <c r="B2015" s="6"/>
      <c r="C2015" s="6"/>
    </row>
    <row r="2016" s="1" customFormat="1" spans="1:3">
      <c r="A2016" s="6"/>
      <c r="B2016" s="6"/>
      <c r="C2016" s="6"/>
    </row>
    <row r="2017" s="1" customFormat="1" spans="1:3">
      <c r="A2017" s="6"/>
      <c r="B2017" s="6"/>
      <c r="C2017" s="6"/>
    </row>
    <row r="2018" s="1" customFormat="1" spans="1:3">
      <c r="A2018" s="6"/>
      <c r="B2018" s="6"/>
      <c r="C2018" s="6"/>
    </row>
    <row r="2019" s="1" customFormat="1" spans="1:3">
      <c r="A2019" s="6"/>
      <c r="B2019" s="6"/>
      <c r="C2019" s="6"/>
    </row>
    <row r="2020" s="1" customFormat="1" spans="1:3">
      <c r="A2020" s="6"/>
      <c r="B2020" s="6"/>
      <c r="C2020" s="6"/>
    </row>
    <row r="2021" s="1" customFormat="1" spans="1:3">
      <c r="A2021" s="6"/>
      <c r="B2021" s="6"/>
      <c r="C2021" s="6"/>
    </row>
    <row r="2022" s="1" customFormat="1" spans="1:3">
      <c r="A2022" s="6"/>
      <c r="B2022" s="6"/>
      <c r="C2022" s="6"/>
    </row>
    <row r="2023" s="1" customFormat="1" spans="1:3">
      <c r="A2023" s="6"/>
      <c r="B2023" s="6"/>
      <c r="C2023" s="6"/>
    </row>
    <row r="2024" s="1" customFormat="1" spans="1:3">
      <c r="A2024" s="6"/>
      <c r="B2024" s="6"/>
      <c r="C2024" s="6"/>
    </row>
    <row r="2025" s="1" customFormat="1" spans="1:3">
      <c r="A2025" s="6"/>
      <c r="B2025" s="6"/>
      <c r="C2025" s="6"/>
    </row>
    <row r="2026" s="1" customFormat="1" spans="1:3">
      <c r="A2026" s="6"/>
      <c r="B2026" s="6"/>
      <c r="C2026" s="6"/>
    </row>
    <row r="2027" s="1" customFormat="1" spans="1:3">
      <c r="A2027" s="6"/>
      <c r="B2027" s="6"/>
      <c r="C2027" s="6"/>
    </row>
    <row r="2028" s="1" customFormat="1" spans="1:3">
      <c r="A2028" s="6"/>
      <c r="B2028" s="6"/>
      <c r="C2028" s="6"/>
    </row>
    <row r="2029" s="1" customFormat="1" spans="1:3">
      <c r="A2029" s="6"/>
      <c r="B2029" s="6"/>
      <c r="C2029" s="6"/>
    </row>
    <row r="2030" s="1" customFormat="1" spans="1:3">
      <c r="A2030" s="6"/>
      <c r="B2030" s="6"/>
      <c r="C2030" s="6"/>
    </row>
    <row r="2031" s="1" customFormat="1" spans="1:3">
      <c r="A2031" s="6"/>
      <c r="B2031" s="6"/>
      <c r="C2031" s="6"/>
    </row>
    <row r="2032" s="1" customFormat="1" spans="1:3">
      <c r="A2032" s="6"/>
      <c r="B2032" s="6"/>
      <c r="C2032" s="6"/>
    </row>
    <row r="2033" s="1" customFormat="1" spans="1:3">
      <c r="A2033" s="6"/>
      <c r="B2033" s="6"/>
      <c r="C2033" s="6"/>
    </row>
    <row r="2034" s="1" customFormat="1" spans="1:3">
      <c r="A2034" s="6"/>
      <c r="B2034" s="6"/>
      <c r="C2034" s="6"/>
    </row>
    <row r="2035" s="1" customFormat="1" spans="1:3">
      <c r="A2035" s="6"/>
      <c r="B2035" s="6"/>
      <c r="C2035" s="6"/>
    </row>
    <row r="2036" s="1" customFormat="1" spans="1:3">
      <c r="A2036" s="6"/>
      <c r="B2036" s="6"/>
      <c r="C2036" s="6"/>
    </row>
    <row r="2037" s="1" customFormat="1" spans="1:3">
      <c r="A2037" s="6"/>
      <c r="B2037" s="6"/>
      <c r="C2037" s="6"/>
    </row>
    <row r="2038" s="1" customFormat="1" spans="1:3">
      <c r="A2038" s="6"/>
      <c r="B2038" s="6"/>
      <c r="C2038" s="6"/>
    </row>
    <row r="2039" s="1" customFormat="1" spans="1:3">
      <c r="A2039" s="6"/>
      <c r="B2039" s="6"/>
      <c r="C2039" s="6"/>
    </row>
    <row r="2040" s="1" customFormat="1" spans="1:3">
      <c r="A2040" s="6"/>
      <c r="B2040" s="6"/>
      <c r="C2040" s="6"/>
    </row>
    <row r="2041" s="1" customFormat="1" spans="1:3">
      <c r="A2041" s="6"/>
      <c r="B2041" s="6"/>
      <c r="C2041" s="6"/>
    </row>
    <row r="2042" s="1" customFormat="1" spans="1:3">
      <c r="A2042" s="6"/>
      <c r="B2042" s="6"/>
      <c r="C2042" s="6"/>
    </row>
    <row r="2043" s="1" customFormat="1" spans="1:3">
      <c r="A2043" s="6"/>
      <c r="B2043" s="6"/>
      <c r="C2043" s="6"/>
    </row>
    <row r="2044" s="1" customFormat="1" spans="1:3">
      <c r="A2044" s="6"/>
      <c r="B2044" s="6"/>
      <c r="C2044" s="6"/>
    </row>
    <row r="2045" s="1" customFormat="1" spans="1:3">
      <c r="A2045" s="6"/>
      <c r="B2045" s="6"/>
      <c r="C2045" s="6"/>
    </row>
    <row r="2046" s="1" customFormat="1" spans="1:3">
      <c r="A2046" s="6"/>
      <c r="B2046" s="6"/>
      <c r="C2046" s="6"/>
    </row>
    <row r="2047" s="1" customFormat="1" spans="1:3">
      <c r="A2047" s="6"/>
      <c r="B2047" s="6"/>
      <c r="C2047" s="6"/>
    </row>
    <row r="2048" s="1" customFormat="1" spans="1:3">
      <c r="A2048" s="6"/>
      <c r="B2048" s="6"/>
      <c r="C2048" s="6"/>
    </row>
    <row r="2049" s="1" customFormat="1" spans="1:3">
      <c r="A2049" s="6"/>
      <c r="B2049" s="6"/>
      <c r="C2049" s="6"/>
    </row>
    <row r="2050" s="1" customFormat="1" spans="1:3">
      <c r="A2050" s="6"/>
      <c r="B2050" s="6"/>
      <c r="C2050" s="6"/>
    </row>
    <row r="2051" s="1" customFormat="1" spans="1:3">
      <c r="A2051" s="6"/>
      <c r="B2051" s="6"/>
      <c r="C2051" s="6"/>
    </row>
    <row r="2052" s="1" customFormat="1" spans="1:3">
      <c r="A2052" s="6"/>
      <c r="B2052" s="6"/>
      <c r="C2052" s="6"/>
    </row>
    <row r="2053" s="1" customFormat="1" spans="1:3">
      <c r="A2053" s="6"/>
      <c r="B2053" s="6"/>
      <c r="C2053" s="6"/>
    </row>
    <row r="2054" s="1" customFormat="1" spans="1:3">
      <c r="A2054" s="6"/>
      <c r="B2054" s="6"/>
      <c r="C2054" s="6"/>
    </row>
    <row r="2055" s="1" customFormat="1" spans="1:3">
      <c r="A2055" s="6"/>
      <c r="B2055" s="6"/>
      <c r="C2055" s="6"/>
    </row>
    <row r="2056" s="1" customFormat="1" spans="1:3">
      <c r="A2056" s="6"/>
      <c r="B2056" s="6"/>
      <c r="C2056" s="6"/>
    </row>
    <row r="2057" s="1" customFormat="1" spans="1:3">
      <c r="A2057" s="6"/>
      <c r="B2057" s="6"/>
      <c r="C2057" s="6"/>
    </row>
    <row r="2058" s="1" customFormat="1" spans="1:3">
      <c r="A2058" s="6"/>
      <c r="B2058" s="6"/>
      <c r="C2058" s="6"/>
    </row>
    <row r="2059" s="1" customFormat="1" spans="1:3">
      <c r="A2059" s="6"/>
      <c r="B2059" s="6"/>
      <c r="C2059" s="6"/>
    </row>
    <row r="2060" s="1" customFormat="1" spans="1:3">
      <c r="A2060" s="6"/>
      <c r="B2060" s="6"/>
      <c r="C2060" s="6"/>
    </row>
    <row r="2061" s="1" customFormat="1" spans="1:3">
      <c r="A2061" s="6"/>
      <c r="B2061" s="6"/>
      <c r="C2061" s="6"/>
    </row>
    <row r="2062" s="1" customFormat="1" spans="1:3">
      <c r="A2062" s="6"/>
      <c r="B2062" s="6"/>
      <c r="C2062" s="6"/>
    </row>
    <row r="2063" s="1" customFormat="1" spans="1:3">
      <c r="A2063" s="6"/>
      <c r="B2063" s="6"/>
      <c r="C2063" s="6"/>
    </row>
    <row r="2064" s="1" customFormat="1" spans="1:3">
      <c r="A2064" s="6"/>
      <c r="B2064" s="6"/>
      <c r="C2064" s="6"/>
    </row>
    <row r="2065" s="1" customFormat="1" spans="1:3">
      <c r="A2065" s="6"/>
      <c r="B2065" s="6"/>
      <c r="C2065" s="6"/>
    </row>
    <row r="2066" s="1" customFormat="1" spans="1:3">
      <c r="A2066" s="6"/>
      <c r="B2066" s="6"/>
      <c r="C2066" s="6"/>
    </row>
    <row r="2067" s="1" customFormat="1" spans="1:3">
      <c r="A2067" s="6"/>
      <c r="B2067" s="6"/>
      <c r="C2067" s="6"/>
    </row>
    <row r="2068" s="1" customFormat="1" spans="1:3">
      <c r="A2068" s="6"/>
      <c r="B2068" s="6"/>
      <c r="C2068" s="6"/>
    </row>
    <row r="2069" s="1" customFormat="1" spans="1:3">
      <c r="A2069" s="6"/>
      <c r="B2069" s="6"/>
      <c r="C2069" s="6"/>
    </row>
    <row r="2070" s="1" customFormat="1" spans="1:3">
      <c r="A2070" s="6"/>
      <c r="B2070" s="6"/>
      <c r="C2070" s="6"/>
    </row>
    <row r="2071" s="1" customFormat="1" spans="1:3">
      <c r="A2071" s="6"/>
      <c r="B2071" s="6"/>
      <c r="C2071" s="6"/>
    </row>
    <row r="2072" s="1" customFormat="1" spans="1:3">
      <c r="A2072" s="6"/>
      <c r="B2072" s="6"/>
      <c r="C2072" s="6"/>
    </row>
    <row r="2073" s="1" customFormat="1" spans="1:3">
      <c r="A2073" s="6"/>
      <c r="B2073" s="6"/>
      <c r="C2073" s="6"/>
    </row>
    <row r="2074" s="1" customFormat="1" spans="1:3">
      <c r="A2074" s="6"/>
      <c r="B2074" s="6"/>
      <c r="C2074" s="6"/>
    </row>
    <row r="2075" s="1" customFormat="1" spans="1:3">
      <c r="A2075" s="6"/>
      <c r="B2075" s="6"/>
      <c r="C2075" s="6"/>
    </row>
    <row r="2076" s="1" customFormat="1" spans="1:3">
      <c r="A2076" s="6"/>
      <c r="B2076" s="6"/>
      <c r="C2076" s="6"/>
    </row>
    <row r="2077" s="1" customFormat="1" spans="1:3">
      <c r="A2077" s="6"/>
      <c r="B2077" s="6"/>
      <c r="C2077" s="6"/>
    </row>
    <row r="2078" s="1" customFormat="1" spans="1:3">
      <c r="A2078" s="6"/>
      <c r="B2078" s="6"/>
      <c r="C2078" s="6"/>
    </row>
    <row r="2079" s="1" customFormat="1" spans="1:3">
      <c r="A2079" s="6"/>
      <c r="B2079" s="6"/>
      <c r="C2079" s="6"/>
    </row>
    <row r="2080" s="1" customFormat="1" spans="1:3">
      <c r="A2080" s="6"/>
      <c r="B2080" s="6"/>
      <c r="C2080" s="6"/>
    </row>
    <row r="2081" s="1" customFormat="1" spans="1:3">
      <c r="A2081" s="6"/>
      <c r="B2081" s="6"/>
      <c r="C2081" s="6"/>
    </row>
    <row r="2082" s="1" customFormat="1" spans="1:3">
      <c r="A2082" s="6"/>
      <c r="B2082" s="6"/>
      <c r="C2082" s="6"/>
    </row>
    <row r="2083" s="1" customFormat="1" spans="1:3">
      <c r="A2083" s="6"/>
      <c r="B2083" s="6"/>
      <c r="C2083" s="6"/>
    </row>
    <row r="2084" s="1" customFormat="1" spans="1:3">
      <c r="A2084" s="6"/>
      <c r="B2084" s="6"/>
      <c r="C2084" s="6"/>
    </row>
    <row r="2085" s="1" customFormat="1" spans="1:3">
      <c r="A2085" s="6"/>
      <c r="B2085" s="6"/>
      <c r="C2085" s="6"/>
    </row>
    <row r="2086" s="1" customFormat="1" spans="1:3">
      <c r="A2086" s="6"/>
      <c r="B2086" s="6"/>
      <c r="C2086" s="6"/>
    </row>
    <row r="2087" s="1" customFormat="1" spans="1:3">
      <c r="A2087" s="6"/>
      <c r="B2087" s="6"/>
      <c r="C2087" s="6"/>
    </row>
    <row r="2088" s="1" customFormat="1" spans="1:3">
      <c r="A2088" s="6"/>
      <c r="B2088" s="6"/>
      <c r="C2088" s="6"/>
    </row>
    <row r="2089" s="1" customFormat="1" spans="1:3">
      <c r="A2089" s="6"/>
      <c r="B2089" s="6"/>
      <c r="C2089" s="6"/>
    </row>
    <row r="2090" s="1" customFormat="1" spans="1:3">
      <c r="A2090" s="6"/>
      <c r="B2090" s="6"/>
      <c r="C2090" s="6"/>
    </row>
    <row r="2091" s="1" customFormat="1" spans="1:3">
      <c r="A2091" s="6"/>
      <c r="B2091" s="6"/>
      <c r="C2091" s="6"/>
    </row>
    <row r="2092" s="1" customFormat="1" spans="1:3">
      <c r="A2092" s="6"/>
      <c r="B2092" s="6"/>
      <c r="C2092" s="6"/>
    </row>
    <row r="2093" s="1" customFormat="1" spans="1:3">
      <c r="A2093" s="6"/>
      <c r="B2093" s="6"/>
      <c r="C2093" s="6"/>
    </row>
    <row r="2094" s="1" customFormat="1" spans="1:3">
      <c r="A2094" s="6"/>
      <c r="B2094" s="6"/>
      <c r="C2094" s="6"/>
    </row>
    <row r="2095" s="1" customFormat="1" spans="1:3">
      <c r="A2095" s="6"/>
      <c r="B2095" s="6"/>
      <c r="C2095" s="6"/>
    </row>
    <row r="2096" s="1" customFormat="1" spans="1:3">
      <c r="A2096" s="6"/>
      <c r="B2096" s="6"/>
      <c r="C2096" s="6"/>
    </row>
    <row r="2097" s="1" customFormat="1" spans="1:3">
      <c r="A2097" s="6"/>
      <c r="B2097" s="6"/>
      <c r="C2097" s="6"/>
    </row>
    <row r="2098" s="1" customFormat="1" spans="1:3">
      <c r="A2098" s="6"/>
      <c r="B2098" s="6"/>
      <c r="C2098" s="6"/>
    </row>
    <row r="2099" s="1" customFormat="1" spans="1:3">
      <c r="A2099" s="6"/>
      <c r="B2099" s="6"/>
      <c r="C2099" s="6"/>
    </row>
    <row r="2100" s="1" customFormat="1" spans="1:3">
      <c r="A2100" s="6"/>
      <c r="B2100" s="6"/>
      <c r="C2100" s="6"/>
    </row>
    <row r="2101" s="1" customFormat="1" spans="1:3">
      <c r="A2101" s="6"/>
      <c r="B2101" s="6"/>
      <c r="C2101" s="6"/>
    </row>
    <row r="2102" s="1" customFormat="1" spans="1:3">
      <c r="A2102" s="6"/>
      <c r="B2102" s="6"/>
      <c r="C2102" s="6"/>
    </row>
    <row r="2103" s="1" customFormat="1" spans="1:3">
      <c r="A2103" s="6"/>
      <c r="B2103" s="6"/>
      <c r="C2103" s="6"/>
    </row>
    <row r="2104" s="1" customFormat="1" spans="1:3">
      <c r="A2104" s="6"/>
      <c r="B2104" s="6"/>
      <c r="C2104" s="6"/>
    </row>
    <row r="2105" s="1" customFormat="1" spans="1:3">
      <c r="A2105" s="6"/>
      <c r="B2105" s="6"/>
      <c r="C2105" s="6"/>
    </row>
    <row r="2106" s="1" customFormat="1" spans="1:3">
      <c r="A2106" s="6"/>
      <c r="B2106" s="6"/>
      <c r="C2106" s="6"/>
    </row>
    <row r="2107" s="1" customFormat="1" spans="1:3">
      <c r="A2107" s="6"/>
      <c r="B2107" s="6"/>
      <c r="C2107" s="6"/>
    </row>
    <row r="2108" s="1" customFormat="1" spans="1:3">
      <c r="A2108" s="6"/>
      <c r="B2108" s="6"/>
      <c r="C2108" s="6"/>
    </row>
    <row r="2109" s="1" customFormat="1" spans="1:3">
      <c r="A2109" s="6"/>
      <c r="B2109" s="6"/>
      <c r="C2109" s="6"/>
    </row>
    <row r="2110" s="1" customFormat="1" spans="1:3">
      <c r="A2110" s="6"/>
      <c r="B2110" s="6"/>
      <c r="C2110" s="6"/>
    </row>
    <row r="2111" s="1" customFormat="1" spans="1:3">
      <c r="A2111" s="6"/>
      <c r="B2111" s="6"/>
      <c r="C2111" s="6"/>
    </row>
    <row r="2112" s="1" customFormat="1" spans="1:3">
      <c r="A2112" s="6"/>
      <c r="B2112" s="6"/>
      <c r="C2112" s="6"/>
    </row>
    <row r="2113" s="1" customFormat="1" spans="1:3">
      <c r="A2113" s="6"/>
      <c r="B2113" s="6"/>
      <c r="C2113" s="6"/>
    </row>
    <row r="2114" s="1" customFormat="1" spans="1:3">
      <c r="A2114" s="6"/>
      <c r="B2114" s="6"/>
      <c r="C2114" s="6"/>
    </row>
    <row r="2115" s="1" customFormat="1" spans="1:3">
      <c r="A2115" s="6"/>
      <c r="B2115" s="6"/>
      <c r="C2115" s="6"/>
    </row>
    <row r="2116" s="1" customFormat="1" spans="1:3">
      <c r="A2116" s="6"/>
      <c r="B2116" s="6"/>
      <c r="C2116" s="6"/>
    </row>
    <row r="2117" s="1" customFormat="1" spans="1:3">
      <c r="A2117" s="6"/>
      <c r="B2117" s="6"/>
      <c r="C2117" s="6"/>
    </row>
    <row r="2118" s="1" customFormat="1" spans="1:3">
      <c r="A2118" s="6"/>
      <c r="B2118" s="6"/>
      <c r="C2118" s="6"/>
    </row>
    <row r="2119" s="1" customFormat="1" spans="1:3">
      <c r="A2119" s="6"/>
      <c r="B2119" s="6"/>
      <c r="C2119" s="6"/>
    </row>
    <row r="2120" s="1" customFormat="1" spans="1:3">
      <c r="A2120" s="6"/>
      <c r="B2120" s="6"/>
      <c r="C2120" s="6"/>
    </row>
    <row r="2121" s="1" customFormat="1" spans="1:3">
      <c r="A2121" s="6"/>
      <c r="B2121" s="6"/>
      <c r="C2121" s="6"/>
    </row>
    <row r="2122" s="1" customFormat="1" spans="1:3">
      <c r="A2122" s="6"/>
      <c r="B2122" s="6"/>
      <c r="C2122" s="6"/>
    </row>
    <row r="2123" s="1" customFormat="1" spans="1:3">
      <c r="A2123" s="6"/>
      <c r="B2123" s="6"/>
      <c r="C2123" s="6"/>
    </row>
    <row r="2124" s="1" customFormat="1" spans="1:3">
      <c r="A2124" s="6"/>
      <c r="B2124" s="6"/>
      <c r="C2124" s="6"/>
    </row>
    <row r="2125" s="1" customFormat="1" spans="1:3">
      <c r="A2125" s="6"/>
      <c r="B2125" s="6"/>
      <c r="C2125" s="6"/>
    </row>
    <row r="2126" s="1" customFormat="1" spans="1:3">
      <c r="A2126" s="6"/>
      <c r="B2126" s="6"/>
      <c r="C2126" s="6"/>
    </row>
    <row r="2127" s="1" customFormat="1" spans="1:3">
      <c r="A2127" s="6"/>
      <c r="B2127" s="6"/>
      <c r="C2127" s="6"/>
    </row>
    <row r="2128" s="1" customFormat="1" spans="1:3">
      <c r="A2128" s="6"/>
      <c r="B2128" s="6"/>
      <c r="C2128" s="6"/>
    </row>
    <row r="2129" s="1" customFormat="1" spans="1:3">
      <c r="A2129" s="6"/>
      <c r="B2129" s="6"/>
      <c r="C2129" s="6"/>
    </row>
    <row r="2130" s="1" customFormat="1" spans="1:3">
      <c r="A2130" s="6"/>
      <c r="B2130" s="6"/>
      <c r="C2130" s="6"/>
    </row>
    <row r="2131" s="1" customFormat="1" spans="1:3">
      <c r="A2131" s="6"/>
      <c r="B2131" s="6"/>
      <c r="C2131" s="6"/>
    </row>
    <row r="2132" s="1" customFormat="1" spans="1:3">
      <c r="A2132" s="6"/>
      <c r="B2132" s="6"/>
      <c r="C2132" s="6"/>
    </row>
    <row r="2133" s="1" customFormat="1" spans="1:3">
      <c r="A2133" s="6"/>
      <c r="B2133" s="6"/>
      <c r="C2133" s="6"/>
    </row>
    <row r="2134" s="1" customFormat="1" spans="1:3">
      <c r="A2134" s="6"/>
      <c r="B2134" s="6"/>
      <c r="C2134" s="6"/>
    </row>
    <row r="2135" s="1" customFormat="1" spans="1:3">
      <c r="A2135" s="6"/>
      <c r="B2135" s="6"/>
      <c r="C2135" s="6"/>
    </row>
    <row r="2136" s="1" customFormat="1" spans="1:3">
      <c r="A2136" s="6"/>
      <c r="B2136" s="6"/>
      <c r="C2136" s="6"/>
    </row>
    <row r="2137" s="1" customFormat="1" spans="1:3">
      <c r="A2137" s="6"/>
      <c r="B2137" s="6"/>
      <c r="C2137" s="6"/>
    </row>
    <row r="2138" s="1" customFormat="1" spans="1:3">
      <c r="A2138" s="6"/>
      <c r="B2138" s="6"/>
      <c r="C2138" s="6"/>
    </row>
    <row r="2139" s="1" customFormat="1" spans="1:3">
      <c r="A2139" s="6"/>
      <c r="B2139" s="6"/>
      <c r="C2139" s="6"/>
    </row>
    <row r="2140" s="1" customFormat="1" spans="1:3">
      <c r="A2140" s="6"/>
      <c r="B2140" s="6"/>
      <c r="C2140" s="6"/>
    </row>
    <row r="2141" s="1" customFormat="1" spans="1:3">
      <c r="A2141" s="6"/>
      <c r="B2141" s="6"/>
      <c r="C2141" s="6"/>
    </row>
    <row r="2142" s="1" customFormat="1" spans="1:3">
      <c r="A2142" s="6"/>
      <c r="B2142" s="6"/>
      <c r="C2142" s="6"/>
    </row>
    <row r="2143" s="1" customFormat="1" spans="1:3">
      <c r="A2143" s="6"/>
      <c r="B2143" s="6"/>
      <c r="C2143" s="6"/>
    </row>
    <row r="2144" s="1" customFormat="1" spans="1:3">
      <c r="A2144" s="6"/>
      <c r="B2144" s="6"/>
      <c r="C2144" s="6"/>
    </row>
    <row r="2145" s="1" customFormat="1" spans="1:3">
      <c r="A2145" s="6"/>
      <c r="B2145" s="6"/>
      <c r="C2145" s="6"/>
    </row>
    <row r="2146" s="1" customFormat="1" spans="1:3">
      <c r="A2146" s="6"/>
      <c r="B2146" s="6"/>
      <c r="C2146" s="6"/>
    </row>
    <row r="2147" s="1" customFormat="1" spans="1:3">
      <c r="A2147" s="6"/>
      <c r="B2147" s="6"/>
      <c r="C2147" s="6"/>
    </row>
    <row r="2148" s="1" customFormat="1" spans="1:3">
      <c r="A2148" s="6"/>
      <c r="B2148" s="6"/>
      <c r="C2148" s="6"/>
    </row>
    <row r="2149" s="1" customFormat="1" spans="1:3">
      <c r="A2149" s="6"/>
      <c r="B2149" s="6"/>
      <c r="C2149" s="6"/>
    </row>
    <row r="2150" s="1" customFormat="1" spans="1:3">
      <c r="A2150" s="6"/>
      <c r="B2150" s="6"/>
      <c r="C2150" s="6"/>
    </row>
    <row r="2151" s="1" customFormat="1" spans="1:3">
      <c r="A2151" s="6"/>
      <c r="B2151" s="6"/>
      <c r="C2151" s="6"/>
    </row>
    <row r="2152" s="1" customFormat="1" spans="1:3">
      <c r="A2152" s="6"/>
      <c r="B2152" s="6"/>
      <c r="C2152" s="6"/>
    </row>
    <row r="2153" s="1" customFormat="1" spans="1:3">
      <c r="A2153" s="6"/>
      <c r="B2153" s="6"/>
      <c r="C2153" s="6"/>
    </row>
    <row r="2154" s="1" customFormat="1" spans="1:3">
      <c r="A2154" s="6"/>
      <c r="B2154" s="6"/>
      <c r="C2154" s="6"/>
    </row>
    <row r="2155" s="1" customFormat="1" spans="1:3">
      <c r="A2155" s="6"/>
      <c r="B2155" s="6"/>
      <c r="C2155" s="6"/>
    </row>
    <row r="2156" s="1" customFormat="1" spans="1:3">
      <c r="A2156" s="6"/>
      <c r="B2156" s="6"/>
      <c r="C2156" s="6"/>
    </row>
    <row r="2157" s="1" customFormat="1" spans="1:3">
      <c r="A2157" s="6"/>
      <c r="B2157" s="6"/>
      <c r="C2157" s="6"/>
    </row>
    <row r="2158" s="1" customFormat="1" spans="1:3">
      <c r="A2158" s="6"/>
      <c r="B2158" s="6"/>
      <c r="C2158" s="6"/>
    </row>
    <row r="2159" s="1" customFormat="1" spans="1:3">
      <c r="A2159" s="6"/>
      <c r="B2159" s="6"/>
      <c r="C2159" s="6"/>
    </row>
    <row r="2160" s="1" customFormat="1" spans="1:3">
      <c r="A2160" s="6"/>
      <c r="B2160" s="6"/>
      <c r="C2160" s="6"/>
    </row>
    <row r="2161" s="1" customFormat="1" spans="1:3">
      <c r="A2161" s="6"/>
      <c r="B2161" s="6"/>
      <c r="C2161" s="6"/>
    </row>
    <row r="2162" s="1" customFormat="1" spans="1:3">
      <c r="A2162" s="6"/>
      <c r="B2162" s="6"/>
      <c r="C2162" s="6"/>
    </row>
    <row r="2163" s="1" customFormat="1" spans="1:3">
      <c r="A2163" s="6"/>
      <c r="B2163" s="6"/>
      <c r="C2163" s="6"/>
    </row>
    <row r="2164" s="1" customFormat="1" spans="1:3">
      <c r="A2164" s="6"/>
      <c r="B2164" s="6"/>
      <c r="C2164" s="6"/>
    </row>
    <row r="2165" s="1" customFormat="1" spans="1:3">
      <c r="A2165" s="6"/>
      <c r="B2165" s="6"/>
      <c r="C2165" s="6"/>
    </row>
    <row r="2166" s="1" customFormat="1" spans="1:3">
      <c r="A2166" s="6"/>
      <c r="B2166" s="6"/>
      <c r="C2166" s="6"/>
    </row>
    <row r="2167" s="1" customFormat="1" spans="1:3">
      <c r="A2167" s="6"/>
      <c r="B2167" s="6"/>
      <c r="C2167" s="6"/>
    </row>
    <row r="2168" s="1" customFormat="1" spans="1:3">
      <c r="A2168" s="6"/>
      <c r="B2168" s="6"/>
      <c r="C2168" s="6"/>
    </row>
    <row r="2169" s="1" customFormat="1" spans="1:3">
      <c r="A2169" s="6"/>
      <c r="B2169" s="6"/>
      <c r="C2169" s="6"/>
    </row>
    <row r="2170" s="1" customFormat="1" spans="1:3">
      <c r="A2170" s="6"/>
      <c r="B2170" s="6"/>
      <c r="C2170" s="6"/>
    </row>
    <row r="2171" s="1" customFormat="1" spans="1:3">
      <c r="A2171" s="6"/>
      <c r="B2171" s="6"/>
      <c r="C2171" s="6"/>
    </row>
    <row r="2172" s="1" customFormat="1" spans="1:3">
      <c r="A2172" s="6"/>
      <c r="B2172" s="6"/>
      <c r="C2172" s="6"/>
    </row>
    <row r="2173" s="1" customFormat="1" spans="1:3">
      <c r="A2173" s="6"/>
      <c r="B2173" s="6"/>
      <c r="C2173" s="6"/>
    </row>
    <row r="2174" s="1" customFormat="1" spans="1:3">
      <c r="A2174" s="6"/>
      <c r="B2174" s="6"/>
      <c r="C2174" s="6"/>
    </row>
    <row r="2175" s="1" customFormat="1" spans="1:3">
      <c r="A2175" s="6"/>
      <c r="B2175" s="6"/>
      <c r="C2175" s="6"/>
    </row>
    <row r="2176" s="1" customFormat="1" spans="1:3">
      <c r="A2176" s="6"/>
      <c r="B2176" s="6"/>
      <c r="C2176" s="6"/>
    </row>
    <row r="2177" s="1" customFormat="1" spans="1:3">
      <c r="A2177" s="6"/>
      <c r="B2177" s="6"/>
      <c r="C2177" s="6"/>
    </row>
    <row r="2178" s="1" customFormat="1" spans="1:3">
      <c r="A2178" s="6"/>
      <c r="B2178" s="6"/>
      <c r="C2178" s="6"/>
    </row>
    <row r="2179" s="1" customFormat="1" spans="1:3">
      <c r="A2179" s="6"/>
      <c r="B2179" s="6"/>
      <c r="C2179" s="6"/>
    </row>
    <row r="2180" s="1" customFormat="1" spans="1:3">
      <c r="A2180" s="6"/>
      <c r="B2180" s="6"/>
      <c r="C2180" s="6"/>
    </row>
    <row r="2181" s="1" customFormat="1" spans="1:3">
      <c r="A2181" s="6"/>
      <c r="B2181" s="6"/>
      <c r="C2181" s="6"/>
    </row>
    <row r="2182" s="1" customFormat="1" spans="1:3">
      <c r="A2182" s="6"/>
      <c r="B2182" s="6"/>
      <c r="C2182" s="6"/>
    </row>
    <row r="2183" s="1" customFormat="1" spans="1:3">
      <c r="A2183" s="6"/>
      <c r="B2183" s="6"/>
      <c r="C2183" s="6"/>
    </row>
    <row r="2184" s="1" customFormat="1" spans="1:3">
      <c r="A2184" s="6"/>
      <c r="B2184" s="6"/>
      <c r="C2184" s="6"/>
    </row>
    <row r="2185" s="1" customFormat="1" spans="1:3">
      <c r="A2185" s="6"/>
      <c r="B2185" s="6"/>
      <c r="C2185" s="6"/>
    </row>
    <row r="2186" s="1" customFormat="1" spans="1:3">
      <c r="A2186" s="6"/>
      <c r="B2186" s="6"/>
      <c r="C2186" s="6"/>
    </row>
    <row r="2187" s="1" customFormat="1" spans="1:3">
      <c r="A2187" s="6"/>
      <c r="B2187" s="6"/>
      <c r="C2187" s="6"/>
    </row>
    <row r="2188" s="1" customFormat="1" spans="1:3">
      <c r="A2188" s="6"/>
      <c r="B2188" s="6"/>
      <c r="C2188" s="6"/>
    </row>
    <row r="2189" s="1" customFormat="1" spans="1:3">
      <c r="A2189" s="6"/>
      <c r="B2189" s="6"/>
      <c r="C2189" s="6"/>
    </row>
    <row r="2190" s="1" customFormat="1" spans="1:3">
      <c r="A2190" s="6"/>
      <c r="B2190" s="6"/>
      <c r="C2190" s="6"/>
    </row>
    <row r="2191" s="1" customFormat="1" spans="1:3">
      <c r="A2191" s="6"/>
      <c r="B2191" s="6"/>
      <c r="C2191" s="6"/>
    </row>
    <row r="2192" s="1" customFormat="1" spans="1:3">
      <c r="A2192" s="6"/>
      <c r="B2192" s="6"/>
      <c r="C2192" s="6"/>
    </row>
    <row r="2193" s="1" customFormat="1" spans="1:3">
      <c r="A2193" s="6"/>
      <c r="B2193" s="6"/>
      <c r="C2193" s="6"/>
    </row>
    <row r="2194" s="1" customFormat="1" spans="1:3">
      <c r="A2194" s="6"/>
      <c r="B2194" s="6"/>
      <c r="C2194" s="6"/>
    </row>
    <row r="2195" s="1" customFormat="1" spans="1:3">
      <c r="A2195" s="6"/>
      <c r="B2195" s="6"/>
      <c r="C2195" s="6"/>
    </row>
    <row r="2196" s="1" customFormat="1" spans="1:3">
      <c r="A2196" s="6"/>
      <c r="B2196" s="6"/>
      <c r="C2196" s="6"/>
    </row>
    <row r="2197" s="1" customFormat="1" spans="1:3">
      <c r="A2197" s="6"/>
      <c r="B2197" s="6"/>
      <c r="C2197" s="6"/>
    </row>
    <row r="2198" s="1" customFormat="1" spans="1:3">
      <c r="A2198" s="6"/>
      <c r="B2198" s="6"/>
      <c r="C2198" s="6"/>
    </row>
    <row r="2199" s="1" customFormat="1" spans="1:3">
      <c r="A2199" s="6"/>
      <c r="B2199" s="6"/>
      <c r="C2199" s="6"/>
    </row>
    <row r="2200" s="1" customFormat="1" spans="1:3">
      <c r="A2200" s="6"/>
      <c r="B2200" s="6"/>
      <c r="C2200" s="6"/>
    </row>
    <row r="2201" s="1" customFormat="1" spans="1:3">
      <c r="A2201" s="6"/>
      <c r="B2201" s="6"/>
      <c r="C2201" s="6"/>
    </row>
    <row r="2202" s="1" customFormat="1" spans="1:3">
      <c r="A2202" s="6"/>
      <c r="B2202" s="6"/>
      <c r="C2202" s="6"/>
    </row>
    <row r="2203" s="1" customFormat="1" spans="1:3">
      <c r="A2203" s="6"/>
      <c r="B2203" s="6"/>
      <c r="C2203" s="6"/>
    </row>
    <row r="2204" s="1" customFormat="1" spans="1:3">
      <c r="A2204" s="6"/>
      <c r="B2204" s="6"/>
      <c r="C2204" s="6"/>
    </row>
    <row r="2205" s="1" customFormat="1" spans="1:3">
      <c r="A2205" s="6"/>
      <c r="B2205" s="6"/>
      <c r="C2205" s="6"/>
    </row>
    <row r="2206" s="1" customFormat="1" spans="1:3">
      <c r="A2206" s="6"/>
      <c r="B2206" s="6"/>
      <c r="C2206" s="6"/>
    </row>
    <row r="2207" s="1" customFormat="1" spans="1:3">
      <c r="A2207" s="6"/>
      <c r="B2207" s="6"/>
      <c r="C2207" s="6"/>
    </row>
    <row r="2208" s="1" customFormat="1" spans="1:3">
      <c r="A2208" s="6"/>
      <c r="B2208" s="6"/>
      <c r="C2208" s="6"/>
    </row>
    <row r="2209" s="1" customFormat="1" spans="1:3">
      <c r="A2209" s="6"/>
      <c r="B2209" s="6"/>
      <c r="C2209" s="6"/>
    </row>
    <row r="2210" s="1" customFormat="1" spans="1:3">
      <c r="A2210" s="6"/>
      <c r="B2210" s="6"/>
      <c r="C2210" s="6"/>
    </row>
    <row r="2211" s="1" customFormat="1" spans="1:3">
      <c r="A2211" s="6"/>
      <c r="B2211" s="6"/>
      <c r="C2211" s="6"/>
    </row>
    <row r="2212" s="1" customFormat="1" spans="1:3">
      <c r="A2212" s="6"/>
      <c r="B2212" s="6"/>
      <c r="C2212" s="6"/>
    </row>
    <row r="2213" s="1" customFormat="1" spans="1:3">
      <c r="A2213" s="6"/>
      <c r="B2213" s="6"/>
      <c r="C2213" s="6"/>
    </row>
    <row r="2214" s="1" customFormat="1" spans="1:3">
      <c r="A2214" s="6"/>
      <c r="B2214" s="6"/>
      <c r="C2214" s="6"/>
    </row>
    <row r="2215" s="1" customFormat="1" spans="1:3">
      <c r="A2215" s="6"/>
      <c r="B2215" s="6"/>
      <c r="C2215" s="6"/>
    </row>
    <row r="2216" s="1" customFormat="1" spans="1:3">
      <c r="A2216" s="6"/>
      <c r="B2216" s="6"/>
      <c r="C2216" s="6"/>
    </row>
    <row r="2217" s="1" customFormat="1" spans="1:3">
      <c r="A2217" s="6"/>
      <c r="B2217" s="6"/>
      <c r="C2217" s="6"/>
    </row>
    <row r="2218" s="1" customFormat="1" spans="1:3">
      <c r="A2218" s="6"/>
      <c r="B2218" s="6"/>
      <c r="C2218" s="6"/>
    </row>
    <row r="2219" s="1" customFormat="1" spans="1:3">
      <c r="A2219" s="6"/>
      <c r="B2219" s="6"/>
      <c r="C2219" s="6"/>
    </row>
    <row r="2220" s="1" customFormat="1" spans="1:3">
      <c r="A2220" s="6"/>
      <c r="B2220" s="6"/>
      <c r="C2220" s="6"/>
    </row>
    <row r="2221" s="1" customFormat="1" spans="1:3">
      <c r="A2221" s="6"/>
      <c r="B2221" s="6"/>
      <c r="C2221" s="6"/>
    </row>
    <row r="2222" s="1" customFormat="1" spans="1:3">
      <c r="A2222" s="6"/>
      <c r="B2222" s="6"/>
      <c r="C2222" s="6"/>
    </row>
    <row r="2223" s="1" customFormat="1" spans="1:3">
      <c r="A2223" s="6"/>
      <c r="B2223" s="6"/>
      <c r="C2223" s="6"/>
    </row>
    <row r="2224" s="1" customFormat="1" spans="1:3">
      <c r="A2224" s="6"/>
      <c r="B2224" s="6"/>
      <c r="C2224" s="6"/>
    </row>
    <row r="2225" s="1" customFormat="1" spans="1:3">
      <c r="A2225" s="6"/>
      <c r="B2225" s="6"/>
      <c r="C2225" s="6"/>
    </row>
    <row r="2226" s="1" customFormat="1" spans="1:3">
      <c r="A2226" s="6"/>
      <c r="B2226" s="6"/>
      <c r="C2226" s="6"/>
    </row>
    <row r="2227" s="1" customFormat="1" spans="1:3">
      <c r="A2227" s="6"/>
      <c r="B2227" s="6"/>
      <c r="C2227" s="6"/>
    </row>
    <row r="2228" s="1" customFormat="1" spans="1:3">
      <c r="A2228" s="6"/>
      <c r="B2228" s="6"/>
      <c r="C2228" s="6"/>
    </row>
    <row r="2229" s="1" customFormat="1" spans="1:3">
      <c r="A2229" s="6"/>
      <c r="B2229" s="6"/>
      <c r="C2229" s="6"/>
    </row>
    <row r="2230" s="1" customFormat="1" spans="1:3">
      <c r="A2230" s="6"/>
      <c r="B2230" s="6"/>
      <c r="C2230" s="6"/>
    </row>
    <row r="2231" s="1" customFormat="1" spans="1:3">
      <c r="A2231" s="6"/>
      <c r="B2231" s="6"/>
      <c r="C2231" s="6"/>
    </row>
    <row r="2232" s="1" customFormat="1" spans="1:3">
      <c r="A2232" s="6"/>
      <c r="B2232" s="6"/>
      <c r="C2232" s="6"/>
    </row>
    <row r="2233" s="1" customFormat="1" spans="1:3">
      <c r="A2233" s="6"/>
      <c r="B2233" s="6"/>
      <c r="C2233" s="6"/>
    </row>
    <row r="2234" s="1" customFormat="1" spans="1:3">
      <c r="A2234" s="6"/>
      <c r="B2234" s="6"/>
      <c r="C2234" s="6"/>
    </row>
    <row r="2235" s="1" customFormat="1" spans="1:3">
      <c r="A2235" s="6"/>
      <c r="B2235" s="6"/>
      <c r="C2235" s="6"/>
    </row>
    <row r="2236" s="1" customFormat="1" spans="1:3">
      <c r="A2236" s="6"/>
      <c r="B2236" s="6"/>
      <c r="C2236" s="6"/>
    </row>
    <row r="2237" s="1" customFormat="1" spans="1:3">
      <c r="A2237" s="6"/>
      <c r="B2237" s="6"/>
      <c r="C2237" s="6"/>
    </row>
    <row r="2238" s="1" customFormat="1" spans="1:3">
      <c r="A2238" s="6"/>
      <c r="B2238" s="6"/>
      <c r="C2238" s="6"/>
    </row>
    <row r="2239" s="1" customFormat="1" spans="1:3">
      <c r="A2239" s="6"/>
      <c r="B2239" s="6"/>
      <c r="C2239" s="6"/>
    </row>
    <row r="2240" s="1" customFormat="1" spans="1:3">
      <c r="A2240" s="6"/>
      <c r="B2240" s="6"/>
      <c r="C2240" s="6"/>
    </row>
    <row r="2241" s="1" customFormat="1" spans="1:3">
      <c r="A2241" s="6"/>
      <c r="B2241" s="6"/>
      <c r="C2241" s="6"/>
    </row>
    <row r="2242" s="1" customFormat="1" spans="1:3">
      <c r="A2242" s="6"/>
      <c r="B2242" s="6"/>
      <c r="C2242" s="6"/>
    </row>
    <row r="2243" s="1" customFormat="1" spans="1:3">
      <c r="A2243" s="6"/>
      <c r="B2243" s="6"/>
      <c r="C2243" s="6"/>
    </row>
    <row r="2244" s="1" customFormat="1" spans="1:3">
      <c r="A2244" s="6"/>
      <c r="B2244" s="6"/>
      <c r="C2244" s="6"/>
    </row>
    <row r="2245" s="1" customFormat="1" spans="1:3">
      <c r="A2245" s="6"/>
      <c r="B2245" s="6"/>
      <c r="C2245" s="6"/>
    </row>
    <row r="2246" s="1" customFormat="1" spans="1:3">
      <c r="A2246" s="6"/>
      <c r="B2246" s="6"/>
      <c r="C2246" s="6"/>
    </row>
    <row r="2247" s="1" customFormat="1" spans="1:3">
      <c r="A2247" s="6"/>
      <c r="B2247" s="6"/>
      <c r="C2247" s="6"/>
    </row>
    <row r="2248" s="1" customFormat="1" spans="1:3">
      <c r="A2248" s="6"/>
      <c r="B2248" s="6"/>
      <c r="C2248" s="6"/>
    </row>
    <row r="2249" s="1" customFormat="1" spans="1:3">
      <c r="A2249" s="6"/>
      <c r="B2249" s="6"/>
      <c r="C2249" s="6"/>
    </row>
    <row r="2250" s="1" customFormat="1" spans="1:3">
      <c r="A2250" s="6"/>
      <c r="B2250" s="6"/>
      <c r="C2250" s="6"/>
    </row>
    <row r="2251" s="1" customFormat="1" spans="1:3">
      <c r="A2251" s="6"/>
      <c r="B2251" s="6"/>
      <c r="C2251" s="6"/>
    </row>
    <row r="2252" s="1" customFormat="1" spans="1:3">
      <c r="A2252" s="6"/>
      <c r="B2252" s="6"/>
      <c r="C2252" s="6"/>
    </row>
    <row r="2253" s="1" customFormat="1" spans="1:3">
      <c r="A2253" s="6"/>
      <c r="B2253" s="6"/>
      <c r="C2253" s="6"/>
    </row>
    <row r="2254" s="1" customFormat="1" spans="1:3">
      <c r="A2254" s="6"/>
      <c r="B2254" s="6"/>
      <c r="C2254" s="6"/>
    </row>
    <row r="2255" s="1" customFormat="1" spans="1:3">
      <c r="A2255" s="6"/>
      <c r="B2255" s="6"/>
      <c r="C2255" s="6"/>
    </row>
    <row r="2256" s="1" customFormat="1" spans="1:3">
      <c r="A2256" s="6"/>
      <c r="B2256" s="6"/>
      <c r="C2256" s="6"/>
    </row>
    <row r="2257" s="1" customFormat="1" spans="1:3">
      <c r="A2257" s="6"/>
      <c r="B2257" s="6"/>
      <c r="C2257" s="6"/>
    </row>
    <row r="2258" s="1" customFormat="1" spans="1:3">
      <c r="A2258" s="6"/>
      <c r="B2258" s="6"/>
      <c r="C2258" s="6"/>
    </row>
    <row r="2259" s="1" customFormat="1" spans="1:3">
      <c r="A2259" s="6"/>
      <c r="B2259" s="6"/>
      <c r="C2259" s="6"/>
    </row>
    <row r="2260" s="1" customFormat="1" spans="1:3">
      <c r="A2260" s="6"/>
      <c r="B2260" s="6"/>
      <c r="C2260" s="6"/>
    </row>
    <row r="2261" s="1" customFormat="1" spans="1:3">
      <c r="A2261" s="6"/>
      <c r="B2261" s="6"/>
      <c r="C2261" s="6"/>
    </row>
    <row r="2262" s="1" customFormat="1" spans="1:3">
      <c r="A2262" s="6"/>
      <c r="B2262" s="6"/>
      <c r="C2262" s="6"/>
    </row>
    <row r="2263" s="1" customFormat="1" spans="1:3">
      <c r="A2263" s="6"/>
      <c r="B2263" s="6"/>
      <c r="C2263" s="6"/>
    </row>
    <row r="2264" s="1" customFormat="1" spans="1:3">
      <c r="A2264" s="6"/>
      <c r="B2264" s="6"/>
      <c r="C2264" s="6"/>
    </row>
    <row r="2265" s="1" customFormat="1" spans="1:3">
      <c r="A2265" s="6"/>
      <c r="B2265" s="6"/>
      <c r="C2265" s="6"/>
    </row>
    <row r="2266" s="1" customFormat="1" spans="1:3">
      <c r="A2266" s="6"/>
      <c r="B2266" s="6"/>
      <c r="C2266" s="6"/>
    </row>
    <row r="2267" s="1" customFormat="1" spans="1:3">
      <c r="A2267" s="6"/>
      <c r="B2267" s="6"/>
      <c r="C2267" s="6"/>
    </row>
    <row r="2268" s="1" customFormat="1" spans="1:3">
      <c r="A2268" s="6"/>
      <c r="B2268" s="6"/>
      <c r="C2268" s="6"/>
    </row>
    <row r="2269" s="1" customFormat="1" spans="1:3">
      <c r="A2269" s="6"/>
      <c r="B2269" s="6"/>
      <c r="C2269" s="6"/>
    </row>
    <row r="2270" s="1" customFormat="1" spans="1:3">
      <c r="A2270" s="6"/>
      <c r="B2270" s="6"/>
      <c r="C2270" s="6"/>
    </row>
    <row r="2271" s="1" customFormat="1" spans="1:3">
      <c r="A2271" s="6"/>
      <c r="B2271" s="6"/>
      <c r="C2271" s="6"/>
    </row>
    <row r="2272" s="1" customFormat="1" spans="1:3">
      <c r="A2272" s="6"/>
      <c r="B2272" s="6"/>
      <c r="C2272" s="6"/>
    </row>
    <row r="2273" s="1" customFormat="1" spans="1:3">
      <c r="A2273" s="6"/>
      <c r="B2273" s="6"/>
      <c r="C2273" s="6"/>
    </row>
    <row r="2274" s="1" customFormat="1" spans="1:3">
      <c r="A2274" s="6"/>
      <c r="B2274" s="6"/>
      <c r="C2274" s="6"/>
    </row>
    <row r="2275" s="1" customFormat="1" spans="1:3">
      <c r="A2275" s="6"/>
      <c r="B2275" s="6"/>
      <c r="C2275" s="6"/>
    </row>
    <row r="2276" s="1" customFormat="1" spans="1:3">
      <c r="A2276" s="6"/>
      <c r="B2276" s="6"/>
      <c r="C2276" s="6"/>
    </row>
    <row r="2277" s="1" customFormat="1" spans="1:3">
      <c r="A2277" s="6"/>
      <c r="B2277" s="6"/>
      <c r="C2277" s="6"/>
    </row>
    <row r="2278" s="1" customFormat="1" spans="1:3">
      <c r="A2278" s="6"/>
      <c r="B2278" s="6"/>
      <c r="C2278" s="6"/>
    </row>
    <row r="2279" s="1" customFormat="1" spans="1:3">
      <c r="A2279" s="6"/>
      <c r="B2279" s="6"/>
      <c r="C2279" s="6"/>
    </row>
    <row r="2280" s="1" customFormat="1" spans="1:3">
      <c r="A2280" s="6"/>
      <c r="B2280" s="6"/>
      <c r="C2280" s="6"/>
    </row>
    <row r="2281" s="1" customFormat="1" spans="1:3">
      <c r="A2281" s="6"/>
      <c r="B2281" s="6"/>
      <c r="C2281" s="6"/>
    </row>
    <row r="2282" s="1" customFormat="1" spans="1:3">
      <c r="A2282" s="6"/>
      <c r="B2282" s="6"/>
      <c r="C2282" s="6"/>
    </row>
    <row r="2283" s="1" customFormat="1" spans="1:3">
      <c r="A2283" s="6"/>
      <c r="B2283" s="6"/>
      <c r="C2283" s="6"/>
    </row>
    <row r="2284" s="1" customFormat="1" spans="1:3">
      <c r="A2284" s="6"/>
      <c r="B2284" s="6"/>
      <c r="C2284" s="6"/>
    </row>
    <row r="2285" s="1" customFormat="1" spans="1:3">
      <c r="A2285" s="6"/>
      <c r="B2285" s="6"/>
      <c r="C2285" s="6"/>
    </row>
    <row r="2286" s="1" customFormat="1" spans="1:3">
      <c r="A2286" s="6"/>
      <c r="B2286" s="6"/>
      <c r="C2286" s="6"/>
    </row>
    <row r="2287" s="1" customFormat="1" spans="1:3">
      <c r="A2287" s="6"/>
      <c r="B2287" s="6"/>
      <c r="C2287" s="6"/>
    </row>
    <row r="2288" s="1" customFormat="1" spans="1:3">
      <c r="A2288" s="6"/>
      <c r="B2288" s="6"/>
      <c r="C2288" s="6"/>
    </row>
    <row r="2289" s="1" customFormat="1" spans="1:3">
      <c r="A2289" s="6"/>
      <c r="B2289" s="6"/>
      <c r="C2289" s="6"/>
    </row>
    <row r="2290" s="1" customFormat="1" spans="1:3">
      <c r="A2290" s="6"/>
      <c r="B2290" s="6"/>
      <c r="C2290" s="6"/>
    </row>
    <row r="2291" s="1" customFormat="1" spans="1:3">
      <c r="A2291" s="6"/>
      <c r="B2291" s="6"/>
      <c r="C2291" s="6"/>
    </row>
    <row r="2292" s="1" customFormat="1" spans="1:3">
      <c r="A2292" s="6"/>
      <c r="B2292" s="6"/>
      <c r="C2292" s="6"/>
    </row>
    <row r="2293" s="1" customFormat="1" spans="1:3">
      <c r="A2293" s="6"/>
      <c r="B2293" s="6"/>
      <c r="C2293" s="6"/>
    </row>
    <row r="2294" s="1" customFormat="1" spans="1:3">
      <c r="A2294" s="6"/>
      <c r="B2294" s="6"/>
      <c r="C2294" s="6"/>
    </row>
    <row r="2295" s="1" customFormat="1" spans="1:3">
      <c r="A2295" s="6"/>
      <c r="B2295" s="6"/>
      <c r="C2295" s="6"/>
    </row>
    <row r="2296" s="1" customFormat="1" spans="1:3">
      <c r="A2296" s="6"/>
      <c r="B2296" s="6"/>
      <c r="C2296" s="6"/>
    </row>
    <row r="2297" s="1" customFormat="1" spans="1:3">
      <c r="A2297" s="6"/>
      <c r="B2297" s="6"/>
      <c r="C2297" s="6"/>
    </row>
    <row r="2298" s="1" customFormat="1" spans="1:3">
      <c r="A2298" s="6"/>
      <c r="B2298" s="6"/>
      <c r="C2298" s="6"/>
    </row>
    <row r="2299" s="1" customFormat="1" spans="1:3">
      <c r="A2299" s="6"/>
      <c r="B2299" s="6"/>
      <c r="C2299" s="6"/>
    </row>
    <row r="2300" s="1" customFormat="1" spans="1:3">
      <c r="A2300" s="6"/>
      <c r="B2300" s="6"/>
      <c r="C2300" s="6"/>
    </row>
    <row r="2301" s="1" customFormat="1" spans="1:3">
      <c r="A2301" s="6"/>
      <c r="B2301" s="6"/>
      <c r="C2301" s="6"/>
    </row>
    <row r="2302" s="1" customFormat="1" spans="1:3">
      <c r="A2302" s="6"/>
      <c r="B2302" s="6"/>
      <c r="C2302" s="6"/>
    </row>
    <row r="2303" s="1" customFormat="1" spans="1:3">
      <c r="A2303" s="6"/>
      <c r="B2303" s="6"/>
      <c r="C2303" s="6"/>
    </row>
    <row r="2304" s="1" customFormat="1" spans="1:3">
      <c r="A2304" s="6"/>
      <c r="B2304" s="6"/>
      <c r="C2304" s="6"/>
    </row>
    <row r="2305" s="1" customFormat="1" spans="1:3">
      <c r="A2305" s="6"/>
      <c r="B2305" s="6"/>
      <c r="C2305" s="6"/>
    </row>
    <row r="2306" s="1" customFormat="1" spans="1:3">
      <c r="A2306" s="6"/>
      <c r="B2306" s="6"/>
      <c r="C2306" s="6"/>
    </row>
    <row r="2307" s="1" customFormat="1" spans="1:3">
      <c r="A2307" s="6"/>
      <c r="B2307" s="6"/>
      <c r="C2307" s="6"/>
    </row>
    <row r="2308" s="1" customFormat="1" spans="1:3">
      <c r="A2308" s="6"/>
      <c r="B2308" s="6"/>
      <c r="C2308" s="6"/>
    </row>
    <row r="2309" s="1" customFormat="1" spans="1:3">
      <c r="A2309" s="6"/>
      <c r="B2309" s="6"/>
      <c r="C2309" s="6"/>
    </row>
    <row r="2310" s="1" customFormat="1" spans="1:3">
      <c r="A2310" s="6"/>
      <c r="B2310" s="6"/>
      <c r="C2310" s="6"/>
    </row>
    <row r="2311" s="1" customFormat="1" spans="1:3">
      <c r="A2311" s="6"/>
      <c r="B2311" s="6"/>
      <c r="C2311" s="6"/>
    </row>
    <row r="2312" s="1" customFormat="1" spans="1:3">
      <c r="A2312" s="6"/>
      <c r="B2312" s="6"/>
      <c r="C2312" s="6"/>
    </row>
    <row r="2313" s="1" customFormat="1" spans="1:3">
      <c r="A2313" s="6"/>
      <c r="B2313" s="6"/>
      <c r="C2313" s="6"/>
    </row>
    <row r="2314" s="1" customFormat="1" spans="1:3">
      <c r="A2314" s="6"/>
      <c r="B2314" s="6"/>
      <c r="C2314" s="6"/>
    </row>
    <row r="2315" s="1" customFormat="1" spans="1:3">
      <c r="A2315" s="6"/>
      <c r="B2315" s="6"/>
      <c r="C2315" s="6"/>
    </row>
    <row r="2316" s="1" customFormat="1" spans="1:3">
      <c r="A2316" s="6"/>
      <c r="B2316" s="6"/>
      <c r="C2316" s="6"/>
    </row>
    <row r="2317" s="1" customFormat="1" spans="1:3">
      <c r="A2317" s="6"/>
      <c r="B2317" s="6"/>
      <c r="C2317" s="6"/>
    </row>
    <row r="2318" s="1" customFormat="1" spans="1:3">
      <c r="A2318" s="6"/>
      <c r="B2318" s="6"/>
      <c r="C2318" s="6"/>
    </row>
    <row r="2319" s="1" customFormat="1" spans="1:3">
      <c r="A2319" s="6"/>
      <c r="B2319" s="6"/>
      <c r="C2319" s="6"/>
    </row>
    <row r="2320" s="1" customFormat="1" spans="1:3">
      <c r="A2320" s="6"/>
      <c r="B2320" s="6"/>
      <c r="C2320" s="6"/>
    </row>
    <row r="2321" s="1" customFormat="1" spans="1:3">
      <c r="A2321" s="6"/>
      <c r="B2321" s="6"/>
      <c r="C2321" s="6"/>
    </row>
    <row r="2322" s="1" customFormat="1" spans="1:3">
      <c r="A2322" s="6"/>
      <c r="B2322" s="6"/>
      <c r="C2322" s="6"/>
    </row>
    <row r="2323" s="1" customFormat="1" spans="1:3">
      <c r="A2323" s="6"/>
      <c r="B2323" s="6"/>
      <c r="C2323" s="6"/>
    </row>
    <row r="2324" s="1" customFormat="1" spans="1:3">
      <c r="A2324" s="6"/>
      <c r="B2324" s="6"/>
      <c r="C2324" s="6"/>
    </row>
    <row r="2325" s="1" customFormat="1" spans="1:3">
      <c r="A2325" s="6"/>
      <c r="B2325" s="6"/>
      <c r="C2325" s="6"/>
    </row>
    <row r="2326" s="1" customFormat="1" spans="1:3">
      <c r="A2326" s="6"/>
      <c r="B2326" s="6"/>
      <c r="C2326" s="6"/>
    </row>
    <row r="2327" s="1" customFormat="1" spans="1:3">
      <c r="A2327" s="6"/>
      <c r="B2327" s="6"/>
      <c r="C2327" s="6"/>
    </row>
    <row r="2328" s="1" customFormat="1" spans="1:3">
      <c r="A2328" s="6"/>
      <c r="B2328" s="6"/>
      <c r="C2328" s="6"/>
    </row>
    <row r="2329" s="1" customFormat="1" spans="1:3">
      <c r="A2329" s="6"/>
      <c r="B2329" s="6"/>
      <c r="C2329" s="6"/>
    </row>
    <row r="2330" s="1" customFormat="1" spans="1:3">
      <c r="A2330" s="6"/>
      <c r="B2330" s="6"/>
      <c r="C2330" s="6"/>
    </row>
    <row r="2331" s="1" customFormat="1" spans="1:3">
      <c r="A2331" s="6"/>
      <c r="B2331" s="6"/>
      <c r="C2331" s="6"/>
    </row>
    <row r="2332" s="1" customFormat="1" spans="1:3">
      <c r="A2332" s="6"/>
      <c r="B2332" s="6"/>
      <c r="C2332" s="6"/>
    </row>
    <row r="2333" s="1" customFormat="1" spans="1:3">
      <c r="A2333" s="6"/>
      <c r="B2333" s="6"/>
      <c r="C2333" s="6"/>
    </row>
    <row r="2334" s="1" customFormat="1" spans="1:3">
      <c r="A2334" s="6"/>
      <c r="B2334" s="6"/>
      <c r="C2334" s="6"/>
    </row>
    <row r="2335" s="1" customFormat="1" spans="1:3">
      <c r="A2335" s="6"/>
      <c r="B2335" s="6"/>
      <c r="C2335" s="6"/>
    </row>
    <row r="2336" s="1" customFormat="1" spans="1:3">
      <c r="A2336" s="6"/>
      <c r="B2336" s="6"/>
      <c r="C2336" s="6"/>
    </row>
    <row r="2337" s="1" customFormat="1" spans="1:3">
      <c r="A2337" s="6"/>
      <c r="B2337" s="6"/>
      <c r="C2337" s="6"/>
    </row>
    <row r="2338" s="1" customFormat="1" spans="1:3">
      <c r="A2338" s="6"/>
      <c r="B2338" s="6"/>
      <c r="C2338" s="6"/>
    </row>
    <row r="2339" s="1" customFormat="1" spans="1:3">
      <c r="A2339" s="6"/>
      <c r="B2339" s="6"/>
      <c r="C2339" s="6"/>
    </row>
    <row r="2340" s="1" customFormat="1" spans="1:3">
      <c r="A2340" s="6"/>
      <c r="B2340" s="6"/>
      <c r="C2340" s="6"/>
    </row>
    <row r="2341" s="1" customFormat="1" spans="1:3">
      <c r="A2341" s="6"/>
      <c r="B2341" s="6"/>
      <c r="C2341" s="6"/>
    </row>
    <row r="2342" s="1" customFormat="1" spans="1:3">
      <c r="A2342" s="6"/>
      <c r="B2342" s="6"/>
      <c r="C2342" s="6"/>
    </row>
    <row r="2343" s="1" customFormat="1" spans="1:3">
      <c r="A2343" s="6"/>
      <c r="B2343" s="6"/>
      <c r="C2343" s="6"/>
    </row>
    <row r="2344" s="1" customFormat="1" spans="1:3">
      <c r="A2344" s="6"/>
      <c r="B2344" s="6"/>
      <c r="C2344" s="6"/>
    </row>
    <row r="2345" s="1" customFormat="1" spans="1:3">
      <c r="A2345" s="6"/>
      <c r="B2345" s="6"/>
      <c r="C2345" s="6"/>
    </row>
    <row r="2346" s="1" customFormat="1" spans="1:3">
      <c r="A2346" s="6"/>
      <c r="B2346" s="6"/>
      <c r="C2346" s="6"/>
    </row>
    <row r="2347" s="1" customFormat="1" spans="1:3">
      <c r="A2347" s="6"/>
      <c r="B2347" s="6"/>
      <c r="C2347" s="6"/>
    </row>
    <row r="2348" s="1" customFormat="1" spans="1:3">
      <c r="A2348" s="6"/>
      <c r="B2348" s="6"/>
      <c r="C2348" s="6"/>
    </row>
    <row r="2349" s="1" customFormat="1" spans="1:3">
      <c r="A2349" s="6"/>
      <c r="B2349" s="6"/>
      <c r="C2349" s="6"/>
    </row>
    <row r="2350" s="1" customFormat="1" spans="1:3">
      <c r="A2350" s="6"/>
      <c r="B2350" s="6"/>
      <c r="C2350" s="6"/>
    </row>
    <row r="2351" s="1" customFormat="1" spans="1:3">
      <c r="A2351" s="6"/>
      <c r="B2351" s="6"/>
      <c r="C2351" s="6"/>
    </row>
    <row r="2352" s="1" customFormat="1" spans="1:3">
      <c r="A2352" s="6"/>
      <c r="B2352" s="6"/>
      <c r="C2352" s="6"/>
    </row>
    <row r="2353" s="1" customFormat="1" spans="1:3">
      <c r="A2353" s="6"/>
      <c r="B2353" s="6"/>
      <c r="C2353" s="6"/>
    </row>
    <row r="2354" s="1" customFormat="1" spans="1:3">
      <c r="A2354" s="6"/>
      <c r="B2354" s="6"/>
      <c r="C2354" s="6"/>
    </row>
    <row r="2355" s="1" customFormat="1" spans="1:3">
      <c r="A2355" s="6"/>
      <c r="B2355" s="6"/>
      <c r="C2355" s="6"/>
    </row>
    <row r="2356" s="1" customFormat="1" spans="1:3">
      <c r="A2356" s="6"/>
      <c r="B2356" s="6"/>
      <c r="C2356" s="6"/>
    </row>
    <row r="2357" s="1" customFormat="1" spans="1:3">
      <c r="A2357" s="6"/>
      <c r="B2357" s="6"/>
      <c r="C2357" s="6"/>
    </row>
    <row r="2358" s="1" customFormat="1" spans="1:3">
      <c r="A2358" s="6"/>
      <c r="B2358" s="6"/>
      <c r="C2358" s="6"/>
    </row>
    <row r="2359" s="1" customFormat="1" spans="1:3">
      <c r="A2359" s="6"/>
      <c r="B2359" s="6"/>
      <c r="C2359" s="6"/>
    </row>
    <row r="2360" s="1" customFormat="1" spans="1:3">
      <c r="A2360" s="6"/>
      <c r="B2360" s="6"/>
      <c r="C2360" s="6"/>
    </row>
    <row r="2361" s="1" customFormat="1" spans="1:3">
      <c r="A2361" s="6"/>
      <c r="B2361" s="6"/>
      <c r="C2361" s="6"/>
    </row>
    <row r="2362" s="1" customFormat="1" spans="1:3">
      <c r="A2362" s="6"/>
      <c r="B2362" s="6"/>
      <c r="C2362" s="6"/>
    </row>
    <row r="2363" s="1" customFormat="1" spans="1:3">
      <c r="A2363" s="6"/>
      <c r="B2363" s="6"/>
      <c r="C2363" s="6"/>
    </row>
    <row r="2364" s="1" customFormat="1" spans="1:3">
      <c r="A2364" s="6"/>
      <c r="B2364" s="6"/>
      <c r="C2364" s="6"/>
    </row>
    <row r="2365" s="1" customFormat="1" spans="1:3">
      <c r="A2365" s="6"/>
      <c r="B2365" s="6"/>
      <c r="C2365" s="6"/>
    </row>
    <row r="2366" s="1" customFormat="1" spans="1:3">
      <c r="A2366" s="6"/>
      <c r="B2366" s="6"/>
      <c r="C2366" s="6"/>
    </row>
    <row r="2367" s="1" customFormat="1" spans="1:3">
      <c r="A2367" s="6"/>
      <c r="B2367" s="6"/>
      <c r="C2367" s="6"/>
    </row>
    <row r="2368" s="1" customFormat="1" spans="1:3">
      <c r="A2368" s="6"/>
      <c r="B2368" s="6"/>
      <c r="C2368" s="6"/>
    </row>
    <row r="2369" s="1" customFormat="1" spans="1:3">
      <c r="A2369" s="6"/>
      <c r="B2369" s="6"/>
      <c r="C2369" s="6"/>
    </row>
    <row r="2370" s="1" customFormat="1" spans="1:3">
      <c r="A2370" s="6"/>
      <c r="B2370" s="6"/>
      <c r="C2370" s="6"/>
    </row>
    <row r="2371" s="1" customFormat="1" spans="1:3">
      <c r="A2371" s="6"/>
      <c r="B2371" s="6"/>
      <c r="C2371" s="6"/>
    </row>
    <row r="2372" s="1" customFormat="1" spans="1:3">
      <c r="A2372" s="6"/>
      <c r="B2372" s="6"/>
      <c r="C2372" s="6"/>
    </row>
    <row r="2373" s="1" customFormat="1" spans="1:3">
      <c r="A2373" s="6"/>
      <c r="B2373" s="6"/>
      <c r="C2373" s="6"/>
    </row>
    <row r="2374" s="1" customFormat="1" spans="1:3">
      <c r="A2374" s="6"/>
      <c r="B2374" s="6"/>
      <c r="C2374" s="6"/>
    </row>
    <row r="2375" s="1" customFormat="1" spans="1:3">
      <c r="A2375" s="6"/>
      <c r="B2375" s="6"/>
      <c r="C2375" s="6"/>
    </row>
    <row r="2376" s="1" customFormat="1" spans="1:3">
      <c r="A2376" s="6"/>
      <c r="B2376" s="6"/>
      <c r="C2376" s="6"/>
    </row>
    <row r="2377" s="1" customFormat="1" spans="1:3">
      <c r="A2377" s="6"/>
      <c r="B2377" s="6"/>
      <c r="C2377" s="6"/>
    </row>
    <row r="2378" s="1" customFormat="1" spans="1:3">
      <c r="A2378" s="6"/>
      <c r="B2378" s="6"/>
      <c r="C2378" s="6"/>
    </row>
    <row r="2379" s="1" customFormat="1" spans="1:3">
      <c r="A2379" s="6"/>
      <c r="B2379" s="6"/>
      <c r="C2379" s="6"/>
    </row>
    <row r="2380" s="1" customFormat="1" spans="1:3">
      <c r="A2380" s="6"/>
      <c r="B2380" s="6"/>
      <c r="C2380" s="6"/>
    </row>
    <row r="2381" s="1" customFormat="1" spans="1:3">
      <c r="A2381" s="6"/>
      <c r="B2381" s="6"/>
      <c r="C2381" s="6"/>
    </row>
    <row r="2382" s="1" customFormat="1" spans="1:3">
      <c r="A2382" s="6"/>
      <c r="B2382" s="6"/>
      <c r="C2382" s="6"/>
    </row>
    <row r="2383" s="1" customFormat="1" spans="1:3">
      <c r="A2383" s="6"/>
      <c r="B2383" s="6"/>
      <c r="C2383" s="6"/>
    </row>
    <row r="2384" s="1" customFormat="1" spans="1:3">
      <c r="A2384" s="6"/>
      <c r="B2384" s="6"/>
      <c r="C2384" s="6"/>
    </row>
    <row r="2385" s="1" customFormat="1" spans="1:3">
      <c r="A2385" s="6"/>
      <c r="B2385" s="6"/>
      <c r="C2385" s="6"/>
    </row>
    <row r="2386" s="1" customFormat="1" spans="1:3">
      <c r="A2386" s="6"/>
      <c r="B2386" s="6"/>
      <c r="C2386" s="6"/>
    </row>
    <row r="2387" s="1" customFormat="1" spans="1:3">
      <c r="A2387" s="6"/>
      <c r="B2387" s="6"/>
      <c r="C2387" s="6"/>
    </row>
    <row r="2388" s="1" customFormat="1" spans="1:3">
      <c r="A2388" s="6"/>
      <c r="B2388" s="6"/>
      <c r="C2388" s="6"/>
    </row>
    <row r="2389" s="1" customFormat="1" spans="1:3">
      <c r="A2389" s="6"/>
      <c r="B2389" s="6"/>
      <c r="C2389" s="6"/>
    </row>
    <row r="2390" s="1" customFormat="1" spans="1:3">
      <c r="A2390" s="6"/>
      <c r="B2390" s="6"/>
      <c r="C2390" s="6"/>
    </row>
    <row r="2391" s="1" customFormat="1" spans="1:3">
      <c r="A2391" s="6"/>
      <c r="B2391" s="6"/>
      <c r="C2391" s="6"/>
    </row>
    <row r="2392" s="1" customFormat="1" spans="1:3">
      <c r="A2392" s="6"/>
      <c r="B2392" s="6"/>
      <c r="C2392" s="6"/>
    </row>
    <row r="2393" s="1" customFormat="1" spans="1:3">
      <c r="A2393" s="6"/>
      <c r="B2393" s="6"/>
      <c r="C2393" s="6"/>
    </row>
    <row r="2394" s="1" customFormat="1" spans="1:3">
      <c r="A2394" s="6"/>
      <c r="B2394" s="6"/>
      <c r="C2394" s="6"/>
    </row>
    <row r="2395" s="1" customFormat="1" spans="1:3">
      <c r="A2395" s="6"/>
      <c r="B2395" s="6"/>
      <c r="C2395" s="6"/>
    </row>
    <row r="2396" s="1" customFormat="1" spans="1:3">
      <c r="A2396" s="6"/>
      <c r="B2396" s="6"/>
      <c r="C2396" s="6"/>
    </row>
    <row r="2397" s="1" customFormat="1" spans="1:3">
      <c r="A2397" s="6"/>
      <c r="B2397" s="6"/>
      <c r="C2397" s="6"/>
    </row>
    <row r="2398" s="1" customFormat="1" spans="1:3">
      <c r="A2398" s="6"/>
      <c r="B2398" s="6"/>
      <c r="C2398" s="6"/>
    </row>
    <row r="2399" s="1" customFormat="1" spans="1:3">
      <c r="A2399" s="6"/>
      <c r="B2399" s="6"/>
      <c r="C2399" s="6"/>
    </row>
    <row r="2400" s="1" customFormat="1" spans="1:3">
      <c r="A2400" s="6"/>
      <c r="B2400" s="6"/>
      <c r="C2400" s="6"/>
    </row>
    <row r="2401" s="1" customFormat="1" spans="1:3">
      <c r="A2401" s="6"/>
      <c r="B2401" s="6"/>
      <c r="C2401" s="6"/>
    </row>
    <row r="2402" s="1" customFormat="1" spans="1:3">
      <c r="A2402" s="6"/>
      <c r="B2402" s="6"/>
      <c r="C2402" s="6"/>
    </row>
    <row r="2403" s="1" customFormat="1" spans="1:3">
      <c r="A2403" s="6"/>
      <c r="B2403" s="6"/>
      <c r="C2403" s="6"/>
    </row>
    <row r="2404" s="1" customFormat="1" spans="1:3">
      <c r="A2404" s="6"/>
      <c r="B2404" s="6"/>
      <c r="C2404" s="6"/>
    </row>
    <row r="2405" s="1" customFormat="1" spans="1:3">
      <c r="A2405" s="6"/>
      <c r="B2405" s="6"/>
      <c r="C2405" s="6"/>
    </row>
    <row r="2406" s="1" customFormat="1" spans="1:3">
      <c r="A2406" s="6"/>
      <c r="B2406" s="6"/>
      <c r="C2406" s="6"/>
    </row>
    <row r="2407" s="1" customFormat="1" spans="1:3">
      <c r="A2407" s="6"/>
      <c r="B2407" s="6"/>
      <c r="C2407" s="6"/>
    </row>
    <row r="2408" s="1" customFormat="1" spans="1:3">
      <c r="A2408" s="6"/>
      <c r="B2408" s="6"/>
      <c r="C2408" s="6"/>
    </row>
    <row r="2409" s="1" customFormat="1" spans="1:3">
      <c r="A2409" s="6"/>
      <c r="B2409" s="6"/>
      <c r="C2409" s="6"/>
    </row>
    <row r="2410" s="1" customFormat="1" spans="1:3">
      <c r="A2410" s="6"/>
      <c r="B2410" s="6"/>
      <c r="C2410" s="6"/>
    </row>
    <row r="2411" s="1" customFormat="1" spans="1:3">
      <c r="A2411" s="6"/>
      <c r="B2411" s="6"/>
      <c r="C2411" s="6"/>
    </row>
    <row r="2412" s="1" customFormat="1" spans="1:3">
      <c r="A2412" s="6"/>
      <c r="B2412" s="6"/>
      <c r="C2412" s="6"/>
    </row>
    <row r="2413" s="1" customFormat="1" spans="1:3">
      <c r="A2413" s="6"/>
      <c r="B2413" s="6"/>
      <c r="C2413" s="6"/>
    </row>
    <row r="2414" s="1" customFormat="1" spans="1:3">
      <c r="A2414" s="6"/>
      <c r="B2414" s="6"/>
      <c r="C2414" s="6"/>
    </row>
    <row r="2415" s="1" customFormat="1" spans="1:3">
      <c r="A2415" s="6"/>
      <c r="B2415" s="6"/>
      <c r="C2415" s="6"/>
    </row>
    <row r="2416" s="1" customFormat="1" spans="1:3">
      <c r="A2416" s="6"/>
      <c r="B2416" s="6"/>
      <c r="C2416" s="6"/>
    </row>
    <row r="2417" s="1" customFormat="1" spans="1:3">
      <c r="A2417" s="6"/>
      <c r="B2417" s="6"/>
      <c r="C2417" s="6"/>
    </row>
    <row r="2418" s="1" customFormat="1" spans="1:3">
      <c r="A2418" s="6"/>
      <c r="B2418" s="6"/>
      <c r="C2418" s="6"/>
    </row>
    <row r="2419" s="1" customFormat="1" spans="1:3">
      <c r="A2419" s="6"/>
      <c r="B2419" s="6"/>
      <c r="C2419" s="6"/>
    </row>
    <row r="2420" s="1" customFormat="1" spans="1:3">
      <c r="A2420" s="6"/>
      <c r="B2420" s="6"/>
      <c r="C2420" s="6"/>
    </row>
    <row r="2421" s="1" customFormat="1" spans="1:3">
      <c r="A2421" s="6"/>
      <c r="B2421" s="6"/>
      <c r="C2421" s="6"/>
    </row>
    <row r="2422" s="1" customFormat="1" spans="1:3">
      <c r="A2422" s="6"/>
      <c r="B2422" s="6"/>
      <c r="C2422" s="6"/>
    </row>
    <row r="2423" s="1" customFormat="1" spans="1:3">
      <c r="A2423" s="6"/>
      <c r="B2423" s="6"/>
      <c r="C2423" s="6"/>
    </row>
    <row r="2424" s="1" customFormat="1" spans="1:3">
      <c r="A2424" s="6"/>
      <c r="B2424" s="6"/>
      <c r="C2424" s="6"/>
    </row>
    <row r="2425" s="1" customFormat="1" spans="1:3">
      <c r="A2425" s="6"/>
      <c r="B2425" s="6"/>
      <c r="C2425" s="6"/>
    </row>
    <row r="2426" s="1" customFormat="1" spans="1:3">
      <c r="A2426" s="6"/>
      <c r="B2426" s="6"/>
      <c r="C2426" s="6"/>
    </row>
    <row r="2427" s="1" customFormat="1" spans="1:3">
      <c r="A2427" s="6"/>
      <c r="B2427" s="6"/>
      <c r="C2427" s="6"/>
    </row>
    <row r="2428" s="1" customFormat="1" spans="1:3">
      <c r="A2428" s="6"/>
      <c r="B2428" s="6"/>
      <c r="C2428" s="6"/>
    </row>
    <row r="2429" s="1" customFormat="1" spans="1:3">
      <c r="A2429" s="6"/>
      <c r="B2429" s="6"/>
      <c r="C2429" s="6"/>
    </row>
    <row r="2430" s="1" customFormat="1" spans="1:3">
      <c r="A2430" s="6"/>
      <c r="B2430" s="6"/>
      <c r="C2430" s="6"/>
    </row>
    <row r="2431" s="1" customFormat="1" spans="1:3">
      <c r="A2431" s="6"/>
      <c r="B2431" s="6"/>
      <c r="C2431" s="6"/>
    </row>
    <row r="2432" s="1" customFormat="1" spans="1:3">
      <c r="A2432" s="6"/>
      <c r="B2432" s="6"/>
      <c r="C2432" s="6"/>
    </row>
    <row r="2433" s="1" customFormat="1" spans="1:3">
      <c r="A2433" s="6"/>
      <c r="B2433" s="6"/>
      <c r="C2433" s="6"/>
    </row>
    <row r="2434" s="1" customFormat="1" spans="1:3">
      <c r="A2434" s="6"/>
      <c r="B2434" s="6"/>
      <c r="C2434" s="6"/>
    </row>
    <row r="2435" s="1" customFormat="1" spans="1:3">
      <c r="A2435" s="6"/>
      <c r="B2435" s="6"/>
      <c r="C2435" s="6"/>
    </row>
    <row r="2436" s="1" customFormat="1" spans="1:3">
      <c r="A2436" s="6"/>
      <c r="B2436" s="6"/>
      <c r="C2436" s="6"/>
    </row>
    <row r="2437" s="1" customFormat="1" spans="1:3">
      <c r="A2437" s="6"/>
      <c r="B2437" s="6"/>
      <c r="C2437" s="6"/>
    </row>
    <row r="2438" s="1" customFormat="1" spans="1:3">
      <c r="A2438" s="6"/>
      <c r="B2438" s="6"/>
      <c r="C2438" s="6"/>
    </row>
    <row r="2439" s="1" customFormat="1" spans="1:3">
      <c r="A2439" s="6"/>
      <c r="B2439" s="6"/>
      <c r="C2439" s="6"/>
    </row>
    <row r="2440" s="1" customFormat="1" spans="1:3">
      <c r="A2440" s="6"/>
      <c r="B2440" s="6"/>
      <c r="C2440" s="6"/>
    </row>
    <row r="2441" s="1" customFormat="1" spans="1:3">
      <c r="A2441" s="6"/>
      <c r="B2441" s="6"/>
      <c r="C2441" s="6"/>
    </row>
    <row r="2442" s="1" customFormat="1" spans="1:3">
      <c r="A2442" s="6"/>
      <c r="B2442" s="6"/>
      <c r="C2442" s="6"/>
    </row>
    <row r="2443" s="1" customFormat="1" spans="1:3">
      <c r="A2443" s="6"/>
      <c r="B2443" s="6"/>
      <c r="C2443" s="6"/>
    </row>
    <row r="2444" s="1" customFormat="1" spans="1:3">
      <c r="A2444" s="6"/>
      <c r="B2444" s="6"/>
      <c r="C2444" s="6"/>
    </row>
    <row r="2445" s="1" customFormat="1" spans="1:3">
      <c r="A2445" s="6"/>
      <c r="B2445" s="6"/>
      <c r="C2445" s="6"/>
    </row>
    <row r="2446" s="1" customFormat="1" spans="1:3">
      <c r="A2446" s="6"/>
      <c r="B2446" s="6"/>
      <c r="C2446" s="6"/>
    </row>
    <row r="2447" s="1" customFormat="1" spans="1:3">
      <c r="A2447" s="6"/>
      <c r="B2447" s="6"/>
      <c r="C2447" s="6"/>
    </row>
    <row r="2448" s="1" customFormat="1" spans="1:3">
      <c r="A2448" s="6"/>
      <c r="B2448" s="6"/>
      <c r="C2448" s="6"/>
    </row>
    <row r="2449" s="1" customFormat="1" spans="1:3">
      <c r="A2449" s="6"/>
      <c r="B2449" s="6"/>
      <c r="C2449" s="6"/>
    </row>
    <row r="2450" s="1" customFormat="1" spans="1:3">
      <c r="A2450" s="6"/>
      <c r="B2450" s="6"/>
      <c r="C2450" s="6"/>
    </row>
    <row r="2451" s="1" customFormat="1" spans="1:3">
      <c r="A2451" s="6"/>
      <c r="B2451" s="6"/>
      <c r="C2451" s="6"/>
    </row>
    <row r="2452" s="1" customFormat="1" spans="1:3">
      <c r="A2452" s="6"/>
      <c r="B2452" s="6"/>
      <c r="C2452" s="6"/>
    </row>
    <row r="2453" s="1" customFormat="1" spans="1:3">
      <c r="A2453" s="6"/>
      <c r="B2453" s="6"/>
      <c r="C2453" s="6"/>
    </row>
    <row r="2454" s="1" customFormat="1" spans="1:3">
      <c r="A2454" s="6"/>
      <c r="B2454" s="6"/>
      <c r="C2454" s="6"/>
    </row>
    <row r="2455" s="1" customFormat="1" spans="1:3">
      <c r="A2455" s="6"/>
      <c r="B2455" s="6"/>
      <c r="C2455" s="6"/>
    </row>
    <row r="2456" s="1" customFormat="1" spans="1:3">
      <c r="A2456" s="6"/>
      <c r="B2456" s="6"/>
      <c r="C2456" s="6"/>
    </row>
    <row r="2457" s="1" customFormat="1" spans="1:3">
      <c r="A2457" s="6"/>
      <c r="B2457" s="6"/>
      <c r="C2457" s="6"/>
    </row>
    <row r="2458" s="1" customFormat="1" spans="1:3">
      <c r="A2458" s="6"/>
      <c r="B2458" s="6"/>
      <c r="C2458" s="6"/>
    </row>
    <row r="2459" s="1" customFormat="1" spans="1:3">
      <c r="A2459" s="6"/>
      <c r="B2459" s="6"/>
      <c r="C2459" s="6"/>
    </row>
    <row r="2460" s="1" customFormat="1" spans="1:3">
      <c r="A2460" s="6"/>
      <c r="B2460" s="6"/>
      <c r="C2460" s="6"/>
    </row>
    <row r="2461" s="1" customFormat="1" spans="1:3">
      <c r="A2461" s="6"/>
      <c r="B2461" s="6"/>
      <c r="C2461" s="6"/>
    </row>
    <row r="2462" s="1" customFormat="1" spans="1:3">
      <c r="A2462" s="6"/>
      <c r="B2462" s="6"/>
      <c r="C2462" s="6"/>
    </row>
    <row r="2463" s="1" customFormat="1" spans="1:3">
      <c r="A2463" s="6"/>
      <c r="B2463" s="6"/>
      <c r="C2463" s="6"/>
    </row>
    <row r="2464" s="1" customFormat="1" spans="1:3">
      <c r="A2464" s="6"/>
      <c r="B2464" s="6"/>
      <c r="C2464" s="6"/>
    </row>
    <row r="2465" s="1" customFormat="1" spans="1:3">
      <c r="A2465" s="6"/>
      <c r="B2465" s="6"/>
      <c r="C2465" s="6"/>
    </row>
    <row r="2466" s="1" customFormat="1" spans="1:3">
      <c r="A2466" s="6"/>
      <c r="B2466" s="6"/>
      <c r="C2466" s="6"/>
    </row>
    <row r="2467" s="1" customFormat="1" spans="1:3">
      <c r="A2467" s="6"/>
      <c r="B2467" s="6"/>
      <c r="C2467" s="6"/>
    </row>
    <row r="2468" s="1" customFormat="1" spans="1:3">
      <c r="A2468" s="6"/>
      <c r="B2468" s="6"/>
      <c r="C2468" s="6"/>
    </row>
    <row r="2469" s="1" customFormat="1" spans="1:3">
      <c r="A2469" s="6"/>
      <c r="B2469" s="6"/>
      <c r="C2469" s="6"/>
    </row>
    <row r="2470" s="1" customFormat="1" spans="1:3">
      <c r="A2470" s="6"/>
      <c r="B2470" s="6"/>
      <c r="C2470" s="6"/>
    </row>
    <row r="2471" s="1" customFormat="1" spans="1:3">
      <c r="A2471" s="6"/>
      <c r="B2471" s="6"/>
      <c r="C2471" s="6"/>
    </row>
    <row r="2472" s="1" customFormat="1" spans="1:3">
      <c r="A2472" s="6"/>
      <c r="B2472" s="6"/>
      <c r="C2472" s="6"/>
    </row>
    <row r="2473" s="1" customFormat="1" spans="1:3">
      <c r="A2473" s="6"/>
      <c r="B2473" s="6"/>
      <c r="C2473" s="6"/>
    </row>
    <row r="2474" s="1" customFormat="1" spans="1:3">
      <c r="A2474" s="6"/>
      <c r="B2474" s="6"/>
      <c r="C2474" s="6"/>
    </row>
    <row r="2475" s="1" customFormat="1" spans="1:3">
      <c r="A2475" s="6"/>
      <c r="B2475" s="6"/>
      <c r="C2475" s="6"/>
    </row>
    <row r="2476" s="1" customFormat="1" spans="1:3">
      <c r="A2476" s="6"/>
      <c r="B2476" s="6"/>
      <c r="C2476" s="6"/>
    </row>
    <row r="2477" s="1" customFormat="1" spans="1:3">
      <c r="A2477" s="6"/>
      <c r="B2477" s="6"/>
      <c r="C2477" s="6"/>
    </row>
    <row r="2478" s="1" customFormat="1" spans="1:3">
      <c r="A2478" s="6"/>
      <c r="B2478" s="6"/>
      <c r="C2478" s="6"/>
    </row>
    <row r="2479" s="1" customFormat="1" spans="1:3">
      <c r="A2479" s="6"/>
      <c r="B2479" s="6"/>
      <c r="C2479" s="6"/>
    </row>
    <row r="2480" s="1" customFormat="1" spans="1:3">
      <c r="A2480" s="6"/>
      <c r="B2480" s="6"/>
      <c r="C2480" s="6"/>
    </row>
    <row r="2481" s="1" customFormat="1" spans="1:3">
      <c r="A2481" s="6"/>
      <c r="B2481" s="6"/>
      <c r="C2481" s="6"/>
    </row>
    <row r="2482" s="1" customFormat="1" spans="1:3">
      <c r="A2482" s="6"/>
      <c r="B2482" s="6"/>
      <c r="C2482" s="6"/>
    </row>
    <row r="2483" s="1" customFormat="1" spans="1:3">
      <c r="A2483" s="6"/>
      <c r="B2483" s="6"/>
      <c r="C2483" s="6"/>
    </row>
    <row r="2484" s="1" customFormat="1" spans="1:3">
      <c r="A2484" s="6"/>
      <c r="B2484" s="6"/>
      <c r="C2484" s="6"/>
    </row>
    <row r="2485" s="1" customFormat="1" spans="1:3">
      <c r="A2485" s="6"/>
      <c r="B2485" s="6"/>
      <c r="C2485" s="6"/>
    </row>
    <row r="2486" s="1" customFormat="1" spans="1:3">
      <c r="A2486" s="6"/>
      <c r="B2486" s="6"/>
      <c r="C2486" s="6"/>
    </row>
    <row r="2487" s="1" customFormat="1" spans="1:3">
      <c r="A2487" s="6"/>
      <c r="B2487" s="6"/>
      <c r="C2487" s="6"/>
    </row>
    <row r="2488" s="1" customFormat="1" spans="1:3">
      <c r="A2488" s="6"/>
      <c r="B2488" s="6"/>
      <c r="C2488" s="6"/>
    </row>
    <row r="2489" s="1" customFormat="1" spans="1:3">
      <c r="A2489" s="6"/>
      <c r="B2489" s="6"/>
      <c r="C2489" s="6"/>
    </row>
    <row r="2490" s="1" customFormat="1" spans="1:3">
      <c r="A2490" s="6"/>
      <c r="B2490" s="6"/>
      <c r="C2490" s="6"/>
    </row>
    <row r="2491" s="1" customFormat="1" spans="1:3">
      <c r="A2491" s="6"/>
      <c r="B2491" s="6"/>
      <c r="C2491" s="6"/>
    </row>
    <row r="2492" s="1" customFormat="1" spans="1:3">
      <c r="A2492" s="6"/>
      <c r="B2492" s="6"/>
      <c r="C2492" s="6"/>
    </row>
    <row r="2493" s="1" customFormat="1" spans="1:3">
      <c r="A2493" s="6"/>
      <c r="B2493" s="6"/>
      <c r="C2493" s="6"/>
    </row>
    <row r="2494" s="1" customFormat="1" spans="1:3">
      <c r="A2494" s="6"/>
      <c r="B2494" s="6"/>
      <c r="C2494" s="6"/>
    </row>
    <row r="2495" s="1" customFormat="1" spans="1:3">
      <c r="A2495" s="6"/>
      <c r="B2495" s="6"/>
      <c r="C2495" s="6"/>
    </row>
    <row r="2496" s="1" customFormat="1" spans="1:3">
      <c r="A2496" s="6"/>
      <c r="B2496" s="6"/>
      <c r="C2496" s="6"/>
    </row>
    <row r="2497" s="1" customFormat="1" spans="1:3">
      <c r="A2497" s="6"/>
      <c r="B2497" s="6"/>
      <c r="C2497" s="6"/>
    </row>
    <row r="2498" s="1" customFormat="1" spans="1:3">
      <c r="A2498" s="6"/>
      <c r="B2498" s="6"/>
      <c r="C2498" s="6"/>
    </row>
    <row r="2499" s="1" customFormat="1" spans="1:3">
      <c r="A2499" s="6"/>
      <c r="B2499" s="6"/>
      <c r="C2499" s="6"/>
    </row>
    <row r="2500" s="1" customFormat="1" spans="1:3">
      <c r="A2500" s="6"/>
      <c r="B2500" s="6"/>
      <c r="C2500" s="6"/>
    </row>
    <row r="2501" s="1" customFormat="1" spans="1:3">
      <c r="A2501" s="6"/>
      <c r="B2501" s="6"/>
      <c r="C2501" s="6"/>
    </row>
    <row r="2502" s="1" customFormat="1" spans="1:3">
      <c r="A2502" s="6"/>
      <c r="B2502" s="6"/>
      <c r="C2502" s="6"/>
    </row>
    <row r="2503" s="1" customFormat="1" spans="1:3">
      <c r="A2503" s="6"/>
      <c r="B2503" s="6"/>
      <c r="C2503" s="6"/>
    </row>
    <row r="2504" s="1" customFormat="1" spans="1:3">
      <c r="A2504" s="6"/>
      <c r="B2504" s="6"/>
      <c r="C2504" s="6"/>
    </row>
    <row r="2505" s="1" customFormat="1" spans="1:3">
      <c r="A2505" s="6"/>
      <c r="B2505" s="6"/>
      <c r="C2505" s="6"/>
    </row>
    <row r="2506" s="1" customFormat="1" spans="1:3">
      <c r="A2506" s="6"/>
      <c r="B2506" s="6"/>
      <c r="C2506" s="6"/>
    </row>
    <row r="2507" s="1" customFormat="1" spans="1:3">
      <c r="A2507" s="6"/>
      <c r="B2507" s="6"/>
      <c r="C2507" s="6"/>
    </row>
    <row r="2508" s="1" customFormat="1" spans="1:3">
      <c r="A2508" s="6"/>
      <c r="B2508" s="6"/>
      <c r="C2508" s="6"/>
    </row>
    <row r="2509" s="1" customFormat="1" spans="1:3">
      <c r="A2509" s="6"/>
      <c r="B2509" s="6"/>
      <c r="C2509" s="6"/>
    </row>
    <row r="2510" s="1" customFormat="1" spans="1:3">
      <c r="A2510" s="6"/>
      <c r="B2510" s="6"/>
      <c r="C2510" s="6"/>
    </row>
    <row r="2511" s="1" customFormat="1" spans="1:3">
      <c r="A2511" s="6"/>
      <c r="B2511" s="6"/>
      <c r="C2511" s="6"/>
    </row>
    <row r="2512" s="1" customFormat="1" spans="1:3">
      <c r="A2512" s="6"/>
      <c r="B2512" s="6"/>
      <c r="C2512" s="6"/>
    </row>
    <row r="2513" s="1" customFormat="1" spans="1:3">
      <c r="A2513" s="6"/>
      <c r="B2513" s="6"/>
      <c r="C2513" s="6"/>
    </row>
    <row r="2514" s="1" customFormat="1" spans="1:3">
      <c r="A2514" s="6"/>
      <c r="B2514" s="6"/>
      <c r="C2514" s="6"/>
    </row>
    <row r="2515" s="1" customFormat="1" spans="1:3">
      <c r="A2515" s="6"/>
      <c r="B2515" s="6"/>
      <c r="C2515" s="6"/>
    </row>
    <row r="2516" s="1" customFormat="1" spans="1:3">
      <c r="A2516" s="6"/>
      <c r="B2516" s="6"/>
      <c r="C2516" s="6"/>
    </row>
    <row r="2517" s="1" customFormat="1" spans="1:3">
      <c r="A2517" s="6"/>
      <c r="B2517" s="6"/>
      <c r="C2517" s="6"/>
    </row>
    <row r="2518" s="1" customFormat="1" spans="1:3">
      <c r="A2518" s="6"/>
      <c r="B2518" s="6"/>
      <c r="C2518" s="6"/>
    </row>
    <row r="2519" s="1" customFormat="1" spans="1:3">
      <c r="A2519" s="6"/>
      <c r="B2519" s="6"/>
      <c r="C2519" s="6"/>
    </row>
    <row r="2520" s="1" customFormat="1" spans="1:3">
      <c r="A2520" s="6"/>
      <c r="B2520" s="6"/>
      <c r="C2520" s="6"/>
    </row>
    <row r="2521" s="1" customFormat="1" spans="1:3">
      <c r="A2521" s="6"/>
      <c r="B2521" s="6"/>
      <c r="C2521" s="6"/>
    </row>
    <row r="2522" s="1" customFormat="1" spans="1:3">
      <c r="A2522" s="6"/>
      <c r="B2522" s="6"/>
      <c r="C2522" s="6"/>
    </row>
    <row r="2523" s="1" customFormat="1" spans="1:3">
      <c r="A2523" s="6"/>
      <c r="B2523" s="6"/>
      <c r="C2523" s="6"/>
    </row>
    <row r="2524" s="1" customFormat="1" spans="1:3">
      <c r="A2524" s="6"/>
      <c r="B2524" s="6"/>
      <c r="C2524" s="6"/>
    </row>
    <row r="2525" s="1" customFormat="1" spans="1:3">
      <c r="A2525" s="6"/>
      <c r="B2525" s="6"/>
      <c r="C2525" s="6"/>
    </row>
    <row r="2526" s="1" customFormat="1" spans="1:3">
      <c r="A2526" s="6"/>
      <c r="B2526" s="6"/>
      <c r="C2526" s="6"/>
    </row>
    <row r="2527" s="1" customFormat="1" spans="1:3">
      <c r="A2527" s="6"/>
      <c r="B2527" s="6"/>
      <c r="C2527" s="6"/>
    </row>
    <row r="2528" s="1" customFormat="1" spans="1:3">
      <c r="A2528" s="6"/>
      <c r="B2528" s="6"/>
      <c r="C2528" s="6"/>
    </row>
    <row r="2529" s="1" customFormat="1" spans="1:3">
      <c r="A2529" s="6"/>
      <c r="B2529" s="6"/>
      <c r="C2529" s="6"/>
    </row>
    <row r="2530" s="1" customFormat="1" spans="1:3">
      <c r="A2530" s="6"/>
      <c r="B2530" s="6"/>
      <c r="C2530" s="6"/>
    </row>
    <row r="2531" s="1" customFormat="1" spans="1:3">
      <c r="A2531" s="6"/>
      <c r="B2531" s="6"/>
      <c r="C2531" s="6"/>
    </row>
    <row r="2532" s="1" customFormat="1" spans="1:3">
      <c r="A2532" s="6"/>
      <c r="B2532" s="6"/>
      <c r="C2532" s="6"/>
    </row>
    <row r="2533" s="1" customFormat="1" spans="1:3">
      <c r="A2533" s="6"/>
      <c r="B2533" s="6"/>
      <c r="C2533" s="6"/>
    </row>
    <row r="2534" s="1" customFormat="1" spans="1:3">
      <c r="A2534" s="6"/>
      <c r="B2534" s="6"/>
      <c r="C2534" s="6"/>
    </row>
    <row r="2535" s="1" customFormat="1" spans="1:3">
      <c r="A2535" s="6"/>
      <c r="B2535" s="6"/>
      <c r="C2535" s="6"/>
    </row>
    <row r="2536" s="1" customFormat="1" spans="1:3">
      <c r="A2536" s="6"/>
      <c r="B2536" s="6"/>
      <c r="C2536" s="6"/>
    </row>
    <row r="2537" s="1" customFormat="1" spans="1:3">
      <c r="A2537" s="6"/>
      <c r="B2537" s="6"/>
      <c r="C2537" s="6"/>
    </row>
    <row r="2538" s="1" customFormat="1" spans="1:3">
      <c r="A2538" s="6"/>
      <c r="B2538" s="6"/>
      <c r="C2538" s="6"/>
    </row>
    <row r="2539" s="1" customFormat="1" spans="1:3">
      <c r="A2539" s="6"/>
      <c r="B2539" s="6"/>
      <c r="C2539" s="6"/>
    </row>
    <row r="2540" s="1" customFormat="1" spans="1:3">
      <c r="A2540" s="6"/>
      <c r="B2540" s="6"/>
      <c r="C2540" s="6"/>
    </row>
    <row r="2541" s="1" customFormat="1" spans="1:3">
      <c r="A2541" s="6"/>
      <c r="B2541" s="6"/>
      <c r="C2541" s="6"/>
    </row>
    <row r="2542" s="1" customFormat="1" spans="1:3">
      <c r="A2542" s="6"/>
      <c r="B2542" s="6"/>
      <c r="C2542" s="6"/>
    </row>
    <row r="2543" s="1" customFormat="1" spans="1:3">
      <c r="A2543" s="6"/>
      <c r="B2543" s="6"/>
      <c r="C2543" s="6"/>
    </row>
    <row r="2544" s="1" customFormat="1" spans="1:3">
      <c r="A2544" s="6"/>
      <c r="B2544" s="6"/>
      <c r="C2544" s="6"/>
    </row>
    <row r="2545" s="1" customFormat="1" spans="1:3">
      <c r="A2545" s="6"/>
      <c r="B2545" s="6"/>
      <c r="C2545" s="6"/>
    </row>
    <row r="2546" s="1" customFormat="1" spans="1:3">
      <c r="A2546" s="6"/>
      <c r="B2546" s="6"/>
      <c r="C2546" s="6"/>
    </row>
    <row r="2547" s="1" customFormat="1" spans="1:3">
      <c r="A2547" s="6"/>
      <c r="B2547" s="6"/>
      <c r="C2547" s="6"/>
    </row>
    <row r="2548" s="1" customFormat="1" spans="1:3">
      <c r="A2548" s="6"/>
      <c r="B2548" s="6"/>
      <c r="C2548" s="6"/>
    </row>
    <row r="2549" s="1" customFormat="1" spans="1:3">
      <c r="A2549" s="6"/>
      <c r="B2549" s="6"/>
      <c r="C2549" s="6"/>
    </row>
    <row r="2550" s="1" customFormat="1" spans="1:3">
      <c r="A2550" s="6"/>
      <c r="B2550" s="6"/>
      <c r="C2550" s="6"/>
    </row>
    <row r="2551" s="1" customFormat="1" spans="1:3">
      <c r="A2551" s="6"/>
      <c r="B2551" s="6"/>
      <c r="C2551" s="6"/>
    </row>
    <row r="2552" s="1" customFormat="1" spans="1:3">
      <c r="A2552" s="6"/>
      <c r="B2552" s="6"/>
      <c r="C2552" s="6"/>
    </row>
    <row r="2553" s="1" customFormat="1" spans="1:3">
      <c r="A2553" s="6"/>
      <c r="B2553" s="6"/>
      <c r="C2553" s="6"/>
    </row>
    <row r="2554" s="1" customFormat="1" spans="1:3">
      <c r="A2554" s="6"/>
      <c r="B2554" s="6"/>
      <c r="C2554" s="6"/>
    </row>
    <row r="2555" s="1" customFormat="1" spans="1:3">
      <c r="A2555" s="6"/>
      <c r="B2555" s="6"/>
      <c r="C2555" s="6"/>
    </row>
    <row r="2556" s="1" customFormat="1" spans="1:3">
      <c r="A2556" s="6"/>
      <c r="B2556" s="6"/>
      <c r="C2556" s="6"/>
    </row>
    <row r="2557" s="1" customFormat="1" spans="1:3">
      <c r="A2557" s="6"/>
      <c r="B2557" s="6"/>
      <c r="C2557" s="6"/>
    </row>
    <row r="2558" s="1" customFormat="1" spans="1:3">
      <c r="A2558" s="6"/>
      <c r="B2558" s="6"/>
      <c r="C2558" s="6"/>
    </row>
    <row r="2559" s="1" customFormat="1" spans="1:3">
      <c r="A2559" s="6"/>
      <c r="B2559" s="6"/>
      <c r="C2559" s="6"/>
    </row>
    <row r="2560" s="1" customFormat="1" spans="1:3">
      <c r="A2560" s="6"/>
      <c r="B2560" s="6"/>
      <c r="C2560" s="6"/>
    </row>
    <row r="2561" s="1" customFormat="1" spans="1:3">
      <c r="A2561" s="6"/>
      <c r="B2561" s="6"/>
      <c r="C2561" s="6"/>
    </row>
    <row r="2562" s="1" customFormat="1" spans="1:3">
      <c r="A2562" s="6"/>
      <c r="B2562" s="6"/>
      <c r="C2562" s="6"/>
    </row>
    <row r="2563" s="1" customFormat="1" spans="1:3">
      <c r="A2563" s="6"/>
      <c r="B2563" s="6"/>
      <c r="C2563" s="6"/>
    </row>
    <row r="2564" s="1" customFormat="1" spans="1:3">
      <c r="A2564" s="6"/>
      <c r="B2564" s="6"/>
      <c r="C2564" s="6"/>
    </row>
    <row r="2565" s="1" customFormat="1" spans="1:3">
      <c r="A2565" s="6"/>
      <c r="B2565" s="6"/>
      <c r="C2565" s="6"/>
    </row>
    <row r="2566" s="1" customFormat="1" spans="1:3">
      <c r="A2566" s="6"/>
      <c r="B2566" s="6"/>
      <c r="C2566" s="6"/>
    </row>
    <row r="2567" s="1" customFormat="1" spans="1:3">
      <c r="A2567" s="6"/>
      <c r="B2567" s="6"/>
      <c r="C2567" s="6"/>
    </row>
    <row r="2568" s="1" customFormat="1" spans="1:3">
      <c r="A2568" s="6"/>
      <c r="B2568" s="6"/>
      <c r="C2568" s="6"/>
    </row>
    <row r="2569" s="1" customFormat="1" spans="1:3">
      <c r="A2569" s="6"/>
      <c r="B2569" s="6"/>
      <c r="C2569" s="6"/>
    </row>
    <row r="2570" s="1" customFormat="1" spans="1:3">
      <c r="A2570" s="6"/>
      <c r="B2570" s="6"/>
      <c r="C2570" s="6"/>
    </row>
    <row r="2571" s="1" customFormat="1" spans="1:3">
      <c r="A2571" s="6"/>
      <c r="B2571" s="6"/>
      <c r="C2571" s="6"/>
    </row>
    <row r="2572" s="1" customFormat="1" spans="1:3">
      <c r="A2572" s="6"/>
      <c r="B2572" s="6"/>
      <c r="C2572" s="6"/>
    </row>
    <row r="2573" s="1" customFormat="1" spans="1:3">
      <c r="A2573" s="6"/>
      <c r="B2573" s="6"/>
      <c r="C2573" s="6"/>
    </row>
    <row r="2574" s="1" customFormat="1" spans="1:3">
      <c r="A2574" s="6"/>
      <c r="B2574" s="6"/>
      <c r="C2574" s="6"/>
    </row>
    <row r="2575" s="1" customFormat="1" spans="1:3">
      <c r="A2575" s="6"/>
      <c r="B2575" s="6"/>
      <c r="C2575" s="6"/>
    </row>
    <row r="2576" s="1" customFormat="1" spans="1:3">
      <c r="A2576" s="6"/>
      <c r="B2576" s="6"/>
      <c r="C2576" s="6"/>
    </row>
    <row r="2577" s="1" customFormat="1" spans="1:3">
      <c r="A2577" s="6"/>
      <c r="B2577" s="6"/>
      <c r="C2577" s="6"/>
    </row>
    <row r="2578" s="1" customFormat="1" spans="1:3">
      <c r="A2578" s="6"/>
      <c r="B2578" s="6"/>
      <c r="C2578" s="6"/>
    </row>
    <row r="2579" s="1" customFormat="1" spans="1:3">
      <c r="A2579" s="6"/>
      <c r="B2579" s="6"/>
      <c r="C2579" s="6"/>
    </row>
    <row r="2580" s="1" customFormat="1" spans="1:3">
      <c r="A2580" s="6"/>
      <c r="B2580" s="6"/>
      <c r="C2580" s="6"/>
    </row>
    <row r="2581" s="1" customFormat="1" spans="1:3">
      <c r="A2581" s="6"/>
      <c r="B2581" s="6"/>
      <c r="C2581" s="6"/>
    </row>
    <row r="2582" s="1" customFormat="1" spans="1:3">
      <c r="A2582" s="6"/>
      <c r="B2582" s="6"/>
      <c r="C2582" s="6"/>
    </row>
    <row r="2583" s="1" customFormat="1" spans="1:3">
      <c r="A2583" s="6"/>
      <c r="B2583" s="6"/>
      <c r="C2583" s="6"/>
    </row>
    <row r="2584" s="1" customFormat="1" spans="1:3">
      <c r="A2584" s="6"/>
      <c r="B2584" s="6"/>
      <c r="C2584" s="6"/>
    </row>
    <row r="2585" s="1" customFormat="1" spans="1:3">
      <c r="A2585" s="6"/>
      <c r="B2585" s="6"/>
      <c r="C2585" s="6"/>
    </row>
    <row r="2586" s="1" customFormat="1" spans="1:3">
      <c r="A2586" s="6"/>
      <c r="B2586" s="6"/>
      <c r="C2586" s="6"/>
    </row>
    <row r="2587" s="1" customFormat="1" spans="1:3">
      <c r="A2587" s="6"/>
      <c r="B2587" s="6"/>
      <c r="C2587" s="6"/>
    </row>
    <row r="2588" s="1" customFormat="1" spans="1:3">
      <c r="A2588" s="6"/>
      <c r="B2588" s="6"/>
      <c r="C2588" s="6"/>
    </row>
    <row r="2589" s="1" customFormat="1" spans="1:3">
      <c r="A2589" s="6"/>
      <c r="B2589" s="6"/>
      <c r="C2589" s="6"/>
    </row>
    <row r="2590" s="1" customFormat="1" spans="1:3">
      <c r="A2590" s="6"/>
      <c r="B2590" s="6"/>
      <c r="C2590" s="6"/>
    </row>
    <row r="2591" s="1" customFormat="1" spans="1:3">
      <c r="A2591" s="6"/>
      <c r="B2591" s="6"/>
      <c r="C2591" s="6"/>
    </row>
    <row r="2592" s="1" customFormat="1" spans="1:3">
      <c r="A2592" s="6"/>
      <c r="B2592" s="6"/>
      <c r="C2592" s="6"/>
    </row>
    <row r="2593" s="1" customFormat="1" spans="1:3">
      <c r="A2593" s="6"/>
      <c r="B2593" s="6"/>
      <c r="C2593" s="6"/>
    </row>
    <row r="2594" s="1" customFormat="1" spans="1:3">
      <c r="A2594" s="6"/>
      <c r="B2594" s="6"/>
      <c r="C2594" s="6"/>
    </row>
    <row r="2595" s="1" customFormat="1" spans="1:3">
      <c r="A2595" s="6"/>
      <c r="B2595" s="6"/>
      <c r="C2595" s="6"/>
    </row>
    <row r="2596" s="1" customFormat="1" spans="1:3">
      <c r="A2596" s="6"/>
      <c r="B2596" s="6"/>
      <c r="C2596" s="6"/>
    </row>
    <row r="2597" s="1" customFormat="1" spans="1:3">
      <c r="A2597" s="6"/>
      <c r="B2597" s="6"/>
      <c r="C2597" s="6"/>
    </row>
    <row r="2598" s="1" customFormat="1" spans="1:3">
      <c r="A2598" s="6"/>
      <c r="B2598" s="6"/>
      <c r="C2598" s="6"/>
    </row>
    <row r="2599" s="1" customFormat="1" spans="1:3">
      <c r="A2599" s="6"/>
      <c r="B2599" s="6"/>
      <c r="C2599" s="6"/>
    </row>
    <row r="2600" s="1" customFormat="1" spans="1:3">
      <c r="A2600" s="6"/>
      <c r="B2600" s="6"/>
      <c r="C2600" s="6"/>
    </row>
    <row r="2601" s="1" customFormat="1" spans="1:3">
      <c r="A2601" s="6"/>
      <c r="B2601" s="6"/>
      <c r="C2601" s="6"/>
    </row>
    <row r="2602" s="1" customFormat="1" spans="1:3">
      <c r="A2602" s="6"/>
      <c r="B2602" s="6"/>
      <c r="C2602" s="6"/>
    </row>
    <row r="2603" s="1" customFormat="1" spans="1:3">
      <c r="A2603" s="6"/>
      <c r="B2603" s="6"/>
      <c r="C2603" s="6"/>
    </row>
    <row r="2604" s="1" customFormat="1" spans="1:3">
      <c r="A2604" s="6"/>
      <c r="B2604" s="6"/>
      <c r="C2604" s="6"/>
    </row>
    <row r="2605" s="1" customFormat="1" spans="1:3">
      <c r="A2605" s="6"/>
      <c r="B2605" s="6"/>
      <c r="C2605" s="6"/>
    </row>
    <row r="2606" s="1" customFormat="1" spans="1:3">
      <c r="A2606" s="6"/>
      <c r="B2606" s="6"/>
      <c r="C2606" s="6"/>
    </row>
    <row r="2607" s="1" customFormat="1" spans="1:3">
      <c r="A2607" s="6"/>
      <c r="B2607" s="6"/>
      <c r="C2607" s="6"/>
    </row>
    <row r="2608" s="1" customFormat="1" spans="1:3">
      <c r="A2608" s="6"/>
      <c r="B2608" s="6"/>
      <c r="C2608" s="6"/>
    </row>
    <row r="2609" s="1" customFormat="1" spans="1:3">
      <c r="A2609" s="6"/>
      <c r="B2609" s="6"/>
      <c r="C2609" s="6"/>
    </row>
    <row r="2610" s="1" customFormat="1" spans="1:3">
      <c r="A2610" s="6"/>
      <c r="B2610" s="6"/>
      <c r="C2610" s="6"/>
    </row>
    <row r="2611" s="1" customFormat="1" spans="1:3">
      <c r="A2611" s="6"/>
      <c r="B2611" s="6"/>
      <c r="C2611" s="6"/>
    </row>
    <row r="2612" s="1" customFormat="1" spans="1:3">
      <c r="A2612" s="6"/>
      <c r="B2612" s="6"/>
      <c r="C2612" s="6"/>
    </row>
    <row r="2613" s="1" customFormat="1" spans="1:3">
      <c r="A2613" s="6"/>
      <c r="B2613" s="6"/>
      <c r="C2613" s="6"/>
    </row>
    <row r="2614" s="1" customFormat="1" spans="1:3">
      <c r="A2614" s="6"/>
      <c r="B2614" s="6"/>
      <c r="C2614" s="6"/>
    </row>
    <row r="2615" s="1" customFormat="1" spans="1:3">
      <c r="A2615" s="6"/>
      <c r="B2615" s="6"/>
      <c r="C2615" s="6"/>
    </row>
    <row r="2616" s="1" customFormat="1" spans="1:3">
      <c r="A2616" s="6"/>
      <c r="B2616" s="6"/>
      <c r="C2616" s="6"/>
    </row>
    <row r="2617" s="1" customFormat="1" spans="1:3">
      <c r="A2617" s="6"/>
      <c r="B2617" s="6"/>
      <c r="C2617" s="6"/>
    </row>
    <row r="2618" s="1" customFormat="1" spans="1:3">
      <c r="A2618" s="6"/>
      <c r="B2618" s="6"/>
      <c r="C2618" s="6"/>
    </row>
    <row r="2619" s="1" customFormat="1" spans="1:3">
      <c r="A2619" s="6"/>
      <c r="B2619" s="6"/>
      <c r="C2619" s="6"/>
    </row>
    <row r="2620" s="1" customFormat="1" spans="1:3">
      <c r="A2620" s="6"/>
      <c r="B2620" s="6"/>
      <c r="C2620" s="6"/>
    </row>
    <row r="2621" s="1" customFormat="1" spans="1:3">
      <c r="A2621" s="6"/>
      <c r="B2621" s="6"/>
      <c r="C2621" s="6"/>
    </row>
    <row r="2622" s="1" customFormat="1" spans="1:3">
      <c r="A2622" s="6"/>
      <c r="B2622" s="6"/>
      <c r="C2622" s="6"/>
    </row>
    <row r="2623" s="1" customFormat="1" spans="1:3">
      <c r="A2623" s="6"/>
      <c r="B2623" s="6"/>
      <c r="C2623" s="6"/>
    </row>
    <row r="2624" s="1" customFormat="1" spans="1:3">
      <c r="A2624" s="6"/>
      <c r="B2624" s="6"/>
      <c r="C2624" s="6"/>
    </row>
    <row r="2625" s="1" customFormat="1" spans="1:3">
      <c r="A2625" s="6"/>
      <c r="B2625" s="6"/>
      <c r="C2625" s="6"/>
    </row>
    <row r="2626" s="1" customFormat="1" spans="1:3">
      <c r="A2626" s="6"/>
      <c r="B2626" s="6"/>
      <c r="C2626" s="6"/>
    </row>
    <row r="2627" s="1" customFormat="1" spans="1:3">
      <c r="A2627" s="6"/>
      <c r="B2627" s="6"/>
      <c r="C2627" s="6"/>
    </row>
    <row r="2628" s="1" customFormat="1" spans="1:3">
      <c r="A2628" s="6"/>
      <c r="B2628" s="6"/>
      <c r="C2628" s="6"/>
    </row>
    <row r="2629" s="1" customFormat="1" spans="1:3">
      <c r="A2629" s="6"/>
      <c r="B2629" s="6"/>
      <c r="C2629" s="6"/>
    </row>
    <row r="2630" s="1" customFormat="1" spans="1:3">
      <c r="A2630" s="6"/>
      <c r="B2630" s="6"/>
      <c r="C2630" s="6"/>
    </row>
    <row r="2631" s="1" customFormat="1" spans="1:3">
      <c r="A2631" s="6"/>
      <c r="B2631" s="6"/>
      <c r="C2631" s="6"/>
    </row>
    <row r="2632" s="1" customFormat="1" spans="1:3">
      <c r="A2632" s="6"/>
      <c r="B2632" s="6"/>
      <c r="C2632" s="6"/>
    </row>
    <row r="2633" s="1" customFormat="1" spans="1:3">
      <c r="A2633" s="6"/>
      <c r="B2633" s="6"/>
      <c r="C2633" s="6"/>
    </row>
    <row r="2634" s="1" customFormat="1" spans="1:3">
      <c r="A2634" s="6"/>
      <c r="B2634" s="6"/>
      <c r="C2634" s="6"/>
    </row>
    <row r="2635" s="1" customFormat="1" spans="1:3">
      <c r="A2635" s="6"/>
      <c r="B2635" s="6"/>
      <c r="C2635" s="6"/>
    </row>
    <row r="2636" s="1" customFormat="1" spans="1:3">
      <c r="A2636" s="6"/>
      <c r="B2636" s="6"/>
      <c r="C2636" s="6"/>
    </row>
    <row r="2637" s="1" customFormat="1" spans="1:3">
      <c r="A2637" s="6"/>
      <c r="B2637" s="6"/>
      <c r="C2637" s="6"/>
    </row>
    <row r="2638" s="1" customFormat="1" spans="1:3">
      <c r="A2638" s="6"/>
      <c r="B2638" s="6"/>
      <c r="C2638" s="6"/>
    </row>
    <row r="2639" s="1" customFormat="1" spans="1:3">
      <c r="A2639" s="6"/>
      <c r="B2639" s="6"/>
      <c r="C2639" s="6"/>
    </row>
    <row r="2640" s="1" customFormat="1" spans="1:3">
      <c r="A2640" s="6"/>
      <c r="B2640" s="6"/>
      <c r="C2640" s="6"/>
    </row>
    <row r="2641" s="1" customFormat="1" spans="1:3">
      <c r="A2641" s="6"/>
      <c r="B2641" s="6"/>
      <c r="C2641" s="6"/>
    </row>
    <row r="2642" s="1" customFormat="1" spans="1:3">
      <c r="A2642" s="6"/>
      <c r="B2642" s="6"/>
      <c r="C2642" s="6"/>
    </row>
    <row r="2643" s="1" customFormat="1" spans="1:3">
      <c r="A2643" s="6"/>
      <c r="B2643" s="6"/>
      <c r="C2643" s="6"/>
    </row>
    <row r="2644" s="1" customFormat="1" spans="1:3">
      <c r="A2644" s="6"/>
      <c r="B2644" s="6"/>
      <c r="C2644" s="6"/>
    </row>
    <row r="2645" s="1" customFormat="1" spans="1:3">
      <c r="A2645" s="6"/>
      <c r="B2645" s="6"/>
      <c r="C2645" s="6"/>
    </row>
    <row r="2646" s="1" customFormat="1" spans="1:3">
      <c r="A2646" s="6"/>
      <c r="B2646" s="6"/>
      <c r="C2646" s="6"/>
    </row>
    <row r="2647" s="1" customFormat="1" spans="1:3">
      <c r="A2647" s="6"/>
      <c r="B2647" s="6"/>
      <c r="C2647" s="6"/>
    </row>
    <row r="2648" s="1" customFormat="1" spans="1:3">
      <c r="A2648" s="6"/>
      <c r="B2648" s="6"/>
      <c r="C2648" s="6"/>
    </row>
    <row r="2649" s="1" customFormat="1" spans="1:3">
      <c r="A2649" s="6"/>
      <c r="B2649" s="6"/>
      <c r="C2649" s="6"/>
    </row>
    <row r="2650" s="1" customFormat="1" spans="1:3">
      <c r="A2650" s="6"/>
      <c r="B2650" s="6"/>
      <c r="C2650" s="6"/>
    </row>
    <row r="2651" s="1" customFormat="1" spans="1:3">
      <c r="A2651" s="6"/>
      <c r="B2651" s="6"/>
      <c r="C2651" s="6"/>
    </row>
    <row r="2652" s="1" customFormat="1" spans="1:3">
      <c r="A2652" s="6"/>
      <c r="B2652" s="6"/>
      <c r="C2652" s="6"/>
    </row>
    <row r="2653" s="1" customFormat="1" spans="1:3">
      <c r="A2653" s="6"/>
      <c r="B2653" s="6"/>
      <c r="C2653" s="6"/>
    </row>
    <row r="2654" s="1" customFormat="1" spans="1:3">
      <c r="A2654" s="6"/>
      <c r="B2654" s="6"/>
      <c r="C2654" s="6"/>
    </row>
    <row r="2655" s="1" customFormat="1" spans="1:3">
      <c r="A2655" s="6"/>
      <c r="B2655" s="6"/>
      <c r="C2655" s="6"/>
    </row>
    <row r="2656" s="1" customFormat="1" spans="1:3">
      <c r="A2656" s="6"/>
      <c r="B2656" s="6"/>
      <c r="C2656" s="6"/>
    </row>
    <row r="2657" s="1" customFormat="1" spans="1:3">
      <c r="A2657" s="6"/>
      <c r="B2657" s="6"/>
      <c r="C2657" s="6"/>
    </row>
    <row r="2658" s="1" customFormat="1" spans="1:3">
      <c r="A2658" s="6"/>
      <c r="B2658" s="6"/>
      <c r="C2658" s="6"/>
    </row>
    <row r="2659" s="1" customFormat="1" spans="1:3">
      <c r="A2659" s="6"/>
      <c r="B2659" s="6"/>
      <c r="C2659" s="6"/>
    </row>
    <row r="2660" s="1" customFormat="1" spans="1:3">
      <c r="A2660" s="6"/>
      <c r="B2660" s="6"/>
      <c r="C2660" s="6"/>
    </row>
    <row r="2661" s="1" customFormat="1" spans="1:3">
      <c r="A2661" s="6"/>
      <c r="B2661" s="6"/>
      <c r="C2661" s="6"/>
    </row>
    <row r="2662" s="1" customFormat="1" spans="1:3">
      <c r="A2662" s="6"/>
      <c r="B2662" s="6"/>
      <c r="C2662" s="6"/>
    </row>
    <row r="2663" s="1" customFormat="1" spans="1:3">
      <c r="A2663" s="6"/>
      <c r="B2663" s="6"/>
      <c r="C2663" s="6"/>
    </row>
    <row r="2664" s="1" customFormat="1" spans="1:3">
      <c r="A2664" s="6"/>
      <c r="B2664" s="6"/>
      <c r="C2664" s="6"/>
    </row>
    <row r="2665" s="1" customFormat="1" spans="1:3">
      <c r="A2665" s="6"/>
      <c r="B2665" s="6"/>
      <c r="C2665" s="6"/>
    </row>
    <row r="2666" s="1" customFormat="1" spans="1:3">
      <c r="A2666" s="6"/>
      <c r="B2666" s="6"/>
      <c r="C2666" s="6"/>
    </row>
    <row r="2667" s="1" customFormat="1" spans="1:3">
      <c r="A2667" s="6"/>
      <c r="B2667" s="6"/>
      <c r="C2667" s="6"/>
    </row>
    <row r="2668" s="1" customFormat="1" spans="1:3">
      <c r="A2668" s="6"/>
      <c r="B2668" s="6"/>
      <c r="C2668" s="6"/>
    </row>
    <row r="2669" s="1" customFormat="1" spans="1:3">
      <c r="A2669" s="6"/>
      <c r="B2669" s="6"/>
      <c r="C2669" s="6"/>
    </row>
    <row r="2670" s="1" customFormat="1" spans="1:3">
      <c r="A2670" s="6"/>
      <c r="B2670" s="6"/>
      <c r="C2670" s="6"/>
    </row>
    <row r="2671" s="1" customFormat="1" spans="1:3">
      <c r="A2671" s="6"/>
      <c r="B2671" s="6"/>
      <c r="C2671" s="6"/>
    </row>
    <row r="2672" s="1" customFormat="1" spans="1:3">
      <c r="A2672" s="6"/>
      <c r="B2672" s="6"/>
      <c r="C2672" s="6"/>
    </row>
    <row r="2673" s="1" customFormat="1" spans="1:3">
      <c r="A2673" s="6"/>
      <c r="B2673" s="6"/>
      <c r="C2673" s="6"/>
    </row>
    <row r="2674" s="1" customFormat="1" spans="1:3">
      <c r="A2674" s="6"/>
      <c r="B2674" s="6"/>
      <c r="C2674" s="6"/>
    </row>
    <row r="2675" s="1" customFormat="1" spans="1:3">
      <c r="A2675" s="6"/>
      <c r="B2675" s="6"/>
      <c r="C2675" s="6"/>
    </row>
    <row r="2676" s="1" customFormat="1" spans="1:3">
      <c r="A2676" s="6"/>
      <c r="B2676" s="6"/>
      <c r="C2676" s="6"/>
    </row>
    <row r="2677" s="1" customFormat="1" spans="1:3">
      <c r="A2677" s="6"/>
      <c r="B2677" s="6"/>
      <c r="C2677" s="6"/>
    </row>
    <row r="2678" s="1" customFormat="1" spans="1:3">
      <c r="A2678" s="6"/>
      <c r="B2678" s="6"/>
      <c r="C2678" s="6"/>
    </row>
    <row r="2679" s="1" customFormat="1" spans="1:3">
      <c r="A2679" s="6"/>
      <c r="B2679" s="6"/>
      <c r="C2679" s="6"/>
    </row>
    <row r="2680" s="1" customFormat="1" spans="1:3">
      <c r="A2680" s="6"/>
      <c r="B2680" s="6"/>
      <c r="C2680" s="6"/>
    </row>
    <row r="2681" s="1" customFormat="1" spans="1:3">
      <c r="A2681" s="6"/>
      <c r="B2681" s="6"/>
      <c r="C2681" s="6"/>
    </row>
    <row r="2682" s="1" customFormat="1" spans="1:3">
      <c r="A2682" s="6"/>
      <c r="B2682" s="6"/>
      <c r="C2682" s="6"/>
    </row>
    <row r="2683" s="1" customFormat="1" spans="1:3">
      <c r="A2683" s="6"/>
      <c r="B2683" s="6"/>
      <c r="C2683" s="6"/>
    </row>
    <row r="2684" s="1" customFormat="1" spans="1:3">
      <c r="A2684" s="6"/>
      <c r="B2684" s="6"/>
      <c r="C2684" s="6"/>
    </row>
    <row r="2685" s="1" customFormat="1" spans="1:3">
      <c r="A2685" s="6"/>
      <c r="B2685" s="6"/>
      <c r="C2685" s="6"/>
    </row>
    <row r="2686" s="1" customFormat="1" spans="1:3">
      <c r="A2686" s="6"/>
      <c r="B2686" s="6"/>
      <c r="C2686" s="6"/>
    </row>
    <row r="2687" s="1" customFormat="1" spans="1:3">
      <c r="A2687" s="6"/>
      <c r="B2687" s="6"/>
      <c r="C2687" s="6"/>
    </row>
    <row r="2688" s="1" customFormat="1" spans="1:3">
      <c r="A2688" s="6"/>
      <c r="B2688" s="6"/>
      <c r="C2688" s="6"/>
    </row>
    <row r="2689" s="1" customFormat="1" spans="1:3">
      <c r="A2689" s="6"/>
      <c r="B2689" s="6"/>
      <c r="C2689" s="6"/>
    </row>
    <row r="2690" s="1" customFormat="1" spans="1:3">
      <c r="A2690" s="6"/>
      <c r="B2690" s="6"/>
      <c r="C2690" s="6"/>
    </row>
    <row r="2691" s="1" customFormat="1" spans="1:3">
      <c r="A2691" s="6"/>
      <c r="B2691" s="6"/>
      <c r="C2691" s="6"/>
    </row>
    <row r="2692" s="1" customFormat="1" spans="1:3">
      <c r="A2692" s="6"/>
      <c r="B2692" s="6"/>
      <c r="C2692" s="6"/>
    </row>
    <row r="2693" s="1" customFormat="1" spans="1:3">
      <c r="A2693" s="6"/>
      <c r="B2693" s="6"/>
      <c r="C2693" s="6"/>
    </row>
    <row r="2694" s="1" customFormat="1" spans="1:3">
      <c r="A2694" s="6"/>
      <c r="B2694" s="6"/>
      <c r="C2694" s="6"/>
    </row>
    <row r="2695" s="1" customFormat="1" spans="1:3">
      <c r="A2695" s="6"/>
      <c r="B2695" s="6"/>
      <c r="C2695" s="6"/>
    </row>
    <row r="2696" s="1" customFormat="1" spans="1:3">
      <c r="A2696" s="6"/>
      <c r="B2696" s="6"/>
      <c r="C2696" s="6"/>
    </row>
    <row r="2697" s="1" customFormat="1" spans="1:3">
      <c r="A2697" s="6"/>
      <c r="B2697" s="6"/>
      <c r="C2697" s="6"/>
    </row>
    <row r="2698" s="1" customFormat="1" spans="1:3">
      <c r="A2698" s="6"/>
      <c r="B2698" s="6"/>
      <c r="C2698" s="6"/>
    </row>
    <row r="2699" s="1" customFormat="1" spans="1:3">
      <c r="A2699" s="6"/>
      <c r="B2699" s="6"/>
      <c r="C2699" s="6"/>
    </row>
    <row r="2700" s="1" customFormat="1" spans="1:3">
      <c r="A2700" s="6"/>
      <c r="B2700" s="6"/>
      <c r="C2700" s="6"/>
    </row>
    <row r="2701" s="1" customFormat="1" spans="1:3">
      <c r="A2701" s="6"/>
      <c r="B2701" s="6"/>
      <c r="C2701" s="6"/>
    </row>
    <row r="2702" s="1" customFormat="1" spans="1:3">
      <c r="A2702" s="6"/>
      <c r="B2702" s="6"/>
      <c r="C2702" s="6"/>
    </row>
    <row r="2703" s="1" customFormat="1" spans="1:3">
      <c r="A2703" s="6"/>
      <c r="B2703" s="6"/>
      <c r="C2703" s="6"/>
    </row>
    <row r="2704" s="1" customFormat="1" spans="1:3">
      <c r="A2704" s="6"/>
      <c r="B2704" s="6"/>
      <c r="C2704" s="6"/>
    </row>
    <row r="2705" s="1" customFormat="1" spans="1:3">
      <c r="A2705" s="6"/>
      <c r="B2705" s="6"/>
      <c r="C2705" s="6"/>
    </row>
    <row r="2706" s="1" customFormat="1" spans="1:3">
      <c r="A2706" s="6"/>
      <c r="B2706" s="6"/>
      <c r="C2706" s="6"/>
    </row>
    <row r="2707" s="1" customFormat="1" spans="1:3">
      <c r="A2707" s="6"/>
      <c r="B2707" s="6"/>
      <c r="C2707" s="6"/>
    </row>
    <row r="2708" s="1" customFormat="1" spans="1:3">
      <c r="A2708" s="6"/>
      <c r="B2708" s="6"/>
      <c r="C2708" s="6"/>
    </row>
    <row r="2709" s="1" customFormat="1" spans="1:3">
      <c r="A2709" s="6"/>
      <c r="B2709" s="6"/>
      <c r="C2709" s="6"/>
    </row>
    <row r="2710" s="1" customFormat="1" spans="1:3">
      <c r="A2710" s="6"/>
      <c r="B2710" s="6"/>
      <c r="C2710" s="6"/>
    </row>
    <row r="2711" s="1" customFormat="1" spans="1:3">
      <c r="A2711" s="6"/>
      <c r="B2711" s="6"/>
      <c r="C2711" s="6"/>
    </row>
    <row r="2712" s="1" customFormat="1" spans="1:3">
      <c r="A2712" s="6"/>
      <c r="B2712" s="6"/>
      <c r="C2712" s="6"/>
    </row>
    <row r="2713" s="1" customFormat="1" spans="1:3">
      <c r="A2713" s="6"/>
      <c r="B2713" s="6"/>
      <c r="C2713" s="6"/>
    </row>
    <row r="2714" s="1" customFormat="1" spans="1:3">
      <c r="A2714" s="6"/>
      <c r="B2714" s="6"/>
      <c r="C2714" s="6"/>
    </row>
    <row r="2715" s="1" customFormat="1" spans="1:3">
      <c r="A2715" s="6"/>
      <c r="B2715" s="6"/>
      <c r="C2715" s="6"/>
    </row>
    <row r="2716" s="1" customFormat="1" spans="1:3">
      <c r="A2716" s="6"/>
      <c r="B2716" s="6"/>
      <c r="C2716" s="6"/>
    </row>
    <row r="2717" s="1" customFormat="1" spans="1:3">
      <c r="A2717" s="6"/>
      <c r="B2717" s="6"/>
      <c r="C2717" s="6"/>
    </row>
    <row r="2718" s="1" customFormat="1" spans="1:3">
      <c r="A2718" s="6"/>
      <c r="B2718" s="6"/>
      <c r="C2718" s="6"/>
    </row>
    <row r="2719" s="1" customFormat="1" spans="1:3">
      <c r="A2719" s="6"/>
      <c r="B2719" s="6"/>
      <c r="C2719" s="6"/>
    </row>
    <row r="2720" s="1" customFormat="1" spans="1:3">
      <c r="A2720" s="6"/>
      <c r="B2720" s="6"/>
      <c r="C2720" s="6"/>
    </row>
    <row r="2721" s="1" customFormat="1" spans="1:3">
      <c r="A2721" s="6"/>
      <c r="B2721" s="6"/>
      <c r="C2721" s="6"/>
    </row>
    <row r="2722" s="1" customFormat="1" spans="1:3">
      <c r="A2722" s="6"/>
      <c r="B2722" s="6"/>
      <c r="C2722" s="6"/>
    </row>
    <row r="2723" s="1" customFormat="1" spans="1:3">
      <c r="A2723" s="6"/>
      <c r="B2723" s="6"/>
      <c r="C2723" s="6"/>
    </row>
    <row r="2724" s="1" customFormat="1" spans="1:3">
      <c r="A2724" s="6"/>
      <c r="B2724" s="6"/>
      <c r="C2724" s="6"/>
    </row>
    <row r="2725" s="1" customFormat="1" spans="1:3">
      <c r="A2725" s="6"/>
      <c r="B2725" s="6"/>
      <c r="C2725" s="6"/>
    </row>
    <row r="2726" s="1" customFormat="1" spans="1:3">
      <c r="A2726" s="6"/>
      <c r="B2726" s="6"/>
      <c r="C2726" s="6"/>
    </row>
    <row r="2727" s="1" customFormat="1" spans="1:3">
      <c r="A2727" s="6"/>
      <c r="B2727" s="6"/>
      <c r="C2727" s="6"/>
    </row>
    <row r="2728" s="1" customFormat="1" spans="1:3">
      <c r="A2728" s="6"/>
      <c r="B2728" s="6"/>
      <c r="C2728" s="6"/>
    </row>
    <row r="2729" s="1" customFormat="1" spans="1:3">
      <c r="A2729" s="6"/>
      <c r="B2729" s="6"/>
      <c r="C2729" s="6"/>
    </row>
    <row r="2730" s="1" customFormat="1" spans="1:3">
      <c r="A2730" s="6"/>
      <c r="B2730" s="6"/>
      <c r="C2730" s="6"/>
    </row>
    <row r="2731" s="1" customFormat="1" spans="1:3">
      <c r="A2731" s="6"/>
      <c r="B2731" s="6"/>
      <c r="C2731" s="6"/>
    </row>
    <row r="2732" s="1" customFormat="1" spans="1:3">
      <c r="A2732" s="6"/>
      <c r="B2732" s="6"/>
      <c r="C2732" s="6"/>
    </row>
    <row r="2733" s="1" customFormat="1" spans="1:3">
      <c r="A2733" s="6"/>
      <c r="B2733" s="6"/>
      <c r="C2733" s="6"/>
    </row>
    <row r="2734" s="1" customFormat="1" spans="1:3">
      <c r="A2734" s="6"/>
      <c r="B2734" s="6"/>
      <c r="C2734" s="6"/>
    </row>
    <row r="2735" s="1" customFormat="1" spans="1:3">
      <c r="A2735" s="6"/>
      <c r="B2735" s="6"/>
      <c r="C2735" s="6"/>
    </row>
    <row r="2736" s="1" customFormat="1" spans="1:3">
      <c r="A2736" s="6"/>
      <c r="B2736" s="6"/>
      <c r="C2736" s="6"/>
    </row>
    <row r="2737" s="1" customFormat="1" spans="1:3">
      <c r="A2737" s="6"/>
      <c r="B2737" s="6"/>
      <c r="C2737" s="6"/>
    </row>
    <row r="2738" s="1" customFormat="1" spans="1:3">
      <c r="A2738" s="6"/>
      <c r="B2738" s="6"/>
      <c r="C2738" s="6"/>
    </row>
    <row r="2739" s="1" customFormat="1" spans="1:3">
      <c r="A2739" s="6"/>
      <c r="B2739" s="6"/>
      <c r="C2739" s="6"/>
    </row>
    <row r="2740" s="1" customFormat="1" spans="1:3">
      <c r="A2740" s="6"/>
      <c r="B2740" s="6"/>
      <c r="C2740" s="6"/>
    </row>
    <row r="2741" s="1" customFormat="1" spans="1:3">
      <c r="A2741" s="6"/>
      <c r="B2741" s="6"/>
      <c r="C2741" s="6"/>
    </row>
    <row r="2742" s="1" customFormat="1" spans="1:3">
      <c r="A2742" s="6"/>
      <c r="B2742" s="6"/>
      <c r="C2742" s="6"/>
    </row>
    <row r="2743" s="1" customFormat="1" spans="1:3">
      <c r="A2743" s="6"/>
      <c r="B2743" s="6"/>
      <c r="C2743" s="6"/>
    </row>
    <row r="2744" s="1" customFormat="1" spans="1:3">
      <c r="A2744" s="6"/>
      <c r="B2744" s="6"/>
      <c r="C2744" s="6"/>
    </row>
    <row r="2745" s="1" customFormat="1" spans="1:3">
      <c r="A2745" s="6"/>
      <c r="B2745" s="6"/>
      <c r="C2745" s="6"/>
    </row>
    <row r="2746" s="1" customFormat="1" spans="1:3">
      <c r="A2746" s="6"/>
      <c r="B2746" s="6"/>
      <c r="C2746" s="6"/>
    </row>
    <row r="2747" s="1" customFormat="1" spans="1:3">
      <c r="A2747" s="6"/>
      <c r="B2747" s="6"/>
      <c r="C2747" s="6"/>
    </row>
    <row r="2748" s="1" customFormat="1" spans="1:3">
      <c r="A2748" s="6"/>
      <c r="B2748" s="6"/>
      <c r="C2748" s="6"/>
    </row>
    <row r="2749" s="1" customFormat="1" spans="1:3">
      <c r="A2749" s="6"/>
      <c r="B2749" s="6"/>
      <c r="C2749" s="6"/>
    </row>
    <row r="2750" s="1" customFormat="1" spans="1:3">
      <c r="A2750" s="6"/>
      <c r="B2750" s="6"/>
      <c r="C2750" s="6"/>
    </row>
    <row r="2751" s="1" customFormat="1" spans="1:3">
      <c r="A2751" s="6"/>
      <c r="B2751" s="6"/>
      <c r="C2751" s="6"/>
    </row>
    <row r="2752" s="1" customFormat="1" spans="1:3">
      <c r="A2752" s="6"/>
      <c r="B2752" s="6"/>
      <c r="C2752" s="6"/>
    </row>
    <row r="2753" s="1" customFormat="1" spans="1:3">
      <c r="A2753" s="6"/>
      <c r="B2753" s="6"/>
      <c r="C2753" s="6"/>
    </row>
    <row r="2754" s="1" customFormat="1" spans="1:3">
      <c r="A2754" s="6"/>
      <c r="B2754" s="6"/>
      <c r="C2754" s="6"/>
    </row>
    <row r="2755" s="1" customFormat="1" spans="1:3">
      <c r="A2755" s="6"/>
      <c r="B2755" s="6"/>
      <c r="C2755" s="6"/>
    </row>
    <row r="2756" s="1" customFormat="1" spans="1:3">
      <c r="A2756" s="6"/>
      <c r="B2756" s="6"/>
      <c r="C2756" s="6"/>
    </row>
    <row r="2757" s="1" customFormat="1" spans="1:3">
      <c r="A2757" s="6"/>
      <c r="B2757" s="6"/>
      <c r="C2757" s="6"/>
    </row>
    <row r="2758" s="1" customFormat="1" spans="1:3">
      <c r="A2758" s="6"/>
      <c r="B2758" s="6"/>
      <c r="C2758" s="6"/>
    </row>
    <row r="2759" s="1" customFormat="1" spans="1:3">
      <c r="A2759" s="6"/>
      <c r="B2759" s="6"/>
      <c r="C2759" s="6"/>
    </row>
    <row r="2760" s="1" customFormat="1" spans="1:3">
      <c r="A2760" s="6"/>
      <c r="B2760" s="6"/>
      <c r="C2760" s="6"/>
    </row>
    <row r="2761" s="1" customFormat="1" spans="1:3">
      <c r="A2761" s="6"/>
      <c r="B2761" s="6"/>
      <c r="C2761" s="6"/>
    </row>
    <row r="2762" s="1" customFormat="1" spans="1:3">
      <c r="A2762" s="6"/>
      <c r="B2762" s="6"/>
      <c r="C2762" s="6"/>
    </row>
    <row r="2763" s="1" customFormat="1" spans="1:3">
      <c r="A2763" s="6"/>
      <c r="B2763" s="6"/>
      <c r="C2763" s="6"/>
    </row>
    <row r="2764" s="1" customFormat="1" spans="1:3">
      <c r="A2764" s="6"/>
      <c r="B2764" s="6"/>
      <c r="C2764" s="6"/>
    </row>
    <row r="2765" s="1" customFormat="1" spans="1:3">
      <c r="A2765" s="6"/>
      <c r="B2765" s="6"/>
      <c r="C2765" s="6"/>
    </row>
    <row r="2766" s="1" customFormat="1" spans="1:3">
      <c r="A2766" s="6"/>
      <c r="B2766" s="6"/>
      <c r="C2766" s="6"/>
    </row>
    <row r="2767" s="1" customFormat="1" spans="1:3">
      <c r="A2767" s="6"/>
      <c r="B2767" s="6"/>
      <c r="C2767" s="6"/>
    </row>
    <row r="2768" s="1" customFormat="1" spans="1:3">
      <c r="A2768" s="6"/>
      <c r="B2768" s="6"/>
      <c r="C2768" s="6"/>
    </row>
    <row r="2769" s="1" customFormat="1" spans="1:3">
      <c r="A2769" s="6"/>
      <c r="B2769" s="6"/>
      <c r="C2769" s="6"/>
    </row>
    <row r="2770" s="1" customFormat="1" spans="1:3">
      <c r="A2770" s="6"/>
      <c r="B2770" s="6"/>
      <c r="C2770" s="6"/>
    </row>
    <row r="2771" s="1" customFormat="1" spans="1:3">
      <c r="A2771" s="6"/>
      <c r="B2771" s="6"/>
      <c r="C2771" s="6"/>
    </row>
    <row r="2772" s="1" customFormat="1" spans="1:3">
      <c r="A2772" s="6"/>
      <c r="B2772" s="6"/>
      <c r="C2772" s="6"/>
    </row>
    <row r="2773" s="1" customFormat="1" spans="1:3">
      <c r="A2773" s="6"/>
      <c r="B2773" s="6"/>
      <c r="C2773" s="6"/>
    </row>
    <row r="2774" s="1" customFormat="1" spans="1:3">
      <c r="A2774" s="6"/>
      <c r="B2774" s="6"/>
      <c r="C2774" s="6"/>
    </row>
    <row r="2775" s="1" customFormat="1" spans="1:3">
      <c r="A2775" s="6"/>
      <c r="B2775" s="6"/>
      <c r="C2775" s="6"/>
    </row>
    <row r="2776" s="1" customFormat="1" spans="1:3">
      <c r="A2776" s="6"/>
      <c r="B2776" s="6"/>
      <c r="C2776" s="6"/>
    </row>
    <row r="2777" s="1" customFormat="1" spans="1:3">
      <c r="A2777" s="6"/>
      <c r="B2777" s="6"/>
      <c r="C2777" s="6"/>
    </row>
    <row r="2778" s="1" customFormat="1" spans="1:3">
      <c r="A2778" s="6"/>
      <c r="B2778" s="6"/>
      <c r="C2778" s="6"/>
    </row>
    <row r="2779" s="1" customFormat="1" spans="1:3">
      <c r="A2779" s="6"/>
      <c r="B2779" s="6"/>
      <c r="C2779" s="6"/>
    </row>
    <row r="2780" s="1" customFormat="1" spans="1:3">
      <c r="A2780" s="6"/>
      <c r="B2780" s="6"/>
      <c r="C2780" s="6"/>
    </row>
    <row r="2781" s="1" customFormat="1" spans="1:3">
      <c r="A2781" s="6"/>
      <c r="B2781" s="6"/>
      <c r="C2781" s="6"/>
    </row>
    <row r="2782" s="1" customFormat="1" spans="1:3">
      <c r="A2782" s="6"/>
      <c r="B2782" s="6"/>
      <c r="C2782" s="6"/>
    </row>
    <row r="2783" s="1" customFormat="1" spans="1:3">
      <c r="A2783" s="6"/>
      <c r="B2783" s="6"/>
      <c r="C2783" s="6"/>
    </row>
    <row r="2784" s="1" customFormat="1" spans="1:3">
      <c r="A2784" s="6"/>
      <c r="B2784" s="6"/>
      <c r="C2784" s="6"/>
    </row>
    <row r="2785" s="1" customFormat="1" spans="1:3">
      <c r="A2785" s="6"/>
      <c r="B2785" s="6"/>
      <c r="C2785" s="6"/>
    </row>
    <row r="2786" s="1" customFormat="1" spans="1:3">
      <c r="A2786" s="6"/>
      <c r="B2786" s="6"/>
      <c r="C2786" s="6"/>
    </row>
    <row r="2787" s="1" customFormat="1" spans="1:3">
      <c r="A2787" s="6"/>
      <c r="B2787" s="6"/>
      <c r="C2787" s="6"/>
    </row>
    <row r="2788" s="1" customFormat="1" spans="1:3">
      <c r="A2788" s="6"/>
      <c r="B2788" s="6"/>
      <c r="C2788" s="6"/>
    </row>
    <row r="2789" s="1" customFormat="1" spans="1:3">
      <c r="A2789" s="6"/>
      <c r="B2789" s="6"/>
      <c r="C2789" s="6"/>
    </row>
    <row r="2790" s="1" customFormat="1" spans="1:3">
      <c r="A2790" s="6"/>
      <c r="B2790" s="6"/>
      <c r="C2790" s="6"/>
    </row>
    <row r="2791" s="1" customFormat="1" spans="1:3">
      <c r="A2791" s="6"/>
      <c r="B2791" s="6"/>
      <c r="C2791" s="6"/>
    </row>
    <row r="2792" s="1" customFormat="1" spans="1:3">
      <c r="A2792" s="6"/>
      <c r="B2792" s="6"/>
      <c r="C2792" s="6"/>
    </row>
    <row r="2793" s="1" customFormat="1" spans="1:3">
      <c r="A2793" s="6"/>
      <c r="B2793" s="6"/>
      <c r="C2793" s="6"/>
    </row>
    <row r="2794" s="1" customFormat="1" spans="1:3">
      <c r="A2794" s="6"/>
      <c r="B2794" s="6"/>
      <c r="C2794" s="6"/>
    </row>
    <row r="2795" s="1" customFormat="1" spans="1:3">
      <c r="A2795" s="6"/>
      <c r="B2795" s="6"/>
      <c r="C2795" s="6"/>
    </row>
    <row r="2796" s="1" customFormat="1" spans="1:3">
      <c r="A2796" s="6"/>
      <c r="B2796" s="6"/>
      <c r="C2796" s="6"/>
    </row>
    <row r="2797" s="1" customFormat="1" spans="1:3">
      <c r="A2797" s="6"/>
      <c r="B2797" s="6"/>
      <c r="C2797" s="6"/>
    </row>
    <row r="2798" s="1" customFormat="1" spans="1:3">
      <c r="A2798" s="6"/>
      <c r="B2798" s="6"/>
      <c r="C2798" s="6"/>
    </row>
    <row r="2799" s="1" customFormat="1" spans="1:3">
      <c r="A2799" s="6"/>
      <c r="B2799" s="6"/>
      <c r="C2799" s="6"/>
    </row>
    <row r="2800" s="1" customFormat="1" spans="1:3">
      <c r="A2800" s="6"/>
      <c r="B2800" s="6"/>
      <c r="C2800" s="6"/>
    </row>
    <row r="2801" s="1" customFormat="1" spans="1:3">
      <c r="A2801" s="6"/>
      <c r="B2801" s="6"/>
      <c r="C2801" s="6"/>
    </row>
    <row r="2802" s="1" customFormat="1" spans="1:3">
      <c r="A2802" s="6"/>
      <c r="B2802" s="6"/>
      <c r="C2802" s="6"/>
    </row>
    <row r="2803" s="1" customFormat="1" spans="1:3">
      <c r="A2803" s="6"/>
      <c r="B2803" s="6"/>
      <c r="C2803" s="6"/>
    </row>
    <row r="2804" s="1" customFormat="1" spans="1:3">
      <c r="A2804" s="6"/>
      <c r="B2804" s="6"/>
      <c r="C2804" s="6"/>
    </row>
    <row r="2805" s="1" customFormat="1" spans="1:3">
      <c r="A2805" s="6"/>
      <c r="B2805" s="6"/>
      <c r="C2805" s="6"/>
    </row>
    <row r="2806" s="1" customFormat="1" spans="1:3">
      <c r="A2806" s="6"/>
      <c r="B2806" s="6"/>
      <c r="C2806" s="6"/>
    </row>
    <row r="2807" s="1" customFormat="1" spans="1:3">
      <c r="A2807" s="6"/>
      <c r="B2807" s="6"/>
      <c r="C2807" s="6"/>
    </row>
    <row r="2808" s="1" customFormat="1" spans="1:3">
      <c r="A2808" s="6"/>
      <c r="B2808" s="6"/>
      <c r="C2808" s="6"/>
    </row>
    <row r="2809" s="1" customFormat="1" spans="1:3">
      <c r="A2809" s="6"/>
      <c r="B2809" s="6"/>
      <c r="C2809" s="6"/>
    </row>
    <row r="2810" s="1" customFormat="1" spans="1:3">
      <c r="A2810" s="6"/>
      <c r="B2810" s="6"/>
      <c r="C2810" s="6"/>
    </row>
    <row r="2811" s="1" customFormat="1" spans="1:3">
      <c r="A2811" s="6"/>
      <c r="B2811" s="6"/>
      <c r="C2811" s="6"/>
    </row>
    <row r="2812" s="1" customFormat="1" spans="1:3">
      <c r="A2812" s="6"/>
      <c r="B2812" s="6"/>
      <c r="C2812" s="6"/>
    </row>
    <row r="2813" s="1" customFormat="1" spans="1:3">
      <c r="A2813" s="6"/>
      <c r="B2813" s="6"/>
      <c r="C2813" s="6"/>
    </row>
    <row r="2814" s="1" customFormat="1" spans="1:3">
      <c r="A2814" s="6"/>
      <c r="B2814" s="6"/>
      <c r="C2814" s="6"/>
    </row>
    <row r="2815" s="1" customFormat="1" spans="1:3">
      <c r="A2815" s="6"/>
      <c r="B2815" s="6"/>
      <c r="C2815" s="6"/>
    </row>
    <row r="2816" s="1" customFormat="1" spans="1:3">
      <c r="A2816" s="6"/>
      <c r="B2816" s="6"/>
      <c r="C2816" s="6"/>
    </row>
    <row r="2817" s="1" customFormat="1" spans="1:3">
      <c r="A2817" s="6"/>
      <c r="B2817" s="6"/>
      <c r="C2817" s="6"/>
    </row>
    <row r="2818" s="1" customFormat="1" spans="1:3">
      <c r="A2818" s="6"/>
      <c r="B2818" s="6"/>
      <c r="C2818" s="6"/>
    </row>
    <row r="2819" s="1" customFormat="1" spans="1:3">
      <c r="A2819" s="6"/>
      <c r="B2819" s="6"/>
      <c r="C2819" s="6"/>
    </row>
    <row r="2820" s="1" customFormat="1" spans="1:3">
      <c r="A2820" s="6"/>
      <c r="B2820" s="6"/>
      <c r="C2820" s="6"/>
    </row>
    <row r="2821" s="1" customFormat="1" spans="1:3">
      <c r="A2821" s="6"/>
      <c r="B2821" s="6"/>
      <c r="C2821" s="6"/>
    </row>
    <row r="2822" s="1" customFormat="1" spans="1:3">
      <c r="A2822" s="6"/>
      <c r="B2822" s="6"/>
      <c r="C2822" s="6"/>
    </row>
    <row r="2823" s="1" customFormat="1" spans="1:3">
      <c r="A2823" s="6"/>
      <c r="B2823" s="6"/>
      <c r="C2823" s="6"/>
    </row>
    <row r="2824" s="1" customFormat="1" spans="1:3">
      <c r="A2824" s="6"/>
      <c r="B2824" s="6"/>
      <c r="C2824" s="6"/>
    </row>
    <row r="2825" s="1" customFormat="1" spans="1:3">
      <c r="A2825" s="6"/>
      <c r="B2825" s="6"/>
      <c r="C2825" s="6"/>
    </row>
    <row r="2826" s="1" customFormat="1" spans="1:3">
      <c r="A2826" s="6"/>
      <c r="B2826" s="6"/>
      <c r="C2826" s="6"/>
    </row>
    <row r="2827" s="1" customFormat="1" spans="1:3">
      <c r="A2827" s="6"/>
      <c r="B2827" s="6"/>
      <c r="C2827" s="6"/>
    </row>
    <row r="2828" s="1" customFormat="1" spans="1:3">
      <c r="A2828" s="6"/>
      <c r="B2828" s="6"/>
      <c r="C2828" s="6"/>
    </row>
    <row r="2829" s="1" customFormat="1" spans="1:3">
      <c r="A2829" s="6"/>
      <c r="B2829" s="6"/>
      <c r="C2829" s="6"/>
    </row>
    <row r="2830" s="1" customFormat="1" spans="1:3">
      <c r="A2830" s="6"/>
      <c r="B2830" s="6"/>
      <c r="C2830" s="6"/>
    </row>
    <row r="2831" s="1" customFormat="1" spans="1:3">
      <c r="A2831" s="6"/>
      <c r="B2831" s="6"/>
      <c r="C2831" s="6"/>
    </row>
    <row r="2832" s="1" customFormat="1" spans="1:3">
      <c r="A2832" s="6"/>
      <c r="B2832" s="6"/>
      <c r="C2832" s="6"/>
    </row>
    <row r="2833" s="1" customFormat="1" spans="1:3">
      <c r="A2833" s="6"/>
      <c r="B2833" s="6"/>
      <c r="C2833" s="6"/>
    </row>
    <row r="2834" s="1" customFormat="1" spans="1:3">
      <c r="A2834" s="6"/>
      <c r="B2834" s="6"/>
      <c r="C2834" s="6"/>
    </row>
    <row r="2835" s="1" customFormat="1" spans="1:3">
      <c r="A2835" s="6"/>
      <c r="B2835" s="6"/>
      <c r="C2835" s="6"/>
    </row>
    <row r="2836" s="1" customFormat="1" spans="1:3">
      <c r="A2836" s="6"/>
      <c r="B2836" s="6"/>
      <c r="C2836" s="6"/>
    </row>
    <row r="2837" s="1" customFormat="1" spans="1:3">
      <c r="A2837" s="6"/>
      <c r="B2837" s="6"/>
      <c r="C2837" s="6"/>
    </row>
    <row r="2838" s="1" customFormat="1" spans="1:3">
      <c r="A2838" s="6"/>
      <c r="B2838" s="6"/>
      <c r="C2838" s="6"/>
    </row>
    <row r="2839" s="1" customFormat="1" spans="1:3">
      <c r="A2839" s="6"/>
      <c r="B2839" s="6"/>
      <c r="C2839" s="6"/>
    </row>
    <row r="2840" s="1" customFormat="1" spans="1:3">
      <c r="A2840" s="6"/>
      <c r="B2840" s="6"/>
      <c r="C2840" s="6"/>
    </row>
    <row r="2841" s="1" customFormat="1" spans="1:3">
      <c r="A2841" s="6"/>
      <c r="B2841" s="6"/>
      <c r="C2841" s="6"/>
    </row>
    <row r="2842" s="1" customFormat="1" spans="1:3">
      <c r="A2842" s="6"/>
      <c r="B2842" s="6"/>
      <c r="C2842" s="6"/>
    </row>
    <row r="2843" s="1" customFormat="1" spans="1:3">
      <c r="A2843" s="6"/>
      <c r="B2843" s="6"/>
      <c r="C2843" s="6"/>
    </row>
    <row r="2844" s="1" customFormat="1" spans="1:3">
      <c r="A2844" s="6"/>
      <c r="B2844" s="6"/>
      <c r="C2844" s="6"/>
    </row>
    <row r="2845" s="1" customFormat="1" spans="1:3">
      <c r="A2845" s="6"/>
      <c r="B2845" s="6"/>
      <c r="C2845" s="6"/>
    </row>
    <row r="2846" s="1" customFormat="1" spans="1:3">
      <c r="A2846" s="6"/>
      <c r="B2846" s="6"/>
      <c r="C2846" s="6"/>
    </row>
    <row r="2847" s="1" customFormat="1" spans="1:3">
      <c r="A2847" s="6"/>
      <c r="B2847" s="6"/>
      <c r="C2847" s="6"/>
    </row>
    <row r="2848" s="1" customFormat="1" spans="1:3">
      <c r="A2848" s="6"/>
      <c r="B2848" s="6"/>
      <c r="C2848" s="6"/>
    </row>
    <row r="2849" s="1" customFormat="1" spans="1:3">
      <c r="A2849" s="6"/>
      <c r="B2849" s="6"/>
      <c r="C2849" s="6"/>
    </row>
    <row r="2850" s="1" customFormat="1" spans="1:3">
      <c r="A2850" s="6"/>
      <c r="B2850" s="6"/>
      <c r="C2850" s="6"/>
    </row>
    <row r="2851" s="1" customFormat="1" spans="1:3">
      <c r="A2851" s="6"/>
      <c r="B2851" s="6"/>
      <c r="C2851" s="6"/>
    </row>
    <row r="2852" s="1" customFormat="1" spans="1:3">
      <c r="A2852" s="6"/>
      <c r="B2852" s="6"/>
      <c r="C2852" s="6"/>
    </row>
    <row r="2853" s="1" customFormat="1" spans="1:3">
      <c r="A2853" s="6"/>
      <c r="B2853" s="6"/>
      <c r="C2853" s="6"/>
    </row>
    <row r="2854" s="1" customFormat="1" spans="1:3">
      <c r="A2854" s="6"/>
      <c r="B2854" s="6"/>
      <c r="C2854" s="6"/>
    </row>
    <row r="2855" s="1" customFormat="1" spans="1:3">
      <c r="A2855" s="6"/>
      <c r="B2855" s="6"/>
      <c r="C2855" s="6"/>
    </row>
    <row r="2856" s="1" customFormat="1" spans="1:3">
      <c r="A2856" s="6"/>
      <c r="B2856" s="6"/>
      <c r="C2856" s="6"/>
    </row>
    <row r="2857" s="1" customFormat="1" spans="1:3">
      <c r="A2857" s="6"/>
      <c r="B2857" s="6"/>
      <c r="C2857" s="6"/>
    </row>
    <row r="2858" s="1" customFormat="1" spans="1:3">
      <c r="A2858" s="6"/>
      <c r="B2858" s="6"/>
      <c r="C2858" s="6"/>
    </row>
    <row r="2859" s="1" customFormat="1" spans="1:3">
      <c r="A2859" s="6"/>
      <c r="B2859" s="6"/>
      <c r="C2859" s="6"/>
    </row>
    <row r="2860" s="1" customFormat="1" spans="1:3">
      <c r="A2860" s="6"/>
      <c r="B2860" s="6"/>
      <c r="C2860" s="6"/>
    </row>
    <row r="2861" s="1" customFormat="1" spans="1:3">
      <c r="A2861" s="6"/>
      <c r="B2861" s="6"/>
      <c r="C2861" s="6"/>
    </row>
    <row r="2862" s="1" customFormat="1" spans="1:3">
      <c r="A2862" s="6"/>
      <c r="B2862" s="6"/>
      <c r="C2862" s="6"/>
    </row>
    <row r="2863" s="1" customFormat="1" spans="1:3">
      <c r="A2863" s="6"/>
      <c r="B2863" s="6"/>
      <c r="C2863" s="6"/>
    </row>
    <row r="2864" s="1" customFormat="1" spans="1:3">
      <c r="A2864" s="6"/>
      <c r="B2864" s="6"/>
      <c r="C2864" s="6"/>
    </row>
    <row r="2865" s="1" customFormat="1" spans="1:3">
      <c r="A2865" s="6"/>
      <c r="B2865" s="6"/>
      <c r="C2865" s="6"/>
    </row>
    <row r="2866" s="1" customFormat="1" spans="1:3">
      <c r="A2866" s="6"/>
      <c r="B2866" s="6"/>
      <c r="C2866" s="6"/>
    </row>
    <row r="2867" s="1" customFormat="1" spans="1:3">
      <c r="A2867" s="6"/>
      <c r="B2867" s="6"/>
      <c r="C2867" s="6"/>
    </row>
    <row r="2868" s="1" customFormat="1" spans="1:3">
      <c r="A2868" s="6"/>
      <c r="B2868" s="6"/>
      <c r="C2868" s="6"/>
    </row>
    <row r="2869" s="1" customFormat="1" spans="1:3">
      <c r="A2869" s="6"/>
      <c r="B2869" s="6"/>
      <c r="C2869" s="6"/>
    </row>
    <row r="2870" s="1" customFormat="1" spans="1:3">
      <c r="A2870" s="6"/>
      <c r="B2870" s="6"/>
      <c r="C2870" s="6"/>
    </row>
    <row r="2871" s="1" customFormat="1" spans="1:3">
      <c r="A2871" s="6"/>
      <c r="B2871" s="6"/>
      <c r="C2871" s="6"/>
    </row>
    <row r="2872" s="1" customFormat="1" spans="1:3">
      <c r="A2872" s="6"/>
      <c r="B2872" s="6"/>
      <c r="C2872" s="6"/>
    </row>
    <row r="2873" s="1" customFormat="1" spans="1:3">
      <c r="A2873" s="6"/>
      <c r="B2873" s="6"/>
      <c r="C2873" s="6"/>
    </row>
    <row r="2874" s="1" customFormat="1" spans="1:3">
      <c r="A2874" s="6"/>
      <c r="B2874" s="6"/>
      <c r="C2874" s="6"/>
    </row>
    <row r="2875" s="1" customFormat="1" spans="1:3">
      <c r="A2875" s="6"/>
      <c r="B2875" s="6"/>
      <c r="C2875" s="6"/>
    </row>
    <row r="2876" s="1" customFormat="1" spans="1:3">
      <c r="A2876" s="6"/>
      <c r="B2876" s="6"/>
      <c r="C2876" s="6"/>
    </row>
    <row r="2877" s="1" customFormat="1" spans="1:3">
      <c r="A2877" s="6"/>
      <c r="B2877" s="6"/>
      <c r="C2877" s="6"/>
    </row>
    <row r="2878" s="1" customFormat="1" spans="1:3">
      <c r="A2878" s="6"/>
      <c r="B2878" s="6"/>
      <c r="C2878" s="6"/>
    </row>
    <row r="2879" s="1" customFormat="1" spans="1:3">
      <c r="A2879" s="6"/>
      <c r="B2879" s="6"/>
      <c r="C2879" s="6"/>
    </row>
    <row r="2880" s="1" customFormat="1" spans="1:3">
      <c r="A2880" s="6"/>
      <c r="B2880" s="6"/>
      <c r="C2880" s="6"/>
    </row>
    <row r="2881" s="1" customFormat="1" spans="1:3">
      <c r="A2881" s="6"/>
      <c r="B2881" s="6"/>
      <c r="C2881" s="6"/>
    </row>
    <row r="2882" s="1" customFormat="1" spans="1:3">
      <c r="A2882" s="6"/>
      <c r="B2882" s="6"/>
      <c r="C2882" s="6"/>
    </row>
    <row r="2883" s="1" customFormat="1" spans="1:3">
      <c r="A2883" s="6"/>
      <c r="B2883" s="6"/>
      <c r="C2883" s="6"/>
    </row>
    <row r="2884" s="1" customFormat="1" spans="1:3">
      <c r="A2884" s="6"/>
      <c r="B2884" s="6"/>
      <c r="C2884" s="6"/>
    </row>
    <row r="2885" s="1" customFormat="1" spans="1:3">
      <c r="A2885" s="6"/>
      <c r="B2885" s="6"/>
      <c r="C2885" s="6"/>
    </row>
    <row r="2886" s="1" customFormat="1" spans="1:3">
      <c r="A2886" s="6"/>
      <c r="B2886" s="6"/>
      <c r="C2886" s="6"/>
    </row>
    <row r="2887" s="1" customFormat="1" spans="1:3">
      <c r="A2887" s="6"/>
      <c r="B2887" s="6"/>
      <c r="C2887" s="6"/>
    </row>
    <row r="2888" s="1" customFormat="1" spans="1:3">
      <c r="A2888" s="6"/>
      <c r="B2888" s="6"/>
      <c r="C2888" s="6"/>
    </row>
    <row r="2889" s="1" customFormat="1" spans="1:3">
      <c r="A2889" s="6"/>
      <c r="B2889" s="6"/>
      <c r="C2889" s="6"/>
    </row>
    <row r="2890" s="1" customFormat="1" spans="1:3">
      <c r="A2890" s="6"/>
      <c r="B2890" s="6"/>
      <c r="C2890" s="6"/>
    </row>
    <row r="2891" s="1" customFormat="1" spans="1:3">
      <c r="A2891" s="6"/>
      <c r="B2891" s="6"/>
      <c r="C2891" s="6"/>
    </row>
    <row r="2892" s="1" customFormat="1" spans="1:3">
      <c r="A2892" s="6"/>
      <c r="B2892" s="6"/>
      <c r="C2892" s="6"/>
    </row>
    <row r="2893" s="1" customFormat="1" spans="1:3">
      <c r="A2893" s="6"/>
      <c r="B2893" s="6"/>
      <c r="C2893" s="6"/>
    </row>
    <row r="2894" s="1" customFormat="1" spans="1:3">
      <c r="A2894" s="6"/>
      <c r="B2894" s="6"/>
      <c r="C2894" s="6"/>
    </row>
    <row r="2895" s="1" customFormat="1" spans="1:3">
      <c r="A2895" s="6"/>
      <c r="B2895" s="6"/>
      <c r="C2895" s="6"/>
    </row>
    <row r="2896" s="1" customFormat="1" spans="1:3">
      <c r="A2896" s="6"/>
      <c r="B2896" s="6"/>
      <c r="C2896" s="6"/>
    </row>
    <row r="2897" s="1" customFormat="1" spans="1:3">
      <c r="A2897" s="6"/>
      <c r="B2897" s="6"/>
      <c r="C2897" s="6"/>
    </row>
    <row r="2898" s="1" customFormat="1" spans="1:3">
      <c r="A2898" s="6"/>
      <c r="B2898" s="6"/>
      <c r="C2898" s="6"/>
    </row>
    <row r="2899" s="1" customFormat="1" spans="1:3">
      <c r="A2899" s="6"/>
      <c r="B2899" s="6"/>
      <c r="C2899" s="6"/>
    </row>
    <row r="2900" s="1" customFormat="1" spans="1:3">
      <c r="A2900" s="6"/>
      <c r="B2900" s="6"/>
      <c r="C2900" s="6"/>
    </row>
    <row r="2901" s="1" customFormat="1" spans="1:3">
      <c r="A2901" s="6"/>
      <c r="B2901" s="6"/>
      <c r="C2901" s="6"/>
    </row>
    <row r="2902" s="1" customFormat="1" spans="1:3">
      <c r="A2902" s="6"/>
      <c r="B2902" s="6"/>
      <c r="C2902" s="6"/>
    </row>
    <row r="2903" s="1" customFormat="1" spans="1:3">
      <c r="A2903" s="6"/>
      <c r="B2903" s="6"/>
      <c r="C2903" s="6"/>
    </row>
    <row r="2904" s="1" customFormat="1" spans="1:3">
      <c r="A2904" s="6"/>
      <c r="B2904" s="6"/>
      <c r="C2904" s="6"/>
    </row>
    <row r="2905" s="1" customFormat="1" spans="1:3">
      <c r="A2905" s="6"/>
      <c r="B2905" s="6"/>
      <c r="C2905" s="6"/>
    </row>
    <row r="2906" s="1" customFormat="1" spans="1:3">
      <c r="A2906" s="6"/>
      <c r="B2906" s="6"/>
      <c r="C2906" s="6"/>
    </row>
    <row r="2907" s="1" customFormat="1" spans="1:3">
      <c r="A2907" s="6"/>
      <c r="B2907" s="6"/>
      <c r="C2907" s="6"/>
    </row>
    <row r="2908" s="1" customFormat="1" spans="1:3">
      <c r="A2908" s="6"/>
      <c r="B2908" s="6"/>
      <c r="C2908" s="6"/>
    </row>
    <row r="2909" s="1" customFormat="1" spans="1:3">
      <c r="A2909" s="6"/>
      <c r="B2909" s="6"/>
      <c r="C2909" s="6"/>
    </row>
    <row r="2910" s="1" customFormat="1" spans="1:3">
      <c r="A2910" s="6"/>
      <c r="B2910" s="6"/>
      <c r="C2910" s="6"/>
    </row>
    <row r="2911" s="1" customFormat="1" spans="1:3">
      <c r="A2911" s="6"/>
      <c r="B2911" s="6"/>
      <c r="C2911" s="6"/>
    </row>
    <row r="2912" s="1" customFormat="1" spans="1:3">
      <c r="A2912" s="6"/>
      <c r="B2912" s="6"/>
      <c r="C2912" s="6"/>
    </row>
    <row r="2913" s="1" customFormat="1" spans="1:3">
      <c r="A2913" s="6"/>
      <c r="B2913" s="6"/>
      <c r="C2913" s="6"/>
    </row>
    <row r="2914" s="1" customFormat="1" spans="1:3">
      <c r="A2914" s="6"/>
      <c r="B2914" s="6"/>
      <c r="C2914" s="6"/>
    </row>
    <row r="2915" s="1" customFormat="1" spans="1:3">
      <c r="A2915" s="6"/>
      <c r="B2915" s="6"/>
      <c r="C2915" s="6"/>
    </row>
    <row r="2916" s="1" customFormat="1" spans="1:3">
      <c r="A2916" s="6"/>
      <c r="B2916" s="6"/>
      <c r="C2916" s="6"/>
    </row>
    <row r="2917" s="1" customFormat="1" spans="1:3">
      <c r="A2917" s="6"/>
      <c r="B2917" s="6"/>
      <c r="C2917" s="6"/>
    </row>
    <row r="2918" s="1" customFormat="1" spans="1:3">
      <c r="A2918" s="6"/>
      <c r="B2918" s="6"/>
      <c r="C2918" s="6"/>
    </row>
    <row r="2919" s="1" customFormat="1" spans="1:3">
      <c r="A2919" s="6"/>
      <c r="B2919" s="6"/>
      <c r="C2919" s="6"/>
    </row>
    <row r="2920" s="1" customFormat="1" spans="1:3">
      <c r="A2920" s="6"/>
      <c r="B2920" s="6"/>
      <c r="C2920" s="6"/>
    </row>
    <row r="2921" s="1" customFormat="1" spans="1:3">
      <c r="A2921" s="6"/>
      <c r="B2921" s="6"/>
      <c r="C2921" s="6"/>
    </row>
    <row r="2922" s="1" customFormat="1" spans="1:3">
      <c r="A2922" s="6"/>
      <c r="B2922" s="6"/>
      <c r="C2922" s="6"/>
    </row>
    <row r="2923" s="1" customFormat="1" spans="1:3">
      <c r="A2923" s="6"/>
      <c r="B2923" s="6"/>
      <c r="C2923" s="6"/>
    </row>
    <row r="2924" s="1" customFormat="1" spans="1:3">
      <c r="A2924" s="6"/>
      <c r="B2924" s="6"/>
      <c r="C2924" s="6"/>
    </row>
    <row r="2925" s="1" customFormat="1" spans="1:3">
      <c r="A2925" s="6"/>
      <c r="B2925" s="6"/>
      <c r="C2925" s="6"/>
    </row>
    <row r="2926" s="1" customFormat="1" spans="1:3">
      <c r="A2926" s="6"/>
      <c r="B2926" s="6"/>
      <c r="C2926" s="6"/>
    </row>
    <row r="2927" s="1" customFormat="1" spans="1:3">
      <c r="A2927" s="6"/>
      <c r="B2927" s="6"/>
      <c r="C2927" s="6"/>
    </row>
    <row r="2928" s="1" customFormat="1" spans="1:3">
      <c r="A2928" s="6"/>
      <c r="B2928" s="6"/>
      <c r="C2928" s="6"/>
    </row>
    <row r="2929" s="1" customFormat="1" spans="1:3">
      <c r="A2929" s="6"/>
      <c r="B2929" s="6"/>
      <c r="C2929" s="6"/>
    </row>
    <row r="2930" s="1" customFormat="1" spans="1:3">
      <c r="A2930" s="6"/>
      <c r="B2930" s="6"/>
      <c r="C2930" s="6"/>
    </row>
    <row r="2931" s="1" customFormat="1" spans="1:3">
      <c r="A2931" s="6"/>
      <c r="B2931" s="6"/>
      <c r="C2931" s="6"/>
    </row>
    <row r="2932" s="1" customFormat="1" spans="1:3">
      <c r="A2932" s="6"/>
      <c r="B2932" s="6"/>
      <c r="C2932" s="6"/>
    </row>
    <row r="2933" s="1" customFormat="1" spans="1:3">
      <c r="A2933" s="6"/>
      <c r="B2933" s="6"/>
      <c r="C2933" s="6"/>
    </row>
    <row r="2934" s="1" customFormat="1" spans="1:3">
      <c r="A2934" s="6"/>
      <c r="B2934" s="6"/>
      <c r="C2934" s="6"/>
    </row>
    <row r="2935" s="1" customFormat="1" spans="1:3">
      <c r="A2935" s="6"/>
      <c r="B2935" s="6"/>
      <c r="C2935" s="6"/>
    </row>
    <row r="2936" s="1" customFormat="1" spans="1:3">
      <c r="A2936" s="6"/>
      <c r="B2936" s="6"/>
      <c r="C2936" s="6"/>
    </row>
    <row r="2937" s="1" customFormat="1" spans="1:3">
      <c r="A2937" s="6"/>
      <c r="B2937" s="6"/>
      <c r="C2937" s="6"/>
    </row>
    <row r="2938" s="1" customFormat="1" spans="1:3">
      <c r="A2938" s="6"/>
      <c r="B2938" s="6"/>
      <c r="C2938" s="6"/>
    </row>
    <row r="2939" s="1" customFormat="1" spans="1:3">
      <c r="A2939" s="6"/>
      <c r="B2939" s="6"/>
      <c r="C2939" s="6"/>
    </row>
    <row r="2940" s="1" customFormat="1" spans="1:3">
      <c r="A2940" s="6"/>
      <c r="B2940" s="6"/>
      <c r="C2940" s="6"/>
    </row>
    <row r="2941" s="1" customFormat="1" spans="1:3">
      <c r="A2941" s="6"/>
      <c r="B2941" s="6"/>
      <c r="C2941" s="6"/>
    </row>
    <row r="2942" s="1" customFormat="1" spans="1:3">
      <c r="A2942" s="6"/>
      <c r="B2942" s="6"/>
      <c r="C2942" s="6"/>
    </row>
    <row r="2943" s="1" customFormat="1" spans="1:3">
      <c r="A2943" s="6"/>
      <c r="B2943" s="6"/>
      <c r="C2943" s="6"/>
    </row>
    <row r="2944" s="1" customFormat="1" spans="1:3">
      <c r="A2944" s="6"/>
      <c r="B2944" s="6"/>
      <c r="C2944" s="6"/>
    </row>
    <row r="2945" s="1" customFormat="1" spans="1:3">
      <c r="A2945" s="6"/>
      <c r="B2945" s="6"/>
      <c r="C2945" s="6"/>
    </row>
    <row r="2946" s="1" customFormat="1" spans="1:3">
      <c r="A2946" s="6"/>
      <c r="B2946" s="6"/>
      <c r="C2946" s="6"/>
    </row>
    <row r="2947" s="1" customFormat="1" spans="1:3">
      <c r="A2947" s="6"/>
      <c r="B2947" s="6"/>
      <c r="C2947" s="6"/>
    </row>
    <row r="2948" s="1" customFormat="1" spans="1:3">
      <c r="A2948" s="6"/>
      <c r="B2948" s="6"/>
      <c r="C2948" s="6"/>
    </row>
    <row r="2949" s="1" customFormat="1" spans="1:3">
      <c r="A2949" s="6"/>
      <c r="B2949" s="6"/>
      <c r="C2949" s="6"/>
    </row>
    <row r="2950" s="1" customFormat="1" spans="1:3">
      <c r="A2950" s="6"/>
      <c r="B2950" s="6"/>
      <c r="C2950" s="6"/>
    </row>
    <row r="2951" s="1" customFormat="1" spans="1:3">
      <c r="A2951" s="6"/>
      <c r="B2951" s="6"/>
      <c r="C2951" s="6"/>
    </row>
    <row r="2952" s="1" customFormat="1" spans="1:3">
      <c r="A2952" s="6"/>
      <c r="B2952" s="6"/>
      <c r="C2952" s="6"/>
    </row>
    <row r="2953" s="1" customFormat="1" spans="1:3">
      <c r="A2953" s="6"/>
      <c r="B2953" s="6"/>
      <c r="C2953" s="6"/>
    </row>
    <row r="2954" s="1" customFormat="1" spans="1:3">
      <c r="A2954" s="6"/>
      <c r="B2954" s="6"/>
      <c r="C2954" s="6"/>
    </row>
    <row r="2955" s="1" customFormat="1" spans="1:3">
      <c r="A2955" s="6"/>
      <c r="B2955" s="6"/>
      <c r="C2955" s="6"/>
    </row>
    <row r="2956" s="1" customFormat="1" spans="1:3">
      <c r="A2956" s="6"/>
      <c r="B2956" s="6"/>
      <c r="C2956" s="6"/>
    </row>
    <row r="2957" s="1" customFormat="1" spans="1:3">
      <c r="A2957" s="6"/>
      <c r="B2957" s="6"/>
      <c r="C2957" s="6"/>
    </row>
    <row r="2958" s="1" customFormat="1" spans="1:3">
      <c r="A2958" s="6"/>
      <c r="B2958" s="6"/>
      <c r="C2958" s="6"/>
    </row>
    <row r="2959" s="1" customFormat="1" spans="1:3">
      <c r="A2959" s="6"/>
      <c r="B2959" s="6"/>
      <c r="C2959" s="6"/>
    </row>
    <row r="2960" s="1" customFormat="1" spans="1:3">
      <c r="A2960" s="6"/>
      <c r="B2960" s="6"/>
      <c r="C2960" s="6"/>
    </row>
    <row r="2961" s="1" customFormat="1" spans="1:3">
      <c r="A2961" s="6"/>
      <c r="B2961" s="6"/>
      <c r="C2961" s="6"/>
    </row>
    <row r="2962" s="1" customFormat="1" spans="1:3">
      <c r="A2962" s="6"/>
      <c r="B2962" s="6"/>
      <c r="C2962" s="6"/>
    </row>
    <row r="2963" s="1" customFormat="1" spans="1:3">
      <c r="A2963" s="6"/>
      <c r="B2963" s="6"/>
      <c r="C2963" s="6"/>
    </row>
    <row r="2964" s="1" customFormat="1" spans="1:3">
      <c r="A2964" s="6"/>
      <c r="B2964" s="6"/>
      <c r="C2964" s="6"/>
    </row>
    <row r="2965" s="1" customFormat="1" spans="1:3">
      <c r="A2965" s="6"/>
      <c r="B2965" s="6"/>
      <c r="C2965" s="6"/>
    </row>
    <row r="2966" s="1" customFormat="1" spans="1:3">
      <c r="A2966" s="6"/>
      <c r="B2966" s="6"/>
      <c r="C2966" s="6"/>
    </row>
    <row r="2967" s="1" customFormat="1" spans="1:3">
      <c r="A2967" s="6"/>
      <c r="B2967" s="6"/>
      <c r="C2967" s="6"/>
    </row>
    <row r="2968" s="1" customFormat="1" spans="1:3">
      <c r="A2968" s="6"/>
      <c r="B2968" s="6"/>
      <c r="C2968" s="6"/>
    </row>
    <row r="2969" s="1" customFormat="1" spans="1:3">
      <c r="A2969" s="6"/>
      <c r="B2969" s="6"/>
      <c r="C2969" s="6"/>
    </row>
    <row r="2970" s="1" customFormat="1" spans="1:3">
      <c r="A2970" s="6"/>
      <c r="B2970" s="6"/>
      <c r="C2970" s="6"/>
    </row>
    <row r="2971" s="1" customFormat="1" spans="1:3">
      <c r="A2971" s="6"/>
      <c r="B2971" s="6"/>
      <c r="C2971" s="6"/>
    </row>
    <row r="2972" s="1" customFormat="1" spans="1:3">
      <c r="A2972" s="6"/>
      <c r="B2972" s="6"/>
      <c r="C2972" s="6"/>
    </row>
    <row r="2973" s="1" customFormat="1" spans="1:3">
      <c r="A2973" s="6"/>
      <c r="B2973" s="6"/>
      <c r="C2973" s="6"/>
    </row>
    <row r="2974" s="1" customFormat="1" spans="1:3">
      <c r="A2974" s="6"/>
      <c r="B2974" s="6"/>
      <c r="C2974" s="6"/>
    </row>
    <row r="2975" s="1" customFormat="1" spans="1:3">
      <c r="A2975" s="6"/>
      <c r="B2975" s="6"/>
      <c r="C2975" s="6"/>
    </row>
    <row r="2976" s="1" customFormat="1" spans="1:3">
      <c r="A2976" s="6"/>
      <c r="B2976" s="6"/>
      <c r="C2976" s="6"/>
    </row>
    <row r="2977" s="1" customFormat="1" spans="1:3">
      <c r="A2977" s="6"/>
      <c r="B2977" s="6"/>
      <c r="C2977" s="6"/>
    </row>
    <row r="2978" s="1" customFormat="1" spans="1:3">
      <c r="A2978" s="6"/>
      <c r="B2978" s="6"/>
      <c r="C2978" s="6"/>
    </row>
    <row r="2979" s="1" customFormat="1" spans="1:3">
      <c r="A2979" s="6"/>
      <c r="B2979" s="6"/>
      <c r="C2979" s="6"/>
    </row>
    <row r="2980" s="1" customFormat="1" spans="1:3">
      <c r="A2980" s="6"/>
      <c r="B2980" s="6"/>
      <c r="C2980" s="6"/>
    </row>
    <row r="2981" s="1" customFormat="1" spans="1:3">
      <c r="A2981" s="6"/>
      <c r="B2981" s="6"/>
      <c r="C2981" s="6"/>
    </row>
    <row r="2982" s="1" customFormat="1" spans="1:3">
      <c r="A2982" s="6"/>
      <c r="B2982" s="6"/>
      <c r="C2982" s="6"/>
    </row>
    <row r="2983" s="1" customFormat="1" spans="1:3">
      <c r="A2983" s="6"/>
      <c r="B2983" s="6"/>
      <c r="C2983" s="6"/>
    </row>
    <row r="2984" s="1" customFormat="1" spans="1:3">
      <c r="A2984" s="6"/>
      <c r="B2984" s="6"/>
      <c r="C2984" s="6"/>
    </row>
    <row r="2985" s="1" customFormat="1" spans="1:3">
      <c r="A2985" s="6"/>
      <c r="B2985" s="6"/>
      <c r="C2985" s="6"/>
    </row>
    <row r="2986" s="1" customFormat="1" spans="1:3">
      <c r="A2986" s="6"/>
      <c r="B2986" s="6"/>
      <c r="C2986" s="6"/>
    </row>
    <row r="2987" s="1" customFormat="1" spans="1:3">
      <c r="A2987" s="6"/>
      <c r="B2987" s="6"/>
      <c r="C2987" s="6"/>
    </row>
    <row r="2988" s="1" customFormat="1" spans="1:3">
      <c r="A2988" s="6"/>
      <c r="B2988" s="6"/>
      <c r="C2988" s="6"/>
    </row>
    <row r="2989" s="1" customFormat="1" spans="1:3">
      <c r="A2989" s="6"/>
      <c r="B2989" s="6"/>
      <c r="C2989" s="6"/>
    </row>
    <row r="2990" s="1" customFormat="1" spans="1:3">
      <c r="A2990" s="6"/>
      <c r="B2990" s="6"/>
      <c r="C2990" s="6"/>
    </row>
    <row r="2991" s="1" customFormat="1" spans="1:3">
      <c r="A2991" s="6"/>
      <c r="B2991" s="6"/>
      <c r="C2991" s="6"/>
    </row>
    <row r="2992" s="1" customFormat="1" spans="1:3">
      <c r="A2992" s="6"/>
      <c r="B2992" s="6"/>
      <c r="C2992" s="6"/>
    </row>
    <row r="2993" s="1" customFormat="1" spans="1:3">
      <c r="A2993" s="6"/>
      <c r="B2993" s="6"/>
      <c r="C2993" s="6"/>
    </row>
    <row r="2994" s="1" customFormat="1" spans="1:3">
      <c r="A2994" s="6"/>
      <c r="B2994" s="6"/>
      <c r="C2994" s="6"/>
    </row>
    <row r="2995" s="1" customFormat="1" spans="1:3">
      <c r="A2995" s="6"/>
      <c r="B2995" s="6"/>
      <c r="C2995" s="6"/>
    </row>
    <row r="2996" s="1" customFormat="1" spans="1:3">
      <c r="A2996" s="6"/>
      <c r="B2996" s="6"/>
      <c r="C2996" s="6"/>
    </row>
    <row r="2997" s="1" customFormat="1" spans="1:3">
      <c r="A2997" s="6"/>
      <c r="B2997" s="6"/>
      <c r="C2997" s="6"/>
    </row>
    <row r="2998" s="1" customFormat="1" spans="1:3">
      <c r="A2998" s="6"/>
      <c r="B2998" s="6"/>
      <c r="C2998" s="6"/>
    </row>
    <row r="2999" s="1" customFormat="1" spans="1:3">
      <c r="A2999" s="6"/>
      <c r="B2999" s="6"/>
      <c r="C2999" s="6"/>
    </row>
    <row r="3000" s="1" customFormat="1" spans="1:3">
      <c r="A3000" s="6"/>
      <c r="B3000" s="6"/>
      <c r="C3000" s="6"/>
    </row>
    <row r="3001" s="1" customFormat="1" spans="1:3">
      <c r="A3001" s="6"/>
      <c r="B3001" s="6"/>
      <c r="C3001" s="6"/>
    </row>
    <row r="3002" s="1" customFormat="1" spans="1:3">
      <c r="A3002" s="6"/>
      <c r="B3002" s="6"/>
      <c r="C3002" s="6"/>
    </row>
    <row r="3003" s="1" customFormat="1" spans="1:3">
      <c r="A3003" s="6"/>
      <c r="B3003" s="6"/>
      <c r="C3003" s="6"/>
    </row>
    <row r="3004" s="1" customFormat="1" spans="1:3">
      <c r="A3004" s="6"/>
      <c r="B3004" s="6"/>
      <c r="C3004" s="6"/>
    </row>
    <row r="3005" s="1" customFormat="1" spans="1:3">
      <c r="A3005" s="6"/>
      <c r="B3005" s="6"/>
      <c r="C3005" s="6"/>
    </row>
    <row r="3006" s="1" customFormat="1" spans="1:3">
      <c r="A3006" s="6"/>
      <c r="B3006" s="6"/>
      <c r="C3006" s="6"/>
    </row>
    <row r="3007" s="1" customFormat="1" spans="1:3">
      <c r="A3007" s="6"/>
      <c r="B3007" s="6"/>
      <c r="C3007" s="6"/>
    </row>
    <row r="3008" s="1" customFormat="1" spans="1:3">
      <c r="A3008" s="6"/>
      <c r="B3008" s="6"/>
      <c r="C3008" s="6"/>
    </row>
    <row r="3009" s="1" customFormat="1" spans="1:3">
      <c r="A3009" s="6"/>
      <c r="B3009" s="6"/>
      <c r="C3009" s="6"/>
    </row>
    <row r="3010" s="1" customFormat="1" spans="1:3">
      <c r="A3010" s="6"/>
      <c r="B3010" s="6"/>
      <c r="C3010" s="6"/>
    </row>
    <row r="3011" s="1" customFormat="1" spans="1:3">
      <c r="A3011" s="6"/>
      <c r="B3011" s="6"/>
      <c r="C3011" s="6"/>
    </row>
    <row r="3012" s="1" customFormat="1" spans="1:3">
      <c r="A3012" s="6"/>
      <c r="B3012" s="6"/>
      <c r="C3012" s="6"/>
    </row>
    <row r="3013" s="1" customFormat="1" spans="1:3">
      <c r="A3013" s="6"/>
      <c r="B3013" s="6"/>
      <c r="C3013" s="6"/>
    </row>
    <row r="3014" s="1" customFormat="1" spans="1:3">
      <c r="A3014" s="6"/>
      <c r="B3014" s="6"/>
      <c r="C3014" s="6"/>
    </row>
    <row r="3015" s="1" customFormat="1" spans="1:3">
      <c r="A3015" s="6"/>
      <c r="B3015" s="6"/>
      <c r="C3015" s="6"/>
    </row>
    <row r="3016" s="1" customFormat="1" spans="1:3">
      <c r="A3016" s="6"/>
      <c r="B3016" s="6"/>
      <c r="C3016" s="6"/>
    </row>
    <row r="3017" s="1" customFormat="1" spans="1:3">
      <c r="A3017" s="6"/>
      <c r="B3017" s="6"/>
      <c r="C3017" s="6"/>
    </row>
    <row r="3018" s="1" customFormat="1" spans="1:3">
      <c r="A3018" s="6"/>
      <c r="B3018" s="6"/>
      <c r="C3018" s="6"/>
    </row>
    <row r="3019" s="1" customFormat="1" spans="1:3">
      <c r="A3019" s="6"/>
      <c r="B3019" s="6"/>
      <c r="C3019" s="6"/>
    </row>
    <row r="3020" s="1" customFormat="1" spans="1:3">
      <c r="A3020" s="6"/>
      <c r="B3020" s="6"/>
      <c r="C3020" s="6"/>
    </row>
    <row r="3021" s="1" customFormat="1" spans="1:3">
      <c r="A3021" s="6"/>
      <c r="B3021" s="6"/>
      <c r="C3021" s="6"/>
    </row>
    <row r="3022" s="1" customFormat="1" spans="1:3">
      <c r="A3022" s="6"/>
      <c r="B3022" s="6"/>
      <c r="C3022" s="6"/>
    </row>
    <row r="3023" s="1" customFormat="1" spans="1:3">
      <c r="A3023" s="6"/>
      <c r="B3023" s="6"/>
      <c r="C3023" s="6"/>
    </row>
    <row r="3024" s="1" customFormat="1" spans="1:3">
      <c r="A3024" s="6"/>
      <c r="B3024" s="6"/>
      <c r="C3024" s="6"/>
    </row>
    <row r="3025" s="1" customFormat="1" spans="1:3">
      <c r="A3025" s="6"/>
      <c r="B3025" s="6"/>
      <c r="C3025" s="6"/>
    </row>
    <row r="3026" s="1" customFormat="1" spans="1:3">
      <c r="A3026" s="6"/>
      <c r="B3026" s="6"/>
      <c r="C3026" s="6"/>
    </row>
    <row r="3027" s="1" customFormat="1" spans="1:3">
      <c r="A3027" s="6"/>
      <c r="B3027" s="6"/>
      <c r="C3027" s="6"/>
    </row>
    <row r="3028" s="1" customFormat="1" spans="1:3">
      <c r="A3028" s="6"/>
      <c r="B3028" s="6"/>
      <c r="C3028" s="6"/>
    </row>
    <row r="3029" s="1" customFormat="1" spans="1:3">
      <c r="A3029" s="6"/>
      <c r="B3029" s="6"/>
      <c r="C3029" s="6"/>
    </row>
    <row r="3030" s="1" customFormat="1" spans="1:3">
      <c r="A3030" s="6"/>
      <c r="B3030" s="6"/>
      <c r="C3030" s="6"/>
    </row>
    <row r="3031" s="1" customFormat="1" spans="1:3">
      <c r="A3031" s="6"/>
      <c r="B3031" s="6"/>
      <c r="C3031" s="6"/>
    </row>
    <row r="3032" s="1" customFormat="1" spans="1:3">
      <c r="A3032" s="6"/>
      <c r="B3032" s="6"/>
      <c r="C3032" s="6"/>
    </row>
    <row r="3033" s="1" customFormat="1" spans="1:3">
      <c r="A3033" s="6"/>
      <c r="B3033" s="6"/>
      <c r="C3033" s="6"/>
    </row>
    <row r="3034" s="1" customFormat="1" spans="1:3">
      <c r="A3034" s="6"/>
      <c r="B3034" s="6"/>
      <c r="C3034" s="6"/>
    </row>
    <row r="3035" s="1" customFormat="1" spans="1:3">
      <c r="A3035" s="6"/>
      <c r="B3035" s="6"/>
      <c r="C3035" s="6"/>
    </row>
    <row r="3036" s="1" customFormat="1" spans="1:3">
      <c r="A3036" s="6"/>
      <c r="B3036" s="6"/>
      <c r="C3036" s="6"/>
    </row>
    <row r="3037" s="1" customFormat="1" spans="1:3">
      <c r="A3037" s="6"/>
      <c r="B3037" s="6"/>
      <c r="C3037" s="6"/>
    </row>
    <row r="3038" s="1" customFormat="1" spans="1:3">
      <c r="A3038" s="6"/>
      <c r="B3038" s="6"/>
      <c r="C3038" s="6"/>
    </row>
    <row r="3039" s="1" customFormat="1" spans="1:3">
      <c r="A3039" s="6"/>
      <c r="B3039" s="6"/>
      <c r="C3039" s="6"/>
    </row>
    <row r="3040" s="1" customFormat="1" spans="1:3">
      <c r="A3040" s="6"/>
      <c r="B3040" s="6"/>
      <c r="C3040" s="6"/>
    </row>
    <row r="3041" s="1" customFormat="1" spans="1:3">
      <c r="A3041" s="6"/>
      <c r="B3041" s="6"/>
      <c r="C3041" s="6"/>
    </row>
    <row r="3042" s="1" customFormat="1" spans="1:3">
      <c r="A3042" s="6"/>
      <c r="B3042" s="6"/>
      <c r="C3042" s="6"/>
    </row>
    <row r="3043" s="1" customFormat="1" spans="1:3">
      <c r="A3043" s="6"/>
      <c r="B3043" s="6"/>
      <c r="C3043" s="6"/>
    </row>
    <row r="3044" s="1" customFormat="1" spans="1:3">
      <c r="A3044" s="6"/>
      <c r="B3044" s="6"/>
      <c r="C3044" s="6"/>
    </row>
    <row r="3045" s="1" customFormat="1" spans="1:3">
      <c r="A3045" s="6"/>
      <c r="B3045" s="6"/>
      <c r="C3045" s="6"/>
    </row>
    <row r="3046" s="1" customFormat="1" spans="1:3">
      <c r="A3046" s="6"/>
      <c r="B3046" s="6"/>
      <c r="C3046" s="6"/>
    </row>
    <row r="3047" s="1" customFormat="1" spans="1:3">
      <c r="A3047" s="6"/>
      <c r="B3047" s="6"/>
      <c r="C3047" s="6"/>
    </row>
    <row r="3048" s="1" customFormat="1" spans="1:3">
      <c r="A3048" s="6"/>
      <c r="B3048" s="6"/>
      <c r="C3048" s="6"/>
    </row>
    <row r="3049" s="1" customFormat="1" spans="1:3">
      <c r="A3049" s="6"/>
      <c r="B3049" s="6"/>
      <c r="C3049" s="6"/>
    </row>
    <row r="3050" s="1" customFormat="1" spans="1:3">
      <c r="A3050" s="6"/>
      <c r="B3050" s="6"/>
      <c r="C3050" s="6"/>
    </row>
    <row r="3051" s="1" customFormat="1" spans="1:3">
      <c r="A3051" s="6"/>
      <c r="B3051" s="6"/>
      <c r="C3051" s="6"/>
    </row>
    <row r="3052" s="1" customFormat="1" spans="1:3">
      <c r="A3052" s="6"/>
      <c r="B3052" s="6"/>
      <c r="C3052" s="6"/>
    </row>
    <row r="3053" s="1" customFormat="1" spans="1:3">
      <c r="A3053" s="6"/>
      <c r="B3053" s="6"/>
      <c r="C3053" s="6"/>
    </row>
    <row r="3054" s="1" customFormat="1" spans="1:3">
      <c r="A3054" s="6"/>
      <c r="B3054" s="6"/>
      <c r="C3054" s="6"/>
    </row>
    <row r="3055" s="1" customFormat="1" spans="1:3">
      <c r="A3055" s="6"/>
      <c r="B3055" s="6"/>
      <c r="C3055" s="6"/>
    </row>
    <row r="3056" s="1" customFormat="1" spans="1:3">
      <c r="A3056" s="6"/>
      <c r="B3056" s="6"/>
      <c r="C3056" s="6"/>
    </row>
    <row r="3057" s="1" customFormat="1" spans="1:3">
      <c r="A3057" s="6"/>
      <c r="B3057" s="6"/>
      <c r="C3057" s="6"/>
    </row>
    <row r="3058" s="1" customFormat="1" spans="1:3">
      <c r="A3058" s="6"/>
      <c r="B3058" s="6"/>
      <c r="C3058" s="6"/>
    </row>
    <row r="3059" s="1" customFormat="1" spans="1:3">
      <c r="A3059" s="6"/>
      <c r="B3059" s="6"/>
      <c r="C3059" s="6"/>
    </row>
    <row r="3060" s="1" customFormat="1" spans="1:3">
      <c r="A3060" s="6"/>
      <c r="B3060" s="6"/>
      <c r="C3060" s="6"/>
    </row>
    <row r="3061" s="1" customFormat="1" spans="1:3">
      <c r="A3061" s="6"/>
      <c r="B3061" s="6"/>
      <c r="C3061" s="6"/>
    </row>
    <row r="3062" s="1" customFormat="1" spans="1:3">
      <c r="A3062" s="6"/>
      <c r="B3062" s="6"/>
      <c r="C3062" s="6"/>
    </row>
    <row r="3063" s="1" customFormat="1" spans="1:3">
      <c r="A3063" s="6"/>
      <c r="B3063" s="6"/>
      <c r="C3063" s="6"/>
    </row>
    <row r="3064" s="1" customFormat="1" spans="1:3">
      <c r="A3064" s="6"/>
      <c r="B3064" s="6"/>
      <c r="C3064" s="6"/>
    </row>
    <row r="3065" s="1" customFormat="1" spans="1:3">
      <c r="A3065" s="6"/>
      <c r="B3065" s="6"/>
      <c r="C3065" s="6"/>
    </row>
    <row r="3066" s="1" customFormat="1" spans="1:3">
      <c r="A3066" s="6"/>
      <c r="B3066" s="6"/>
      <c r="C3066" s="6"/>
    </row>
    <row r="3067" s="1" customFormat="1" spans="1:3">
      <c r="A3067" s="6"/>
      <c r="B3067" s="6"/>
      <c r="C3067" s="6"/>
    </row>
    <row r="3068" s="1" customFormat="1" spans="1:3">
      <c r="A3068" s="6"/>
      <c r="B3068" s="6"/>
      <c r="C3068" s="6"/>
    </row>
    <row r="3069" s="1" customFormat="1" spans="1:3">
      <c r="A3069" s="6"/>
      <c r="B3069" s="6"/>
      <c r="C3069" s="6"/>
    </row>
    <row r="3070" s="1" customFormat="1" spans="1:3">
      <c r="A3070" s="6"/>
      <c r="B3070" s="6"/>
      <c r="C3070" s="6"/>
    </row>
    <row r="3071" s="1" customFormat="1" spans="1:3">
      <c r="A3071" s="6"/>
      <c r="B3071" s="6"/>
      <c r="C3071" s="6"/>
    </row>
    <row r="3072" s="1" customFormat="1" spans="1:3">
      <c r="A3072" s="6"/>
      <c r="B3072" s="6"/>
      <c r="C3072" s="6"/>
    </row>
    <row r="3073" s="1" customFormat="1" spans="1:3">
      <c r="A3073" s="6"/>
      <c r="B3073" s="6"/>
      <c r="C3073" s="6"/>
    </row>
    <row r="3074" s="1" customFormat="1" spans="1:3">
      <c r="A3074" s="6"/>
      <c r="B3074" s="6"/>
      <c r="C3074" s="6"/>
    </row>
    <row r="3075" s="1" customFormat="1" spans="1:3">
      <c r="A3075" s="6"/>
      <c r="B3075" s="6"/>
      <c r="C3075" s="6"/>
    </row>
    <row r="3076" s="1" customFormat="1" spans="1:3">
      <c r="A3076" s="6"/>
      <c r="B3076" s="6"/>
      <c r="C3076" s="6"/>
    </row>
    <row r="3077" s="1" customFormat="1" spans="1:3">
      <c r="A3077" s="6"/>
      <c r="B3077" s="6"/>
      <c r="C3077" s="6"/>
    </row>
    <row r="3078" s="1" customFormat="1" spans="1:3">
      <c r="A3078" s="6"/>
      <c r="B3078" s="6"/>
      <c r="C3078" s="6"/>
    </row>
    <row r="3079" s="1" customFormat="1" spans="1:3">
      <c r="A3079" s="6"/>
      <c r="B3079" s="6"/>
      <c r="C3079" s="6"/>
    </row>
    <row r="3080" s="1" customFormat="1" spans="1:3">
      <c r="A3080" s="6"/>
      <c r="B3080" s="6"/>
      <c r="C3080" s="6"/>
    </row>
    <row r="3081" s="1" customFormat="1" spans="1:3">
      <c r="A3081" s="6"/>
      <c r="B3081" s="6"/>
      <c r="C3081" s="6"/>
    </row>
    <row r="3082" s="1" customFormat="1" spans="1:3">
      <c r="A3082" s="6"/>
      <c r="B3082" s="6"/>
      <c r="C3082" s="6"/>
    </row>
    <row r="3083" s="1" customFormat="1" spans="1:3">
      <c r="A3083" s="6"/>
      <c r="B3083" s="6"/>
      <c r="C3083" s="6"/>
    </row>
    <row r="3084" s="1" customFormat="1" spans="1:3">
      <c r="A3084" s="6"/>
      <c r="B3084" s="6"/>
      <c r="C3084" s="6"/>
    </row>
    <row r="3085" s="1" customFormat="1" spans="1:3">
      <c r="A3085" s="6"/>
      <c r="B3085" s="6"/>
      <c r="C3085" s="6"/>
    </row>
    <row r="3086" s="1" customFormat="1" spans="1:3">
      <c r="A3086" s="6"/>
      <c r="B3086" s="6"/>
      <c r="C3086" s="6"/>
    </row>
    <row r="3087" s="1" customFormat="1" spans="1:3">
      <c r="A3087" s="6"/>
      <c r="B3087" s="6"/>
      <c r="C3087" s="6"/>
    </row>
    <row r="3088" s="1" customFormat="1" spans="1:3">
      <c r="A3088" s="6"/>
      <c r="B3088" s="6"/>
      <c r="C3088" s="6"/>
    </row>
    <row r="3089" s="1" customFormat="1" spans="1:3">
      <c r="A3089" s="6"/>
      <c r="B3089" s="6"/>
      <c r="C3089" s="6"/>
    </row>
    <row r="3090" s="1" customFormat="1" spans="1:3">
      <c r="A3090" s="6"/>
      <c r="B3090" s="6"/>
      <c r="C3090" s="6"/>
    </row>
    <row r="3091" s="1" customFormat="1" spans="1:3">
      <c r="A3091" s="6"/>
      <c r="B3091" s="6"/>
      <c r="C3091" s="6"/>
    </row>
    <row r="3092" s="1" customFormat="1" spans="1:3">
      <c r="A3092" s="6"/>
      <c r="B3092" s="6"/>
      <c r="C3092" s="6"/>
    </row>
    <row r="3093" s="1" customFormat="1" spans="1:3">
      <c r="A3093" s="6"/>
      <c r="B3093" s="6"/>
      <c r="C3093" s="6"/>
    </row>
    <row r="3094" s="1" customFormat="1" spans="1:3">
      <c r="A3094" s="6"/>
      <c r="B3094" s="6"/>
      <c r="C3094" s="6"/>
    </row>
    <row r="3095" s="1" customFormat="1" spans="1:3">
      <c r="A3095" s="6"/>
      <c r="B3095" s="6"/>
      <c r="C3095" s="6"/>
    </row>
    <row r="3096" s="1" customFormat="1" spans="1:3">
      <c r="A3096" s="6"/>
      <c r="B3096" s="6"/>
      <c r="C3096" s="6"/>
    </row>
    <row r="3097" s="1" customFormat="1" spans="1:3">
      <c r="A3097" s="6"/>
      <c r="B3097" s="6"/>
      <c r="C3097" s="6"/>
    </row>
    <row r="3098" s="1" customFormat="1" spans="1:3">
      <c r="A3098" s="6"/>
      <c r="B3098" s="6"/>
      <c r="C3098" s="6"/>
    </row>
    <row r="3099" s="1" customFormat="1" spans="1:3">
      <c r="A3099" s="6"/>
      <c r="B3099" s="6"/>
      <c r="C3099" s="6"/>
    </row>
    <row r="3100" s="1" customFormat="1" spans="1:3">
      <c r="A3100" s="6"/>
      <c r="B3100" s="6"/>
      <c r="C3100" s="6"/>
    </row>
    <row r="3101" s="1" customFormat="1" spans="1:3">
      <c r="A3101" s="6"/>
      <c r="B3101" s="6"/>
      <c r="C3101" s="6"/>
    </row>
    <row r="3102" s="1" customFormat="1" spans="1:3">
      <c r="A3102" s="6"/>
      <c r="B3102" s="6"/>
      <c r="C3102" s="6"/>
    </row>
    <row r="3103" s="1" customFormat="1" spans="1:3">
      <c r="A3103" s="6"/>
      <c r="B3103" s="6"/>
      <c r="C3103" s="6"/>
    </row>
    <row r="3104" s="1" customFormat="1" spans="1:3">
      <c r="A3104" s="6"/>
      <c r="B3104" s="6"/>
      <c r="C3104" s="6"/>
    </row>
    <row r="3105" s="1" customFormat="1" spans="1:3">
      <c r="A3105" s="6"/>
      <c r="B3105" s="6"/>
      <c r="C3105" s="6"/>
    </row>
    <row r="3106" s="1" customFormat="1" spans="1:3">
      <c r="A3106" s="6"/>
      <c r="B3106" s="6"/>
      <c r="C3106" s="6"/>
    </row>
    <row r="3107" s="1" customFormat="1" spans="1:3">
      <c r="A3107" s="6"/>
      <c r="B3107" s="6"/>
      <c r="C3107" s="6"/>
    </row>
    <row r="3108" s="1" customFormat="1" spans="1:3">
      <c r="A3108" s="6"/>
      <c r="B3108" s="6"/>
      <c r="C3108" s="6"/>
    </row>
    <row r="3109" s="1" customFormat="1" spans="1:3">
      <c r="A3109" s="6"/>
      <c r="B3109" s="6"/>
      <c r="C3109" s="6"/>
    </row>
    <row r="3110" s="1" customFormat="1" spans="1:3">
      <c r="A3110" s="6"/>
      <c r="B3110" s="6"/>
      <c r="C3110" s="6"/>
    </row>
    <row r="3111" s="1" customFormat="1" spans="1:3">
      <c r="A3111" s="6"/>
      <c r="B3111" s="6"/>
      <c r="C3111" s="6"/>
    </row>
    <row r="3112" s="1" customFormat="1" spans="1:3">
      <c r="A3112" s="6"/>
      <c r="B3112" s="6"/>
      <c r="C3112" s="6"/>
    </row>
    <row r="3113" s="1" customFormat="1" spans="1:3">
      <c r="A3113" s="6"/>
      <c r="B3113" s="6"/>
      <c r="C3113" s="6"/>
    </row>
    <row r="3114" s="1" customFormat="1" spans="1:3">
      <c r="A3114" s="6"/>
      <c r="B3114" s="6"/>
      <c r="C3114" s="6"/>
    </row>
    <row r="3115" s="1" customFormat="1" spans="1:3">
      <c r="A3115" s="6"/>
      <c r="B3115" s="6"/>
      <c r="C3115" s="6"/>
    </row>
    <row r="3116" s="1" customFormat="1" spans="1:3">
      <c r="A3116" s="6"/>
      <c r="B3116" s="6"/>
      <c r="C3116" s="6"/>
    </row>
    <row r="3117" s="1" customFormat="1" spans="1:3">
      <c r="A3117" s="6"/>
      <c r="B3117" s="6"/>
      <c r="C3117" s="6"/>
    </row>
    <row r="3118" s="1" customFormat="1" spans="1:3">
      <c r="A3118" s="6"/>
      <c r="B3118" s="6"/>
      <c r="C3118" s="6"/>
    </row>
    <row r="3119" s="1" customFormat="1" spans="1:3">
      <c r="A3119" s="6"/>
      <c r="B3119" s="6"/>
      <c r="C3119" s="6"/>
    </row>
    <row r="3120" s="1" customFormat="1" spans="1:3">
      <c r="A3120" s="6"/>
      <c r="B3120" s="6"/>
      <c r="C3120" s="6"/>
    </row>
    <row r="3121" s="1" customFormat="1" spans="1:3">
      <c r="A3121" s="6"/>
      <c r="B3121" s="6"/>
      <c r="C3121" s="6"/>
    </row>
    <row r="3122" s="1" customFormat="1" spans="1:3">
      <c r="A3122" s="6"/>
      <c r="B3122" s="6"/>
      <c r="C3122" s="6"/>
    </row>
    <row r="3123" s="1" customFormat="1" spans="1:3">
      <c r="A3123" s="6"/>
      <c r="B3123" s="6"/>
      <c r="C3123" s="6"/>
    </row>
    <row r="3124" s="1" customFormat="1" spans="1:3">
      <c r="A3124" s="6"/>
      <c r="B3124" s="6"/>
      <c r="C3124" s="6"/>
    </row>
    <row r="3125" s="1" customFormat="1" spans="1:3">
      <c r="A3125" s="6"/>
      <c r="B3125" s="6"/>
      <c r="C3125" s="6"/>
    </row>
    <row r="3126" s="1" customFormat="1" spans="1:3">
      <c r="A3126" s="6"/>
      <c r="B3126" s="6"/>
      <c r="C3126" s="6"/>
    </row>
    <row r="3127" s="1" customFormat="1" spans="1:3">
      <c r="A3127" s="6"/>
      <c r="B3127" s="6"/>
      <c r="C3127" s="6"/>
    </row>
    <row r="3128" s="1" customFormat="1" spans="1:3">
      <c r="A3128" s="6"/>
      <c r="B3128" s="6"/>
      <c r="C3128" s="6"/>
    </row>
    <row r="3129" s="1" customFormat="1" spans="1:3">
      <c r="A3129" s="6"/>
      <c r="B3129" s="6"/>
      <c r="C3129" s="6"/>
    </row>
    <row r="3130" s="1" customFormat="1" spans="1:3">
      <c r="A3130" s="6"/>
      <c r="B3130" s="6"/>
      <c r="C3130" s="6"/>
    </row>
    <row r="3131" s="1" customFormat="1" spans="1:3">
      <c r="A3131" s="6"/>
      <c r="B3131" s="6"/>
      <c r="C3131" s="6"/>
    </row>
    <row r="3132" s="1" customFormat="1" spans="1:3">
      <c r="A3132" s="6"/>
      <c r="B3132" s="6"/>
      <c r="C3132" s="6"/>
    </row>
    <row r="3133" s="1" customFormat="1" spans="1:3">
      <c r="A3133" s="6"/>
      <c r="B3133" s="6"/>
      <c r="C3133" s="6"/>
    </row>
    <row r="3134" s="1" customFormat="1" spans="1:3">
      <c r="A3134" s="6"/>
      <c r="B3134" s="6"/>
      <c r="C3134" s="6"/>
    </row>
    <row r="3135" s="1" customFormat="1" spans="1:3">
      <c r="A3135" s="6"/>
      <c r="B3135" s="6"/>
      <c r="C3135" s="6"/>
    </row>
    <row r="3136" s="1" customFormat="1" spans="1:3">
      <c r="A3136" s="6"/>
      <c r="B3136" s="6"/>
      <c r="C3136" s="6"/>
    </row>
    <row r="3137" s="1" customFormat="1" spans="1:3">
      <c r="A3137" s="6"/>
      <c r="B3137" s="6"/>
      <c r="C3137" s="6"/>
    </row>
    <row r="3138" s="1" customFormat="1" spans="1:3">
      <c r="A3138" s="6"/>
      <c r="B3138" s="6"/>
      <c r="C3138" s="6"/>
    </row>
    <row r="3139" s="1" customFormat="1" spans="1:3">
      <c r="A3139" s="6"/>
      <c r="B3139" s="6"/>
      <c r="C3139" s="6"/>
    </row>
    <row r="3140" s="1" customFormat="1" spans="1:3">
      <c r="A3140" s="6"/>
      <c r="B3140" s="6"/>
      <c r="C3140" s="6"/>
    </row>
    <row r="3141" s="1" customFormat="1" spans="1:3">
      <c r="A3141" s="6"/>
      <c r="B3141" s="6"/>
      <c r="C3141" s="6"/>
    </row>
    <row r="3142" s="1" customFormat="1" spans="1:3">
      <c r="A3142" s="6"/>
      <c r="B3142" s="6"/>
      <c r="C3142" s="6"/>
    </row>
    <row r="3143" s="1" customFormat="1" spans="1:3">
      <c r="A3143" s="6"/>
      <c r="B3143" s="6"/>
      <c r="C3143" s="6"/>
    </row>
    <row r="3144" s="1" customFormat="1" spans="1:3">
      <c r="A3144" s="6"/>
      <c r="B3144" s="6"/>
      <c r="C3144" s="6"/>
    </row>
    <row r="3145" s="1" customFormat="1" spans="1:3">
      <c r="A3145" s="6"/>
      <c r="B3145" s="6"/>
      <c r="C3145" s="6"/>
    </row>
    <row r="3146" s="1" customFormat="1" spans="1:3">
      <c r="A3146" s="6"/>
      <c r="B3146" s="6"/>
      <c r="C3146" s="6"/>
    </row>
    <row r="3147" s="1" customFormat="1" spans="1:3">
      <c r="A3147" s="6"/>
      <c r="B3147" s="6"/>
      <c r="C3147" s="6"/>
    </row>
    <row r="3148" s="1" customFormat="1" spans="1:3">
      <c r="A3148" s="6"/>
      <c r="B3148" s="6"/>
      <c r="C3148" s="6"/>
    </row>
    <row r="3149" s="1" customFormat="1" spans="1:3">
      <c r="A3149" s="6"/>
      <c r="B3149" s="6"/>
      <c r="C3149" s="6"/>
    </row>
    <row r="3150" s="1" customFormat="1" spans="1:3">
      <c r="A3150" s="6"/>
      <c r="B3150" s="6"/>
      <c r="C3150" s="6"/>
    </row>
    <row r="3151" s="1" customFormat="1" spans="1:3">
      <c r="A3151" s="6"/>
      <c r="B3151" s="6"/>
      <c r="C3151" s="6"/>
    </row>
    <row r="3152" s="1" customFormat="1" spans="1:3">
      <c r="A3152" s="6"/>
      <c r="B3152" s="6"/>
      <c r="C3152" s="6"/>
    </row>
    <row r="3153" s="1" customFormat="1" spans="1:3">
      <c r="A3153" s="6"/>
      <c r="B3153" s="6"/>
      <c r="C3153" s="6"/>
    </row>
    <row r="3154" s="1" customFormat="1" spans="1:3">
      <c r="A3154" s="6"/>
      <c r="B3154" s="6"/>
      <c r="C3154" s="6"/>
    </row>
    <row r="3155" s="1" customFormat="1" spans="1:3">
      <c r="A3155" s="6"/>
      <c r="B3155" s="6"/>
      <c r="C3155" s="6"/>
    </row>
    <row r="3156" s="1" customFormat="1" spans="1:3">
      <c r="A3156" s="6"/>
      <c r="B3156" s="6"/>
      <c r="C3156" s="6"/>
    </row>
    <row r="3157" s="1" customFormat="1" spans="1:3">
      <c r="A3157" s="6"/>
      <c r="B3157" s="6"/>
      <c r="C3157" s="6"/>
    </row>
    <row r="3158" s="1" customFormat="1" spans="1:3">
      <c r="A3158" s="6"/>
      <c r="B3158" s="6"/>
      <c r="C3158" s="6"/>
    </row>
    <row r="3159" s="1" customFormat="1" spans="1:3">
      <c r="A3159" s="6"/>
      <c r="B3159" s="6"/>
      <c r="C3159" s="6"/>
    </row>
    <row r="3160" s="1" customFormat="1" spans="1:3">
      <c r="A3160" s="6"/>
      <c r="B3160" s="6"/>
      <c r="C3160" s="6"/>
    </row>
    <row r="3161" s="1" customFormat="1" spans="1:3">
      <c r="A3161" s="6"/>
      <c r="B3161" s="6"/>
      <c r="C3161" s="6"/>
    </row>
    <row r="3162" s="1" customFormat="1" spans="1:3">
      <c r="A3162" s="6"/>
      <c r="B3162" s="6"/>
      <c r="C3162" s="6"/>
    </row>
    <row r="3163" s="1" customFormat="1" spans="1:3">
      <c r="A3163" s="6"/>
      <c r="B3163" s="6"/>
      <c r="C3163" s="6"/>
    </row>
    <row r="3164" s="1" customFormat="1" spans="1:3">
      <c r="A3164" s="6"/>
      <c r="B3164" s="6"/>
      <c r="C3164" s="6"/>
    </row>
    <row r="3165" s="1" customFormat="1" spans="1:3">
      <c r="A3165" s="6"/>
      <c r="B3165" s="6"/>
      <c r="C3165" s="6"/>
    </row>
    <row r="3166" s="1" customFormat="1" spans="1:3">
      <c r="A3166" s="6"/>
      <c r="B3166" s="6"/>
      <c r="C3166" s="6"/>
    </row>
    <row r="3167" s="1" customFormat="1" spans="1:3">
      <c r="A3167" s="6"/>
      <c r="B3167" s="6"/>
      <c r="C3167" s="6"/>
    </row>
    <row r="3168" s="1" customFormat="1" spans="1:3">
      <c r="A3168" s="6"/>
      <c r="B3168" s="6"/>
      <c r="C3168" s="6"/>
    </row>
    <row r="3169" s="1" customFormat="1" spans="1:3">
      <c r="A3169" s="6"/>
      <c r="B3169" s="6"/>
      <c r="C3169" s="6"/>
    </row>
    <row r="3170" s="1" customFormat="1" spans="1:3">
      <c r="A3170" s="6"/>
      <c r="B3170" s="6"/>
      <c r="C3170" s="6"/>
    </row>
    <row r="3171" s="1" customFormat="1" spans="1:3">
      <c r="A3171" s="6"/>
      <c r="B3171" s="6"/>
      <c r="C3171" s="6"/>
    </row>
    <row r="3172" s="1" customFormat="1" spans="1:3">
      <c r="A3172" s="6"/>
      <c r="B3172" s="6"/>
      <c r="C3172" s="6"/>
    </row>
    <row r="3173" s="1" customFormat="1" spans="1:3">
      <c r="A3173" s="6"/>
      <c r="B3173" s="6"/>
      <c r="C3173" s="6"/>
    </row>
    <row r="3174" s="1" customFormat="1" spans="1:3">
      <c r="A3174" s="6"/>
      <c r="B3174" s="6"/>
      <c r="C3174" s="6"/>
    </row>
    <row r="3175" s="1" customFormat="1" spans="1:3">
      <c r="A3175" s="6"/>
      <c r="B3175" s="6"/>
      <c r="C3175" s="6"/>
    </row>
    <row r="3176" s="1" customFormat="1" spans="1:3">
      <c r="A3176" s="6"/>
      <c r="B3176" s="6"/>
      <c r="C3176" s="6"/>
    </row>
    <row r="3177" s="1" customFormat="1" spans="1:3">
      <c r="A3177" s="6"/>
      <c r="B3177" s="6"/>
      <c r="C3177" s="6"/>
    </row>
    <row r="3178" s="1" customFormat="1" spans="1:3">
      <c r="A3178" s="6"/>
      <c r="B3178" s="6"/>
      <c r="C3178" s="6"/>
    </row>
    <row r="3179" s="1" customFormat="1" spans="1:3">
      <c r="A3179" s="6"/>
      <c r="B3179" s="6"/>
      <c r="C3179" s="6"/>
    </row>
    <row r="3180" s="1" customFormat="1" spans="1:3">
      <c r="A3180" s="6"/>
      <c r="B3180" s="6"/>
      <c r="C3180" s="6"/>
    </row>
    <row r="3181" s="1" customFormat="1" spans="1:3">
      <c r="A3181" s="6"/>
      <c r="B3181" s="6"/>
      <c r="C3181" s="6"/>
    </row>
    <row r="3182" s="1" customFormat="1" spans="1:3">
      <c r="A3182" s="6"/>
      <c r="B3182" s="6"/>
      <c r="C3182" s="6"/>
    </row>
    <row r="3183" s="1" customFormat="1" spans="1:3">
      <c r="A3183" s="6"/>
      <c r="B3183" s="6"/>
      <c r="C3183" s="6"/>
    </row>
    <row r="3184" s="1" customFormat="1" spans="1:3">
      <c r="A3184" s="6"/>
      <c r="B3184" s="6"/>
      <c r="C3184" s="6"/>
    </row>
    <row r="3185" s="1" customFormat="1" spans="1:3">
      <c r="A3185" s="6"/>
      <c r="B3185" s="6"/>
      <c r="C3185" s="6"/>
    </row>
    <row r="3186" s="1" customFormat="1" spans="1:3">
      <c r="A3186" s="6"/>
      <c r="B3186" s="6"/>
      <c r="C3186" s="6"/>
    </row>
    <row r="3187" s="1" customFormat="1" spans="1:3">
      <c r="A3187" s="6"/>
      <c r="B3187" s="6"/>
      <c r="C3187" s="6"/>
    </row>
    <row r="3188" s="1" customFormat="1" spans="1:3">
      <c r="A3188" s="6"/>
      <c r="B3188" s="6"/>
      <c r="C3188" s="6"/>
    </row>
    <row r="3189" s="1" customFormat="1" spans="1:3">
      <c r="A3189" s="6"/>
      <c r="B3189" s="6"/>
      <c r="C3189" s="6"/>
    </row>
    <row r="3190" s="1" customFormat="1" spans="1:3">
      <c r="A3190" s="6"/>
      <c r="B3190" s="6"/>
      <c r="C3190" s="6"/>
    </row>
    <row r="3191" s="1" customFormat="1" spans="1:3">
      <c r="A3191" s="6"/>
      <c r="B3191" s="6"/>
      <c r="C3191" s="6"/>
    </row>
    <row r="3192" s="1" customFormat="1" spans="1:3">
      <c r="A3192" s="6"/>
      <c r="B3192" s="6"/>
      <c r="C3192" s="6"/>
    </row>
    <row r="3193" s="1" customFormat="1" spans="1:3">
      <c r="A3193" s="6"/>
      <c r="B3193" s="6"/>
      <c r="C3193" s="6"/>
    </row>
    <row r="3194" s="1" customFormat="1" spans="1:3">
      <c r="A3194" s="6"/>
      <c r="B3194" s="6"/>
      <c r="C3194" s="6"/>
    </row>
    <row r="3195" s="1" customFormat="1" spans="1:3">
      <c r="A3195" s="6"/>
      <c r="B3195" s="6"/>
      <c r="C3195" s="6"/>
    </row>
    <row r="3196" s="1" customFormat="1" spans="1:3">
      <c r="A3196" s="6"/>
      <c r="B3196" s="6"/>
      <c r="C3196" s="6"/>
    </row>
    <row r="3197" s="1" customFormat="1" spans="1:3">
      <c r="A3197" s="6"/>
      <c r="B3197" s="6"/>
      <c r="C3197" s="6"/>
    </row>
    <row r="3198" s="1" customFormat="1" spans="1:3">
      <c r="A3198" s="6"/>
      <c r="B3198" s="6"/>
      <c r="C3198" s="6"/>
    </row>
    <row r="3199" s="1" customFormat="1" spans="1:3">
      <c r="A3199" s="6"/>
      <c r="B3199" s="6"/>
      <c r="C3199" s="6"/>
    </row>
    <row r="3200" s="1" customFormat="1" spans="1:3">
      <c r="A3200" s="6"/>
      <c r="B3200" s="6"/>
      <c r="C3200" s="6"/>
    </row>
    <row r="3201" s="1" customFormat="1" spans="1:3">
      <c r="A3201" s="6"/>
      <c r="B3201" s="6"/>
      <c r="C3201" s="6"/>
    </row>
    <row r="3202" s="1" customFormat="1" spans="1:3">
      <c r="A3202" s="6"/>
      <c r="B3202" s="6"/>
      <c r="C3202" s="6"/>
    </row>
    <row r="3203" s="1" customFormat="1" spans="1:3">
      <c r="A3203" s="6"/>
      <c r="B3203" s="6"/>
      <c r="C3203" s="6"/>
    </row>
    <row r="3204" s="1" customFormat="1" spans="1:3">
      <c r="A3204" s="6"/>
      <c r="B3204" s="6"/>
      <c r="C3204" s="6"/>
    </row>
    <row r="3205" s="1" customFormat="1" spans="1:3">
      <c r="A3205" s="6"/>
      <c r="B3205" s="6"/>
      <c r="C3205" s="6"/>
    </row>
    <row r="3206" s="1" customFormat="1" spans="1:3">
      <c r="A3206" s="6"/>
      <c r="B3206" s="6"/>
      <c r="C3206" s="6"/>
    </row>
    <row r="3207" s="1" customFormat="1" spans="1:3">
      <c r="A3207" s="6"/>
      <c r="B3207" s="6"/>
      <c r="C3207" s="6"/>
    </row>
    <row r="3208" s="1" customFormat="1" spans="1:3">
      <c r="A3208" s="6"/>
      <c r="B3208" s="6"/>
      <c r="C3208" s="6"/>
    </row>
    <row r="3209" s="1" customFormat="1" spans="1:3">
      <c r="A3209" s="6"/>
      <c r="B3209" s="6"/>
      <c r="C3209" s="6"/>
    </row>
    <row r="3210" s="1" customFormat="1" spans="1:3">
      <c r="A3210" s="6"/>
      <c r="B3210" s="6"/>
      <c r="C3210" s="6"/>
    </row>
    <row r="3211" s="1" customFormat="1" spans="1:3">
      <c r="A3211" s="6"/>
      <c r="B3211" s="6"/>
      <c r="C3211" s="6"/>
    </row>
    <row r="3212" s="1" customFormat="1" spans="1:3">
      <c r="A3212" s="6"/>
      <c r="B3212" s="6"/>
      <c r="C3212" s="6"/>
    </row>
    <row r="3213" s="1" customFormat="1" spans="1:3">
      <c r="A3213" s="6"/>
      <c r="B3213" s="6"/>
      <c r="C3213" s="6"/>
    </row>
    <row r="3214" s="1" customFormat="1" spans="1:3">
      <c r="A3214" s="6"/>
      <c r="B3214" s="6"/>
      <c r="C3214" s="6"/>
    </row>
    <row r="3215" s="1" customFormat="1" spans="1:3">
      <c r="A3215" s="6"/>
      <c r="B3215" s="6"/>
      <c r="C3215" s="6"/>
    </row>
    <row r="3216" s="1" customFormat="1" spans="1:3">
      <c r="A3216" s="6"/>
      <c r="B3216" s="6"/>
      <c r="C3216" s="6"/>
    </row>
    <row r="3217" s="1" customFormat="1" spans="1:3">
      <c r="A3217" s="6"/>
      <c r="B3217" s="6"/>
      <c r="C3217" s="6"/>
    </row>
    <row r="3218" s="1" customFormat="1" spans="1:3">
      <c r="A3218" s="6"/>
      <c r="B3218" s="6"/>
      <c r="C3218" s="6"/>
    </row>
    <row r="3219" s="1" customFormat="1" spans="1:3">
      <c r="A3219" s="6"/>
      <c r="B3219" s="6"/>
      <c r="C3219" s="6"/>
    </row>
    <row r="3220" s="1" customFormat="1" spans="1:3">
      <c r="A3220" s="6"/>
      <c r="B3220" s="6"/>
      <c r="C3220" s="6"/>
    </row>
    <row r="3221" s="1" customFormat="1" spans="1:3">
      <c r="A3221" s="6"/>
      <c r="B3221" s="6"/>
      <c r="C3221" s="6"/>
    </row>
    <row r="3222" s="1" customFormat="1" spans="1:3">
      <c r="A3222" s="6"/>
      <c r="B3222" s="6"/>
      <c r="C3222" s="6"/>
    </row>
    <row r="3223" s="1" customFormat="1" spans="1:3">
      <c r="A3223" s="6"/>
      <c r="B3223" s="6"/>
      <c r="C3223" s="6"/>
    </row>
    <row r="3224" s="1" customFormat="1" spans="1:3">
      <c r="A3224" s="6"/>
      <c r="B3224" s="6"/>
      <c r="C3224" s="6"/>
    </row>
    <row r="3225" s="1" customFormat="1" spans="1:3">
      <c r="A3225" s="6"/>
      <c r="B3225" s="6"/>
      <c r="C3225" s="6"/>
    </row>
    <row r="3226" s="1" customFormat="1" spans="1:3">
      <c r="A3226" s="6"/>
      <c r="B3226" s="6"/>
      <c r="C3226" s="6"/>
    </row>
    <row r="3227" s="1" customFormat="1" spans="1:3">
      <c r="A3227" s="6"/>
      <c r="B3227" s="6"/>
      <c r="C3227" s="6"/>
    </row>
    <row r="3228" s="1" customFormat="1" spans="1:3">
      <c r="A3228" s="6"/>
      <c r="B3228" s="6"/>
      <c r="C3228" s="6"/>
    </row>
    <row r="3229" s="1" customFormat="1" spans="1:3">
      <c r="A3229" s="6"/>
      <c r="B3229" s="6"/>
      <c r="C3229" s="6"/>
    </row>
    <row r="3230" s="1" customFormat="1" spans="1:3">
      <c r="A3230" s="6"/>
      <c r="B3230" s="6"/>
      <c r="C3230" s="6"/>
    </row>
    <row r="3231" s="1" customFormat="1" spans="1:3">
      <c r="A3231" s="6"/>
      <c r="B3231" s="6"/>
      <c r="C3231" s="6"/>
    </row>
    <row r="3232" s="1" customFormat="1" spans="1:3">
      <c r="A3232" s="6"/>
      <c r="B3232" s="6"/>
      <c r="C3232" s="6"/>
    </row>
    <row r="3233" s="1" customFormat="1" spans="1:3">
      <c r="A3233" s="6"/>
      <c r="B3233" s="6"/>
      <c r="C3233" s="6"/>
    </row>
    <row r="3234" s="1" customFormat="1" spans="1:3">
      <c r="A3234" s="6"/>
      <c r="B3234" s="6"/>
      <c r="C3234" s="6"/>
    </row>
    <row r="3235" s="1" customFormat="1" spans="1:3">
      <c r="A3235" s="6"/>
      <c r="B3235" s="6"/>
      <c r="C3235" s="6"/>
    </row>
    <row r="3236" s="1" customFormat="1" spans="1:3">
      <c r="A3236" s="6"/>
      <c r="B3236" s="6"/>
      <c r="C3236" s="6"/>
    </row>
    <row r="3237" s="1" customFormat="1" spans="1:3">
      <c r="A3237" s="6"/>
      <c r="B3237" s="6"/>
      <c r="C3237" s="6"/>
    </row>
    <row r="3238" s="1" customFormat="1" spans="1:3">
      <c r="A3238" s="6"/>
      <c r="B3238" s="6"/>
      <c r="C3238" s="6"/>
    </row>
    <row r="3239" s="1" customFormat="1" spans="1:3">
      <c r="A3239" s="6"/>
      <c r="B3239" s="6"/>
      <c r="C3239" s="6"/>
    </row>
    <row r="3240" s="1" customFormat="1" spans="1:3">
      <c r="A3240" s="6"/>
      <c r="B3240" s="6"/>
      <c r="C3240" s="6"/>
    </row>
    <row r="3241" s="1" customFormat="1" spans="1:3">
      <c r="A3241" s="6"/>
      <c r="B3241" s="6"/>
      <c r="C3241" s="6"/>
    </row>
    <row r="3242" s="1" customFormat="1" spans="1:3">
      <c r="A3242" s="6"/>
      <c r="B3242" s="6"/>
      <c r="C3242" s="6"/>
    </row>
    <row r="3243" s="1" customFormat="1" spans="1:3">
      <c r="A3243" s="6"/>
      <c r="B3243" s="6"/>
      <c r="C3243" s="6"/>
    </row>
    <row r="3244" s="1" customFormat="1" spans="1:3">
      <c r="A3244" s="6"/>
      <c r="B3244" s="6"/>
      <c r="C3244" s="6"/>
    </row>
    <row r="3245" s="1" customFormat="1" spans="1:3">
      <c r="A3245" s="6"/>
      <c r="B3245" s="6"/>
      <c r="C3245" s="6"/>
    </row>
    <row r="3246" s="1" customFormat="1" spans="1:3">
      <c r="A3246" s="6"/>
      <c r="B3246" s="6"/>
      <c r="C3246" s="6"/>
    </row>
    <row r="3247" s="1" customFormat="1" spans="1:3">
      <c r="A3247" s="6"/>
      <c r="B3247" s="6"/>
      <c r="C3247" s="6"/>
    </row>
    <row r="3248" s="1" customFormat="1" spans="1:3">
      <c r="A3248" s="6"/>
      <c r="B3248" s="6"/>
      <c r="C3248" s="6"/>
    </row>
    <row r="3249" s="1" customFormat="1" spans="1:3">
      <c r="A3249" s="6"/>
      <c r="B3249" s="6"/>
      <c r="C3249" s="6"/>
    </row>
    <row r="3250" s="1" customFormat="1" spans="1:3">
      <c r="A3250" s="6"/>
      <c r="B3250" s="6"/>
      <c r="C3250" s="6"/>
    </row>
    <row r="3251" s="1" customFormat="1" spans="1:3">
      <c r="A3251" s="6"/>
      <c r="B3251" s="6"/>
      <c r="C3251" s="6"/>
    </row>
    <row r="3252" s="1" customFormat="1" spans="1:3">
      <c r="A3252" s="6"/>
      <c r="B3252" s="6"/>
      <c r="C3252" s="6"/>
    </row>
    <row r="3253" s="1" customFormat="1" spans="1:3">
      <c r="A3253" s="6"/>
      <c r="B3253" s="6"/>
      <c r="C3253" s="6"/>
    </row>
    <row r="3254" s="1" customFormat="1" spans="1:3">
      <c r="A3254" s="6"/>
      <c r="B3254" s="6"/>
      <c r="C3254" s="6"/>
    </row>
    <row r="3255" s="1" customFormat="1" spans="1:3">
      <c r="A3255" s="6"/>
      <c r="B3255" s="6"/>
      <c r="C3255" s="6"/>
    </row>
    <row r="3256" s="1" customFormat="1" spans="1:3">
      <c r="A3256" s="6"/>
      <c r="B3256" s="6"/>
      <c r="C3256" s="6"/>
    </row>
    <row r="3257" s="1" customFormat="1" spans="1:3">
      <c r="A3257" s="6"/>
      <c r="B3257" s="6"/>
      <c r="C3257" s="6"/>
    </row>
    <row r="3258" s="1" customFormat="1" spans="1:3">
      <c r="A3258" s="6"/>
      <c r="B3258" s="6"/>
      <c r="C3258" s="6"/>
    </row>
    <row r="3259" s="1" customFormat="1" spans="1:3">
      <c r="A3259" s="6"/>
      <c r="B3259" s="6"/>
      <c r="C3259" s="6"/>
    </row>
    <row r="3260" s="1" customFormat="1" spans="1:3">
      <c r="A3260" s="6"/>
      <c r="B3260" s="6"/>
      <c r="C3260" s="6"/>
    </row>
    <row r="3261" s="1" customFormat="1" spans="1:3">
      <c r="A3261" s="6"/>
      <c r="B3261" s="6"/>
      <c r="C3261" s="6"/>
    </row>
    <row r="3262" s="1" customFormat="1" spans="1:3">
      <c r="A3262" s="6"/>
      <c r="B3262" s="6"/>
      <c r="C3262" s="6"/>
    </row>
    <row r="3263" s="1" customFormat="1" spans="1:3">
      <c r="A3263" s="6"/>
      <c r="B3263" s="6"/>
      <c r="C3263" s="6"/>
    </row>
    <row r="3264" s="1" customFormat="1" spans="1:3">
      <c r="A3264" s="6"/>
      <c r="B3264" s="6"/>
      <c r="C3264" s="6"/>
    </row>
    <row r="3265" s="1" customFormat="1" spans="1:3">
      <c r="A3265" s="6"/>
      <c r="B3265" s="6"/>
      <c r="C3265" s="6"/>
    </row>
    <row r="3266" s="1" customFormat="1" spans="1:3">
      <c r="A3266" s="6"/>
      <c r="B3266" s="6"/>
      <c r="C3266" s="6"/>
    </row>
    <row r="3267" s="1" customFormat="1" spans="1:3">
      <c r="A3267" s="6"/>
      <c r="B3267" s="6"/>
      <c r="C3267" s="6"/>
    </row>
    <row r="3268" s="1" customFormat="1" spans="1:3">
      <c r="A3268" s="6"/>
      <c r="B3268" s="6"/>
      <c r="C3268" s="6"/>
    </row>
    <row r="3269" s="1" customFormat="1" spans="1:3">
      <c r="A3269" s="6"/>
      <c r="B3269" s="6"/>
      <c r="C3269" s="6"/>
    </row>
    <row r="3270" s="1" customFormat="1" spans="1:3">
      <c r="A3270" s="6"/>
      <c r="B3270" s="6"/>
      <c r="C3270" s="6"/>
    </row>
    <row r="3271" s="1" customFormat="1" spans="1:3">
      <c r="A3271" s="6"/>
      <c r="B3271" s="6"/>
      <c r="C3271" s="6"/>
    </row>
    <row r="3272" s="1" customFormat="1" spans="1:3">
      <c r="A3272" s="6"/>
      <c r="B3272" s="6"/>
      <c r="C3272" s="6"/>
    </row>
    <row r="3273" s="1" customFormat="1" spans="1:3">
      <c r="A3273" s="6"/>
      <c r="B3273" s="6"/>
      <c r="C3273" s="6"/>
    </row>
    <row r="3274" s="1" customFormat="1" spans="1:3">
      <c r="A3274" s="6"/>
      <c r="B3274" s="6"/>
      <c r="C3274" s="6"/>
    </row>
    <row r="3275" s="1" customFormat="1" spans="1:3">
      <c r="A3275" s="6"/>
      <c r="B3275" s="6"/>
      <c r="C3275" s="6"/>
    </row>
    <row r="3276" s="1" customFormat="1" spans="1:3">
      <c r="A3276" s="6"/>
      <c r="B3276" s="6"/>
      <c r="C3276" s="6"/>
    </row>
    <row r="3277" s="1" customFormat="1" spans="1:3">
      <c r="A3277" s="6"/>
      <c r="B3277" s="6"/>
      <c r="C3277" s="6"/>
    </row>
    <row r="3278" s="1" customFormat="1" spans="1:3">
      <c r="A3278" s="6"/>
      <c r="B3278" s="6"/>
      <c r="C3278" s="6"/>
    </row>
    <row r="3279" s="1" customFormat="1" spans="1:3">
      <c r="A3279" s="6"/>
      <c r="B3279" s="6"/>
      <c r="C3279" s="6"/>
    </row>
    <row r="3280" s="1" customFormat="1" spans="1:3">
      <c r="A3280" s="6"/>
      <c r="B3280" s="6"/>
      <c r="C3280" s="6"/>
    </row>
    <row r="3281" s="1" customFormat="1" spans="1:3">
      <c r="A3281" s="6"/>
      <c r="B3281" s="6"/>
      <c r="C3281" s="6"/>
    </row>
    <row r="3282" s="1" customFormat="1" spans="1:3">
      <c r="A3282" s="6"/>
      <c r="B3282" s="6"/>
      <c r="C3282" s="6"/>
    </row>
    <row r="3283" s="1" customFormat="1" spans="1:3">
      <c r="A3283" s="6"/>
      <c r="B3283" s="6"/>
      <c r="C3283" s="6"/>
    </row>
    <row r="3284" s="1" customFormat="1" spans="1:3">
      <c r="A3284" s="6"/>
      <c r="B3284" s="6"/>
      <c r="C3284" s="6"/>
    </row>
    <row r="3285" s="1" customFormat="1" spans="1:3">
      <c r="A3285" s="6"/>
      <c r="B3285" s="6"/>
      <c r="C3285" s="6"/>
    </row>
    <row r="3286" s="1" customFormat="1" spans="1:3">
      <c r="A3286" s="6"/>
      <c r="B3286" s="6"/>
      <c r="C3286" s="6"/>
    </row>
    <row r="3287" s="1" customFormat="1" spans="1:3">
      <c r="A3287" s="6"/>
      <c r="B3287" s="6"/>
      <c r="C3287" s="6"/>
    </row>
    <row r="3288" s="1" customFormat="1" spans="1:3">
      <c r="A3288" s="6"/>
      <c r="B3288" s="6"/>
      <c r="C3288" s="6"/>
    </row>
    <row r="3289" s="1" customFormat="1" spans="1:3">
      <c r="A3289" s="6"/>
      <c r="B3289" s="6"/>
      <c r="C3289" s="6"/>
    </row>
    <row r="3290" s="1" customFormat="1" spans="1:3">
      <c r="A3290" s="6"/>
      <c r="B3290" s="6"/>
      <c r="C3290" s="6"/>
    </row>
    <row r="3291" s="1" customFormat="1" spans="1:3">
      <c r="A3291" s="6"/>
      <c r="B3291" s="6"/>
      <c r="C3291" s="6"/>
    </row>
    <row r="3292" s="1" customFormat="1" spans="1:3">
      <c r="A3292" s="6"/>
      <c r="B3292" s="6"/>
      <c r="C3292" s="6"/>
    </row>
    <row r="3293" s="1" customFormat="1" spans="1:3">
      <c r="A3293" s="6"/>
      <c r="B3293" s="6"/>
      <c r="C3293" s="6"/>
    </row>
    <row r="3294" s="1" customFormat="1" spans="1:3">
      <c r="A3294" s="6"/>
      <c r="B3294" s="6"/>
      <c r="C3294" s="6"/>
    </row>
    <row r="3295" s="1" customFormat="1" spans="1:3">
      <c r="A3295" s="6"/>
      <c r="B3295" s="6"/>
      <c r="C3295" s="6"/>
    </row>
    <row r="3296" s="1" customFormat="1" spans="1:3">
      <c r="A3296" s="6"/>
      <c r="B3296" s="6"/>
      <c r="C3296" s="6"/>
    </row>
    <row r="3297" s="1" customFormat="1" spans="1:3">
      <c r="A3297" s="6"/>
      <c r="B3297" s="6"/>
      <c r="C3297" s="6"/>
    </row>
    <row r="3298" s="1" customFormat="1" spans="1:3">
      <c r="A3298" s="6"/>
      <c r="B3298" s="6"/>
      <c r="C3298" s="6"/>
    </row>
    <row r="3299" s="1" customFormat="1" spans="1:3">
      <c r="A3299" s="6"/>
      <c r="B3299" s="6"/>
      <c r="C3299" s="6"/>
    </row>
    <row r="3300" s="1" customFormat="1" spans="1:3">
      <c r="A3300" s="6"/>
      <c r="B3300" s="6"/>
      <c r="C3300" s="6"/>
    </row>
    <row r="3301" s="1" customFormat="1" spans="1:3">
      <c r="A3301" s="6"/>
      <c r="B3301" s="6"/>
      <c r="C3301" s="6"/>
    </row>
    <row r="3302" s="1" customFormat="1" spans="1:3">
      <c r="A3302" s="6"/>
      <c r="B3302" s="6"/>
      <c r="C3302" s="6"/>
    </row>
    <row r="3303" s="1" customFormat="1" spans="1:3">
      <c r="A3303" s="6"/>
      <c r="B3303" s="6"/>
      <c r="C3303" s="6"/>
    </row>
    <row r="3304" s="1" customFormat="1" spans="1:3">
      <c r="A3304" s="6"/>
      <c r="B3304" s="6"/>
      <c r="C3304" s="6"/>
    </row>
    <row r="3305" s="1" customFormat="1" spans="1:3">
      <c r="A3305" s="6"/>
      <c r="B3305" s="6"/>
      <c r="C3305" s="6"/>
    </row>
    <row r="3306" s="1" customFormat="1" spans="1:3">
      <c r="A3306" s="6"/>
      <c r="B3306" s="6"/>
      <c r="C3306" s="6"/>
    </row>
    <row r="3307" s="1" customFormat="1" spans="1:3">
      <c r="A3307" s="6"/>
      <c r="B3307" s="6"/>
      <c r="C3307" s="6"/>
    </row>
    <row r="3308" s="1" customFormat="1" spans="1:3">
      <c r="A3308" s="6"/>
      <c r="B3308" s="6"/>
      <c r="C3308" s="6"/>
    </row>
    <row r="3309" s="1" customFormat="1" spans="1:3">
      <c r="A3309" s="6"/>
      <c r="B3309" s="6"/>
      <c r="C3309" s="6"/>
    </row>
    <row r="3310" s="1" customFormat="1" spans="1:3">
      <c r="A3310" s="6"/>
      <c r="B3310" s="6"/>
      <c r="C3310" s="6"/>
    </row>
    <row r="3311" s="1" customFormat="1" spans="1:3">
      <c r="A3311" s="6"/>
      <c r="B3311" s="6"/>
      <c r="C3311" s="6"/>
    </row>
    <row r="3312" s="1" customFormat="1" spans="1:3">
      <c r="A3312" s="6"/>
      <c r="B3312" s="6"/>
      <c r="C3312" s="6"/>
    </row>
    <row r="3313" s="1" customFormat="1" spans="1:3">
      <c r="A3313" s="6"/>
      <c r="B3313" s="6"/>
      <c r="C3313" s="6"/>
    </row>
    <row r="3314" s="1" customFormat="1" spans="1:3">
      <c r="A3314" s="6"/>
      <c r="B3314" s="6"/>
      <c r="C3314" s="6"/>
    </row>
    <row r="3315" s="1" customFormat="1" spans="1:3">
      <c r="A3315" s="6"/>
      <c r="B3315" s="6"/>
      <c r="C3315" s="6"/>
    </row>
    <row r="3316" s="1" customFormat="1" spans="1:3">
      <c r="A3316" s="6"/>
      <c r="B3316" s="6"/>
      <c r="C3316" s="6"/>
    </row>
    <row r="3317" s="1" customFormat="1" spans="1:3">
      <c r="A3317" s="6"/>
      <c r="B3317" s="6"/>
      <c r="C3317" s="6"/>
    </row>
    <row r="3318" s="1" customFormat="1" spans="1:3">
      <c r="A3318" s="6"/>
      <c r="B3318" s="6"/>
      <c r="C3318" s="6"/>
    </row>
    <row r="3319" s="1" customFormat="1" spans="1:3">
      <c r="A3319" s="6"/>
      <c r="B3319" s="6"/>
      <c r="C3319" s="6"/>
    </row>
    <row r="3320" s="1" customFormat="1" spans="1:3">
      <c r="A3320" s="6"/>
      <c r="B3320" s="6"/>
      <c r="C3320" s="6"/>
    </row>
    <row r="3321" s="1" customFormat="1" spans="1:3">
      <c r="A3321" s="6"/>
      <c r="B3321" s="6"/>
      <c r="C3321" s="6"/>
    </row>
    <row r="3322" s="1" customFormat="1" spans="1:3">
      <c r="A3322" s="6"/>
      <c r="B3322" s="6"/>
      <c r="C3322" s="6"/>
    </row>
    <row r="3323" s="1" customFormat="1" spans="1:3">
      <c r="A3323" s="6"/>
      <c r="B3323" s="6"/>
      <c r="C3323" s="6"/>
    </row>
    <row r="3324" s="1" customFormat="1" spans="1:3">
      <c r="A3324" s="6"/>
      <c r="B3324" s="6"/>
      <c r="C3324" s="6"/>
    </row>
    <row r="3325" s="1" customFormat="1" spans="1:3">
      <c r="A3325" s="6"/>
      <c r="B3325" s="6"/>
      <c r="C3325" s="6"/>
    </row>
    <row r="3326" s="1" customFormat="1" spans="1:3">
      <c r="A3326" s="6"/>
      <c r="B3326" s="6"/>
      <c r="C3326" s="6"/>
    </row>
    <row r="3327" s="1" customFormat="1" spans="1:3">
      <c r="A3327" s="6"/>
      <c r="B3327" s="6"/>
      <c r="C3327" s="6"/>
    </row>
    <row r="3328" s="1" customFormat="1" spans="1:3">
      <c r="A3328" s="6"/>
      <c r="B3328" s="6"/>
      <c r="C3328" s="6"/>
    </row>
    <row r="3329" s="1" customFormat="1" spans="1:3">
      <c r="A3329" s="6"/>
      <c r="B3329" s="6"/>
      <c r="C3329" s="6"/>
    </row>
    <row r="3330" s="1" customFormat="1" spans="1:3">
      <c r="A3330" s="6"/>
      <c r="B3330" s="6"/>
      <c r="C3330" s="6"/>
    </row>
    <row r="3331" s="1" customFormat="1" spans="1:3">
      <c r="A3331" s="6"/>
      <c r="B3331" s="6"/>
      <c r="C3331" s="6"/>
    </row>
    <row r="3332" s="1" customFormat="1" spans="1:3">
      <c r="A3332" s="6"/>
      <c r="B3332" s="6"/>
      <c r="C3332" s="6"/>
    </row>
    <row r="3333" s="1" customFormat="1" spans="1:3">
      <c r="A3333" s="6"/>
      <c r="B3333" s="6"/>
      <c r="C3333" s="6"/>
    </row>
    <row r="3334" s="1" customFormat="1" spans="1:3">
      <c r="A3334" s="6"/>
      <c r="B3334" s="6"/>
      <c r="C3334" s="6"/>
    </row>
    <row r="3335" s="1" customFormat="1" spans="1:3">
      <c r="A3335" s="6"/>
      <c r="B3335" s="6"/>
      <c r="C3335" s="6"/>
    </row>
    <row r="3336" s="1" customFormat="1" spans="1:3">
      <c r="A3336" s="6"/>
      <c r="B3336" s="6"/>
      <c r="C3336" s="6"/>
    </row>
    <row r="3337" s="1" customFormat="1" spans="1:3">
      <c r="A3337" s="6"/>
      <c r="B3337" s="6"/>
      <c r="C3337" s="6"/>
    </row>
    <row r="3338" s="1" customFormat="1" spans="1:3">
      <c r="A3338" s="6"/>
      <c r="B3338" s="6"/>
      <c r="C3338" s="6"/>
    </row>
    <row r="3339" s="1" customFormat="1" spans="1:3">
      <c r="A3339" s="6"/>
      <c r="B3339" s="6"/>
      <c r="C3339" s="6"/>
    </row>
    <row r="3340" s="1" customFormat="1" spans="1:3">
      <c r="A3340" s="6"/>
      <c r="B3340" s="6"/>
      <c r="C3340" s="6"/>
    </row>
    <row r="3341" s="1" customFormat="1" spans="1:3">
      <c r="A3341" s="6"/>
      <c r="B3341" s="6"/>
      <c r="C3341" s="6"/>
    </row>
    <row r="3342" s="1" customFormat="1" spans="1:3">
      <c r="A3342" s="6"/>
      <c r="B3342" s="6"/>
      <c r="C3342" s="6"/>
    </row>
    <row r="3343" s="1" customFormat="1" spans="1:3">
      <c r="A3343" s="6"/>
      <c r="B3343" s="6"/>
      <c r="C3343" s="6"/>
    </row>
    <row r="3344" s="1" customFormat="1" spans="1:3">
      <c r="A3344" s="6"/>
      <c r="B3344" s="6"/>
      <c r="C3344" s="6"/>
    </row>
    <row r="3345" s="1" customFormat="1" spans="1:3">
      <c r="A3345" s="6"/>
      <c r="B3345" s="6"/>
      <c r="C3345" s="6"/>
    </row>
    <row r="3346" s="1" customFormat="1" spans="1:3">
      <c r="A3346" s="6"/>
      <c r="B3346" s="6"/>
      <c r="C3346" s="6"/>
    </row>
    <row r="3347" s="1" customFormat="1" spans="1:3">
      <c r="A3347" s="6"/>
      <c r="B3347" s="6"/>
      <c r="C3347" s="6"/>
    </row>
    <row r="3348" s="1" customFormat="1" spans="1:3">
      <c r="A3348" s="6"/>
      <c r="B3348" s="6"/>
      <c r="C3348" s="6"/>
    </row>
    <row r="3349" s="1" customFormat="1" spans="1:3">
      <c r="A3349" s="6"/>
      <c r="B3349" s="6"/>
      <c r="C3349" s="6"/>
    </row>
    <row r="3350" s="1" customFormat="1" spans="1:3">
      <c r="A3350" s="6"/>
      <c r="B3350" s="6"/>
      <c r="C3350" s="6"/>
    </row>
    <row r="3351" s="1" customFormat="1" spans="1:3">
      <c r="A3351" s="6"/>
      <c r="B3351" s="6"/>
      <c r="C3351" s="6"/>
    </row>
    <row r="3352" s="1" customFormat="1" spans="1:3">
      <c r="A3352" s="6"/>
      <c r="B3352" s="6"/>
      <c r="C3352" s="6"/>
    </row>
    <row r="3353" s="1" customFormat="1" spans="1:3">
      <c r="A3353" s="6"/>
      <c r="B3353" s="6"/>
      <c r="C3353" s="6"/>
    </row>
    <row r="3354" s="1" customFormat="1" spans="1:3">
      <c r="A3354" s="6"/>
      <c r="B3354" s="6"/>
      <c r="C3354" s="6"/>
    </row>
    <row r="3355" s="1" customFormat="1" spans="1:3">
      <c r="A3355" s="6"/>
      <c r="B3355" s="6"/>
      <c r="C3355" s="6"/>
    </row>
    <row r="3356" s="1" customFormat="1" spans="1:3">
      <c r="A3356" s="6"/>
      <c r="B3356" s="6"/>
      <c r="C3356" s="6"/>
    </row>
    <row r="3357" s="1" customFormat="1" spans="1:3">
      <c r="A3357" s="6"/>
      <c r="B3357" s="6"/>
      <c r="C3357" s="6"/>
    </row>
    <row r="3358" s="1" customFormat="1" spans="1:3">
      <c r="A3358" s="6"/>
      <c r="B3358" s="6"/>
      <c r="C3358" s="6"/>
    </row>
    <row r="3359" s="1" customFormat="1" spans="1:3">
      <c r="A3359" s="6"/>
      <c r="B3359" s="6"/>
      <c r="C3359" s="6"/>
    </row>
    <row r="3360" s="1" customFormat="1" spans="1:3">
      <c r="A3360" s="6"/>
      <c r="B3360" s="6"/>
      <c r="C3360" s="6"/>
    </row>
    <row r="3361" s="1" customFormat="1" spans="1:3">
      <c r="A3361" s="6"/>
      <c r="B3361" s="6"/>
      <c r="C3361" s="6"/>
    </row>
    <row r="3362" s="1" customFormat="1" spans="1:3">
      <c r="A3362" s="6"/>
      <c r="B3362" s="6"/>
      <c r="C3362" s="6"/>
    </row>
    <row r="3363" s="1" customFormat="1" spans="1:3">
      <c r="A3363" s="6"/>
      <c r="B3363" s="6"/>
      <c r="C3363" s="6"/>
    </row>
    <row r="3364" s="1" customFormat="1" spans="1:3">
      <c r="A3364" s="6"/>
      <c r="B3364" s="6"/>
      <c r="C3364" s="6"/>
    </row>
    <row r="3365" s="1" customFormat="1" spans="1:3">
      <c r="A3365" s="6"/>
      <c r="B3365" s="6"/>
      <c r="C3365" s="6"/>
    </row>
    <row r="3366" s="1" customFormat="1" spans="1:3">
      <c r="A3366" s="6"/>
      <c r="B3366" s="6"/>
      <c r="C3366" s="6"/>
    </row>
    <row r="3367" s="1" customFormat="1" spans="1:3">
      <c r="A3367" s="6"/>
      <c r="B3367" s="6"/>
      <c r="C3367" s="6"/>
    </row>
    <row r="3368" s="1" customFormat="1" spans="1:3">
      <c r="A3368" s="6"/>
      <c r="B3368" s="6"/>
      <c r="C3368" s="6"/>
    </row>
    <row r="3369" s="1" customFormat="1" spans="1:3">
      <c r="A3369" s="6"/>
      <c r="B3369" s="6"/>
      <c r="C3369" s="6"/>
    </row>
    <row r="3370" s="1" customFormat="1" spans="1:3">
      <c r="A3370" s="6"/>
      <c r="B3370" s="6"/>
      <c r="C3370" s="6"/>
    </row>
    <row r="3371" s="1" customFormat="1" spans="1:3">
      <c r="A3371" s="6"/>
      <c r="B3371" s="6"/>
      <c r="C3371" s="6"/>
    </row>
    <row r="3372" s="1" customFormat="1" spans="1:3">
      <c r="A3372" s="6"/>
      <c r="B3372" s="6"/>
      <c r="C3372" s="6"/>
    </row>
    <row r="3373" s="1" customFormat="1" spans="1:3">
      <c r="A3373" s="6"/>
      <c r="B3373" s="6"/>
      <c r="C3373" s="6"/>
    </row>
    <row r="3374" s="1" customFormat="1" spans="1:3">
      <c r="A3374" s="6"/>
      <c r="B3374" s="6"/>
      <c r="C3374" s="6"/>
    </row>
    <row r="3375" s="1" customFormat="1" spans="1:3">
      <c r="A3375" s="6"/>
      <c r="B3375" s="6"/>
      <c r="C3375" s="6"/>
    </row>
    <row r="3376" s="1" customFormat="1" spans="1:3">
      <c r="A3376" s="6"/>
      <c r="B3376" s="6"/>
      <c r="C3376" s="6"/>
    </row>
    <row r="3377" s="1" customFormat="1" spans="1:3">
      <c r="A3377" s="6"/>
      <c r="B3377" s="6"/>
      <c r="C3377" s="6"/>
    </row>
    <row r="3378" s="1" customFormat="1" spans="1:3">
      <c r="A3378" s="6"/>
      <c r="B3378" s="6"/>
      <c r="C3378" s="6"/>
    </row>
    <row r="3379" s="1" customFormat="1" spans="1:3">
      <c r="A3379" s="6"/>
      <c r="B3379" s="6"/>
      <c r="C3379" s="6"/>
    </row>
    <row r="3380" s="1" customFormat="1" spans="1:3">
      <c r="A3380" s="6"/>
      <c r="B3380" s="6"/>
      <c r="C3380" s="6"/>
    </row>
    <row r="3381" s="1" customFormat="1" spans="1:3">
      <c r="A3381" s="6"/>
      <c r="B3381" s="6"/>
      <c r="C3381" s="6"/>
    </row>
    <row r="3382" s="1" customFormat="1" spans="1:3">
      <c r="A3382" s="6"/>
      <c r="B3382" s="6"/>
      <c r="C3382" s="6"/>
    </row>
    <row r="3383" s="1" customFormat="1" spans="1:3">
      <c r="A3383" s="6"/>
      <c r="B3383" s="6"/>
      <c r="C3383" s="6"/>
    </row>
    <row r="3384" s="1" customFormat="1" spans="1:3">
      <c r="A3384" s="6"/>
      <c r="B3384" s="6"/>
      <c r="C3384" s="6"/>
    </row>
    <row r="3385" s="1" customFormat="1" spans="1:3">
      <c r="A3385" s="6"/>
      <c r="B3385" s="6"/>
      <c r="C3385" s="6"/>
    </row>
    <row r="3386" s="1" customFormat="1" spans="1:3">
      <c r="A3386" s="6"/>
      <c r="B3386" s="6"/>
      <c r="C3386" s="6"/>
    </row>
    <row r="3387" s="1" customFormat="1" spans="1:3">
      <c r="A3387" s="6"/>
      <c r="B3387" s="6"/>
      <c r="C3387" s="6"/>
    </row>
    <row r="3388" s="1" customFormat="1" spans="1:3">
      <c r="A3388" s="6"/>
      <c r="B3388" s="6"/>
      <c r="C3388" s="6"/>
    </row>
    <row r="3389" s="1" customFormat="1" spans="1:3">
      <c r="A3389" s="6"/>
      <c r="B3389" s="6"/>
      <c r="C3389" s="6"/>
    </row>
    <row r="3390" s="1" customFormat="1" spans="1:3">
      <c r="A3390" s="6"/>
      <c r="B3390" s="6"/>
      <c r="C3390" s="6"/>
    </row>
    <row r="3391" s="1" customFormat="1" spans="1:3">
      <c r="A3391" s="6"/>
      <c r="B3391" s="6"/>
      <c r="C3391" s="6"/>
    </row>
    <row r="3392" s="1" customFormat="1" spans="1:3">
      <c r="A3392" s="6"/>
      <c r="B3392" s="6"/>
      <c r="C3392" s="6"/>
    </row>
    <row r="3393" s="1" customFormat="1" spans="1:3">
      <c r="A3393" s="6"/>
      <c r="B3393" s="6"/>
      <c r="C3393" s="6"/>
    </row>
    <row r="3394" s="1" customFormat="1" spans="1:3">
      <c r="A3394" s="6"/>
      <c r="B3394" s="6"/>
      <c r="C3394" s="6"/>
    </row>
    <row r="3395" s="1" customFormat="1" spans="1:3">
      <c r="A3395" s="6"/>
      <c r="B3395" s="6"/>
      <c r="C3395" s="6"/>
    </row>
    <row r="3396" s="1" customFormat="1" spans="1:3">
      <c r="A3396" s="6"/>
      <c r="B3396" s="6"/>
      <c r="C3396" s="6"/>
    </row>
    <row r="3397" s="1" customFormat="1" spans="1:3">
      <c r="A3397" s="6"/>
      <c r="B3397" s="6"/>
      <c r="C3397" s="6"/>
    </row>
    <row r="3398" s="1" customFormat="1" spans="1:3">
      <c r="A3398" s="6"/>
      <c r="B3398" s="6"/>
      <c r="C3398" s="6"/>
    </row>
    <row r="3399" s="1" customFormat="1" spans="1:3">
      <c r="A3399" s="6"/>
      <c r="B3399" s="6"/>
      <c r="C3399" s="6"/>
    </row>
    <row r="3400" s="1" customFormat="1" spans="1:3">
      <c r="A3400" s="6"/>
      <c r="B3400" s="6"/>
      <c r="C3400" s="6"/>
    </row>
    <row r="3401" s="1" customFormat="1" spans="1:3">
      <c r="A3401" s="6"/>
      <c r="B3401" s="6"/>
      <c r="C3401" s="6"/>
    </row>
    <row r="3402" s="1" customFormat="1" spans="1:3">
      <c r="A3402" s="6"/>
      <c r="B3402" s="6"/>
      <c r="C3402" s="6"/>
    </row>
    <row r="3403" s="1" customFormat="1" spans="1:3">
      <c r="A3403" s="6"/>
      <c r="B3403" s="6"/>
      <c r="C3403" s="6"/>
    </row>
    <row r="3404" s="1" customFormat="1" spans="1:3">
      <c r="A3404" s="6"/>
      <c r="B3404" s="6"/>
      <c r="C3404" s="6"/>
    </row>
    <row r="3405" s="1" customFormat="1" spans="1:3">
      <c r="A3405" s="6"/>
      <c r="B3405" s="6"/>
      <c r="C3405" s="6"/>
    </row>
    <row r="3406" s="1" customFormat="1" spans="1:3">
      <c r="A3406" s="6"/>
      <c r="B3406" s="6"/>
      <c r="C3406" s="6"/>
    </row>
    <row r="3407" s="1" customFormat="1" spans="1:3">
      <c r="A3407" s="6"/>
      <c r="B3407" s="6"/>
      <c r="C3407" s="6"/>
    </row>
    <row r="3408" s="1" customFormat="1" spans="1:3">
      <c r="A3408" s="6"/>
      <c r="B3408" s="6"/>
      <c r="C3408" s="6"/>
    </row>
    <row r="3409" s="1" customFormat="1" spans="1:3">
      <c r="A3409" s="6"/>
      <c r="B3409" s="6"/>
      <c r="C3409" s="6"/>
    </row>
    <row r="3410" s="1" customFormat="1" spans="1:3">
      <c r="A3410" s="6"/>
      <c r="B3410" s="6"/>
      <c r="C3410" s="6"/>
    </row>
    <row r="3411" s="1" customFormat="1" spans="1:3">
      <c r="A3411" s="6"/>
      <c r="B3411" s="6"/>
      <c r="C3411" s="6"/>
    </row>
    <row r="3412" s="1" customFormat="1" spans="1:3">
      <c r="A3412" s="6"/>
      <c r="B3412" s="6"/>
      <c r="C3412" s="6"/>
    </row>
    <row r="3413" s="1" customFormat="1" spans="1:3">
      <c r="A3413" s="6"/>
      <c r="B3413" s="6"/>
      <c r="C3413" s="6"/>
    </row>
    <row r="3414" s="1" customFormat="1" spans="1:3">
      <c r="A3414" s="6"/>
      <c r="B3414" s="6"/>
      <c r="C3414" s="6"/>
    </row>
    <row r="3415" s="1" customFormat="1" spans="1:3">
      <c r="A3415" s="6"/>
      <c r="B3415" s="6"/>
      <c r="C3415" s="6"/>
    </row>
    <row r="3416" s="1" customFormat="1" spans="1:3">
      <c r="A3416" s="6"/>
      <c r="B3416" s="6"/>
      <c r="C3416" s="6"/>
    </row>
    <row r="3417" s="1" customFormat="1" spans="1:3">
      <c r="A3417" s="6"/>
      <c r="B3417" s="6"/>
      <c r="C3417" s="6"/>
    </row>
    <row r="3418" s="1" customFormat="1" spans="1:3">
      <c r="A3418" s="6"/>
      <c r="B3418" s="6"/>
      <c r="C3418" s="6"/>
    </row>
    <row r="3419" s="1" customFormat="1" spans="1:3">
      <c r="A3419" s="6"/>
      <c r="B3419" s="6"/>
      <c r="C3419" s="6"/>
    </row>
    <row r="3420" s="1" customFormat="1" spans="1:3">
      <c r="A3420" s="6"/>
      <c r="B3420" s="6"/>
      <c r="C3420" s="6"/>
    </row>
    <row r="3421" s="1" customFormat="1" spans="1:3">
      <c r="A3421" s="6"/>
      <c r="B3421" s="6"/>
      <c r="C3421" s="6"/>
    </row>
    <row r="3422" s="1" customFormat="1" spans="1:3">
      <c r="A3422" s="6"/>
      <c r="B3422" s="6"/>
      <c r="C3422" s="6"/>
    </row>
    <row r="3423" s="1" customFormat="1" spans="1:3">
      <c r="A3423" s="6"/>
      <c r="B3423" s="6"/>
      <c r="C3423" s="6"/>
    </row>
    <row r="3424" s="1" customFormat="1" spans="1:3">
      <c r="A3424" s="6"/>
      <c r="B3424" s="6"/>
      <c r="C3424" s="6"/>
    </row>
    <row r="3425" s="1" customFormat="1" spans="1:3">
      <c r="A3425" s="6"/>
      <c r="B3425" s="6"/>
      <c r="C3425" s="6"/>
    </row>
    <row r="3426" s="1" customFormat="1" spans="1:3">
      <c r="A3426" s="6"/>
      <c r="B3426" s="6"/>
      <c r="C3426" s="6"/>
    </row>
    <row r="3427" s="1" customFormat="1" spans="1:3">
      <c r="A3427" s="6"/>
      <c r="B3427" s="6"/>
      <c r="C3427" s="6"/>
    </row>
    <row r="3428" s="1" customFormat="1" spans="1:3">
      <c r="A3428" s="6"/>
      <c r="B3428" s="6"/>
      <c r="C3428" s="6"/>
    </row>
    <row r="3429" s="1" customFormat="1" spans="1:3">
      <c r="A3429" s="6"/>
      <c r="B3429" s="6"/>
      <c r="C3429" s="6"/>
    </row>
    <row r="3430" s="1" customFormat="1" spans="1:3">
      <c r="A3430" s="6"/>
      <c r="B3430" s="6"/>
      <c r="C3430" s="6"/>
    </row>
    <row r="3431" s="1" customFormat="1" spans="1:3">
      <c r="A3431" s="6"/>
      <c r="B3431" s="6"/>
      <c r="C3431" s="6"/>
    </row>
    <row r="3432" s="1" customFormat="1" spans="1:3">
      <c r="A3432" s="6"/>
      <c r="B3432" s="6"/>
      <c r="C3432" s="6"/>
    </row>
    <row r="3433" s="1" customFormat="1" spans="1:3">
      <c r="A3433" s="6"/>
      <c r="B3433" s="6"/>
      <c r="C3433" s="6"/>
    </row>
    <row r="3434" s="1" customFormat="1" spans="1:3">
      <c r="A3434" s="6"/>
      <c r="B3434" s="6"/>
      <c r="C3434" s="6"/>
    </row>
    <row r="3435" s="1" customFormat="1" spans="1:3">
      <c r="A3435" s="6"/>
      <c r="B3435" s="6"/>
      <c r="C3435" s="6"/>
    </row>
    <row r="3436" s="1" customFormat="1" spans="1:3">
      <c r="A3436" s="6"/>
      <c r="B3436" s="6"/>
      <c r="C3436" s="6"/>
    </row>
    <row r="3437" s="1" customFormat="1" spans="1:3">
      <c r="A3437" s="6"/>
      <c r="B3437" s="6"/>
      <c r="C3437" s="6"/>
    </row>
    <row r="3438" s="1" customFormat="1" spans="1:3">
      <c r="A3438" s="6"/>
      <c r="B3438" s="6"/>
      <c r="C3438" s="6"/>
    </row>
    <row r="3439" s="1" customFormat="1" spans="1:3">
      <c r="A3439" s="6"/>
      <c r="B3439" s="6"/>
      <c r="C3439" s="6"/>
    </row>
    <row r="3440" s="1" customFormat="1" spans="1:3">
      <c r="A3440" s="6"/>
      <c r="B3440" s="6"/>
      <c r="C3440" s="6"/>
    </row>
    <row r="3441" s="1" customFormat="1" spans="1:3">
      <c r="A3441" s="6"/>
      <c r="B3441" s="6"/>
      <c r="C3441" s="6"/>
    </row>
    <row r="3442" s="1" customFormat="1" spans="1:3">
      <c r="A3442" s="6"/>
      <c r="B3442" s="6"/>
      <c r="C3442" s="6"/>
    </row>
    <row r="3443" s="1" customFormat="1" spans="1:3">
      <c r="A3443" s="6"/>
      <c r="B3443" s="6"/>
      <c r="C3443" s="6"/>
    </row>
    <row r="3444" s="1" customFormat="1" spans="1:3">
      <c r="A3444" s="6"/>
      <c r="B3444" s="6"/>
      <c r="C3444" s="6"/>
    </row>
    <row r="3445" s="1" customFormat="1" spans="1:3">
      <c r="A3445" s="6"/>
      <c r="B3445" s="6"/>
      <c r="C3445" s="6"/>
    </row>
    <row r="3446" s="1" customFormat="1" spans="1:3">
      <c r="A3446" s="6"/>
      <c r="B3446" s="6"/>
      <c r="C3446" s="6"/>
    </row>
    <row r="3447" s="1" customFormat="1" spans="1:3">
      <c r="A3447" s="6"/>
      <c r="B3447" s="6"/>
      <c r="C3447" s="6"/>
    </row>
    <row r="3448" s="1" customFormat="1" spans="1:3">
      <c r="A3448" s="6"/>
      <c r="B3448" s="6"/>
      <c r="C3448" s="6"/>
    </row>
    <row r="3449" s="1" customFormat="1" spans="1:3">
      <c r="A3449" s="6"/>
      <c r="B3449" s="6"/>
      <c r="C3449" s="6"/>
    </row>
    <row r="3450" s="1" customFormat="1" spans="1:3">
      <c r="A3450" s="6"/>
      <c r="B3450" s="6"/>
      <c r="C3450" s="6"/>
    </row>
    <row r="3451" s="1" customFormat="1" spans="1:3">
      <c r="A3451" s="6"/>
      <c r="B3451" s="6"/>
      <c r="C3451" s="6"/>
    </row>
    <row r="3452" s="1" customFormat="1" spans="1:3">
      <c r="A3452" s="6"/>
      <c r="B3452" s="6"/>
      <c r="C3452" s="6"/>
    </row>
    <row r="3453" s="1" customFormat="1" spans="1:3">
      <c r="A3453" s="6"/>
      <c r="B3453" s="6"/>
      <c r="C3453" s="6"/>
    </row>
    <row r="3454" s="1" customFormat="1" spans="1:3">
      <c r="A3454" s="6"/>
      <c r="B3454" s="6"/>
      <c r="C3454" s="6"/>
    </row>
    <row r="3455" s="1" customFormat="1" spans="1:3">
      <c r="A3455" s="6"/>
      <c r="B3455" s="6"/>
      <c r="C3455" s="6"/>
    </row>
    <row r="3456" s="1" customFormat="1" spans="1:3">
      <c r="A3456" s="6"/>
      <c r="B3456" s="6"/>
      <c r="C3456" s="6"/>
    </row>
    <row r="3457" s="1" customFormat="1" spans="1:3">
      <c r="A3457" s="6"/>
      <c r="B3457" s="6"/>
      <c r="C3457" s="6"/>
    </row>
    <row r="3458" s="1" customFormat="1" spans="1:3">
      <c r="A3458" s="6"/>
      <c r="B3458" s="6"/>
      <c r="C3458" s="6"/>
    </row>
    <row r="3459" s="1" customFormat="1" spans="1:3">
      <c r="A3459" s="6"/>
      <c r="B3459" s="6"/>
      <c r="C3459" s="6"/>
    </row>
    <row r="3460" s="1" customFormat="1" spans="1:3">
      <c r="A3460" s="6"/>
      <c r="B3460" s="6"/>
      <c r="C3460" s="6"/>
    </row>
    <row r="3461" s="1" customFormat="1" spans="1:3">
      <c r="A3461" s="6"/>
      <c r="B3461" s="6"/>
      <c r="C3461" s="6"/>
    </row>
    <row r="3462" s="1" customFormat="1" spans="1:3">
      <c r="A3462" s="6"/>
      <c r="B3462" s="6"/>
      <c r="C3462" s="6"/>
    </row>
    <row r="3463" s="1" customFormat="1" spans="1:3">
      <c r="A3463" s="6"/>
      <c r="B3463" s="6"/>
      <c r="C3463" s="6"/>
    </row>
    <row r="3464" s="1" customFormat="1" spans="1:3">
      <c r="A3464" s="6"/>
      <c r="B3464" s="6"/>
      <c r="C3464" s="6"/>
    </row>
    <row r="3465" s="1" customFormat="1" spans="1:3">
      <c r="A3465" s="6"/>
      <c r="B3465" s="6"/>
      <c r="C3465" s="6"/>
    </row>
    <row r="3466" s="1" customFormat="1" spans="1:3">
      <c r="A3466" s="6"/>
      <c r="B3466" s="6"/>
      <c r="C3466" s="6"/>
    </row>
    <row r="3467" s="1" customFormat="1" spans="1:3">
      <c r="A3467" s="6"/>
      <c r="B3467" s="6"/>
      <c r="C3467" s="6"/>
    </row>
    <row r="3468" s="1" customFormat="1" spans="1:3">
      <c r="A3468" s="6"/>
      <c r="B3468" s="6"/>
      <c r="C3468" s="6"/>
    </row>
    <row r="3469" s="1" customFormat="1" spans="1:3">
      <c r="A3469" s="6"/>
      <c r="B3469" s="6"/>
      <c r="C3469" s="6"/>
    </row>
    <row r="3470" s="1" customFormat="1" spans="1:3">
      <c r="A3470" s="6"/>
      <c r="B3470" s="6"/>
      <c r="C3470" s="6"/>
    </row>
    <row r="3471" s="1" customFormat="1" spans="1:3">
      <c r="A3471" s="6"/>
      <c r="B3471" s="6"/>
      <c r="C3471" s="6"/>
    </row>
    <row r="3472" s="1" customFormat="1" spans="1:3">
      <c r="A3472" s="6"/>
      <c r="B3472" s="6"/>
      <c r="C3472" s="6"/>
    </row>
    <row r="3473" s="1" customFormat="1" spans="1:3">
      <c r="A3473" s="6"/>
      <c r="B3473" s="6"/>
      <c r="C3473" s="6"/>
    </row>
    <row r="3474" s="1" customFormat="1" spans="1:3">
      <c r="A3474" s="6"/>
      <c r="B3474" s="6"/>
      <c r="C3474" s="6"/>
    </row>
    <row r="3475" s="1" customFormat="1" spans="1:3">
      <c r="A3475" s="6"/>
      <c r="B3475" s="6"/>
      <c r="C3475" s="6"/>
    </row>
    <row r="3476" s="1" customFormat="1" spans="1:3">
      <c r="A3476" s="6"/>
      <c r="B3476" s="6"/>
      <c r="C3476" s="6"/>
    </row>
    <row r="3477" s="1" customFormat="1" spans="1:3">
      <c r="A3477" s="6"/>
      <c r="B3477" s="6"/>
      <c r="C3477" s="6"/>
    </row>
    <row r="3478" s="1" customFormat="1" spans="1:3">
      <c r="A3478" s="6"/>
      <c r="B3478" s="6"/>
      <c r="C3478" s="6"/>
    </row>
    <row r="3479" s="1" customFormat="1" spans="1:3">
      <c r="A3479" s="6"/>
      <c r="B3479" s="6"/>
      <c r="C3479" s="6"/>
    </row>
    <row r="3480" s="1" customFormat="1" spans="1:3">
      <c r="A3480" s="6"/>
      <c r="B3480" s="6"/>
      <c r="C3480" s="6"/>
    </row>
    <row r="3481" s="1" customFormat="1" spans="1:3">
      <c r="A3481" s="6"/>
      <c r="B3481" s="6"/>
      <c r="C3481" s="6"/>
    </row>
    <row r="3482" s="1" customFormat="1" spans="1:3">
      <c r="A3482" s="6"/>
      <c r="B3482" s="6"/>
      <c r="C3482" s="6"/>
    </row>
    <row r="3483" s="1" customFormat="1" spans="1:3">
      <c r="A3483" s="6"/>
      <c r="B3483" s="6"/>
      <c r="C3483" s="6"/>
    </row>
    <row r="3484" s="1" customFormat="1" spans="1:3">
      <c r="A3484" s="6"/>
      <c r="B3484" s="6"/>
      <c r="C3484" s="6"/>
    </row>
    <row r="3485" s="1" customFormat="1" spans="1:3">
      <c r="A3485" s="6"/>
      <c r="B3485" s="6"/>
      <c r="C3485" s="6"/>
    </row>
    <row r="3486" s="1" customFormat="1" spans="1:3">
      <c r="A3486" s="6"/>
      <c r="B3486" s="6"/>
      <c r="C3486" s="6"/>
    </row>
    <row r="3487" s="1" customFormat="1" spans="1:3">
      <c r="A3487" s="6"/>
      <c r="B3487" s="6"/>
      <c r="C3487" s="6"/>
    </row>
    <row r="3488" s="1" customFormat="1" spans="1:3">
      <c r="A3488" s="6"/>
      <c r="B3488" s="6"/>
      <c r="C3488" s="6"/>
    </row>
    <row r="3489" s="1" customFormat="1" spans="1:3">
      <c r="A3489" s="6"/>
      <c r="B3489" s="6"/>
      <c r="C3489" s="6"/>
    </row>
    <row r="3490" s="1" customFormat="1" spans="1:3">
      <c r="A3490" s="6"/>
      <c r="B3490" s="6"/>
      <c r="C3490" s="6"/>
    </row>
    <row r="3491" s="1" customFormat="1" spans="1:3">
      <c r="A3491" s="6"/>
      <c r="B3491" s="6"/>
      <c r="C3491" s="6"/>
    </row>
    <row r="3492" s="1" customFormat="1" spans="1:3">
      <c r="A3492" s="6"/>
      <c r="B3492" s="6"/>
      <c r="C3492" s="6"/>
    </row>
    <row r="3493" s="1" customFormat="1" spans="1:3">
      <c r="A3493" s="6"/>
      <c r="B3493" s="6"/>
      <c r="C3493" s="6"/>
    </row>
    <row r="3494" s="1" customFormat="1" spans="1:3">
      <c r="A3494" s="6"/>
      <c r="B3494" s="6"/>
      <c r="C3494" s="6"/>
    </row>
    <row r="3495" s="1" customFormat="1" spans="1:3">
      <c r="A3495" s="6"/>
      <c r="B3495" s="6"/>
      <c r="C3495" s="6"/>
    </row>
    <row r="3496" s="1" customFormat="1" spans="1:3">
      <c r="A3496" s="6"/>
      <c r="B3496" s="6"/>
      <c r="C3496" s="6"/>
    </row>
    <row r="3497" s="1" customFormat="1" spans="1:3">
      <c r="A3497" s="6"/>
      <c r="B3497" s="6"/>
      <c r="C3497" s="6"/>
    </row>
    <row r="3498" s="1" customFormat="1" spans="1:3">
      <c r="A3498" s="6"/>
      <c r="B3498" s="6"/>
      <c r="C3498" s="6"/>
    </row>
    <row r="3499" s="1" customFormat="1" spans="1:3">
      <c r="A3499" s="6"/>
      <c r="B3499" s="6"/>
      <c r="C3499" s="6"/>
    </row>
    <row r="3500" s="1" customFormat="1" spans="1:3">
      <c r="A3500" s="6"/>
      <c r="B3500" s="6"/>
      <c r="C3500" s="6"/>
    </row>
    <row r="3501" s="1" customFormat="1" spans="1:3">
      <c r="A3501" s="6"/>
      <c r="B3501" s="6"/>
      <c r="C3501" s="6"/>
    </row>
    <row r="3502" s="1" customFormat="1" spans="1:3">
      <c r="A3502" s="6"/>
      <c r="B3502" s="6"/>
      <c r="C3502" s="6"/>
    </row>
    <row r="3503" s="1" customFormat="1" spans="1:3">
      <c r="A3503" s="6"/>
      <c r="B3503" s="6"/>
      <c r="C3503" s="6"/>
    </row>
    <row r="3504" s="1" customFormat="1" spans="1:3">
      <c r="A3504" s="6"/>
      <c r="B3504" s="6"/>
      <c r="C3504" s="6"/>
    </row>
    <row r="3505" s="1" customFormat="1" spans="1:3">
      <c r="A3505" s="6"/>
      <c r="B3505" s="6"/>
      <c r="C3505" s="6"/>
    </row>
    <row r="3506" s="1" customFormat="1" spans="1:3">
      <c r="A3506" s="6"/>
      <c r="B3506" s="6"/>
      <c r="C3506" s="6"/>
    </row>
    <row r="3507" s="1" customFormat="1" spans="1:3">
      <c r="A3507" s="6"/>
      <c r="B3507" s="6"/>
      <c r="C3507" s="6"/>
    </row>
    <row r="3508" s="1" customFormat="1" spans="1:3">
      <c r="A3508" s="6"/>
      <c r="B3508" s="6"/>
      <c r="C3508" s="6"/>
    </row>
    <row r="3509" s="1" customFormat="1" spans="1:3">
      <c r="A3509" s="6"/>
      <c r="B3509" s="6"/>
      <c r="C3509" s="6"/>
    </row>
    <row r="3510" s="1" customFormat="1" spans="1:3">
      <c r="A3510" s="6"/>
      <c r="B3510" s="6"/>
      <c r="C3510" s="6"/>
    </row>
    <row r="3511" s="1" customFormat="1" spans="1:3">
      <c r="A3511" s="6"/>
      <c r="B3511" s="6"/>
      <c r="C3511" s="6"/>
    </row>
    <row r="3512" s="1" customFormat="1" spans="1:3">
      <c r="A3512" s="6"/>
      <c r="B3512" s="6"/>
      <c r="C3512" s="6"/>
    </row>
    <row r="3513" s="1" customFormat="1" spans="1:3">
      <c r="A3513" s="6"/>
      <c r="B3513" s="6"/>
      <c r="C3513" s="6"/>
    </row>
    <row r="3514" s="1" customFormat="1" spans="1:3">
      <c r="A3514" s="6"/>
      <c r="B3514" s="6"/>
      <c r="C3514" s="6"/>
    </row>
    <row r="3515" s="1" customFormat="1" spans="1:3">
      <c r="A3515" s="6"/>
      <c r="B3515" s="6"/>
      <c r="C3515" s="6"/>
    </row>
    <row r="3516" s="1" customFormat="1" spans="1:3">
      <c r="A3516" s="6"/>
      <c r="B3516" s="6"/>
      <c r="C3516" s="6"/>
    </row>
    <row r="3517" s="1" customFormat="1" spans="1:3">
      <c r="A3517" s="6"/>
      <c r="B3517" s="6"/>
      <c r="C3517" s="6"/>
    </row>
    <row r="3518" s="1" customFormat="1" spans="1:3">
      <c r="A3518" s="6"/>
      <c r="B3518" s="6"/>
      <c r="C3518" s="6"/>
    </row>
    <row r="3519" s="1" customFormat="1" spans="1:3">
      <c r="A3519" s="6"/>
      <c r="B3519" s="6"/>
      <c r="C3519" s="6"/>
    </row>
    <row r="3520" s="1" customFormat="1" spans="1:3">
      <c r="A3520" s="6"/>
      <c r="B3520" s="6"/>
      <c r="C3520" s="6"/>
    </row>
    <row r="3521" s="1" customFormat="1" spans="1:3">
      <c r="A3521" s="6"/>
      <c r="B3521" s="6"/>
      <c r="C3521" s="6"/>
    </row>
    <row r="3522" s="1" customFormat="1" spans="1:3">
      <c r="A3522" s="6"/>
      <c r="B3522" s="6"/>
      <c r="C3522" s="6"/>
    </row>
    <row r="3523" s="1" customFormat="1" spans="1:3">
      <c r="A3523" s="6"/>
      <c r="B3523" s="6"/>
      <c r="C3523" s="6"/>
    </row>
    <row r="3524" s="1" customFormat="1" spans="1:3">
      <c r="A3524" s="6"/>
      <c r="B3524" s="6"/>
      <c r="C3524" s="6"/>
    </row>
    <row r="3525" s="1" customFormat="1" spans="1:3">
      <c r="A3525" s="6"/>
      <c r="B3525" s="6"/>
      <c r="C3525" s="6"/>
    </row>
    <row r="3526" s="1" customFormat="1" spans="1:3">
      <c r="A3526" s="6"/>
      <c r="B3526" s="6"/>
      <c r="C3526" s="6"/>
    </row>
    <row r="3527" s="1" customFormat="1" spans="1:3">
      <c r="A3527" s="6"/>
      <c r="B3527" s="6"/>
      <c r="C3527" s="6"/>
    </row>
    <row r="3528" s="1" customFormat="1" spans="1:3">
      <c r="A3528" s="6"/>
      <c r="B3528" s="6"/>
      <c r="C3528" s="6"/>
    </row>
    <row r="3529" s="1" customFormat="1" spans="1:3">
      <c r="A3529" s="6"/>
      <c r="B3529" s="6"/>
      <c r="C3529" s="6"/>
    </row>
    <row r="3530" s="1" customFormat="1" spans="1:3">
      <c r="A3530" s="6"/>
      <c r="B3530" s="6"/>
      <c r="C3530" s="6"/>
    </row>
    <row r="3531" s="1" customFormat="1" spans="1:3">
      <c r="A3531" s="6"/>
      <c r="B3531" s="6"/>
      <c r="C3531" s="6"/>
    </row>
    <row r="3532" s="1" customFormat="1" spans="1:3">
      <c r="A3532" s="6"/>
      <c r="B3532" s="6"/>
      <c r="C3532" s="6"/>
    </row>
    <row r="3533" s="1" customFormat="1" spans="1:3">
      <c r="A3533" s="6"/>
      <c r="B3533" s="6"/>
      <c r="C3533" s="6"/>
    </row>
    <row r="3534" s="1" customFormat="1" spans="1:3">
      <c r="A3534" s="6"/>
      <c r="B3534" s="6"/>
      <c r="C3534" s="6"/>
    </row>
    <row r="3535" s="1" customFormat="1" spans="1:3">
      <c r="A3535" s="6"/>
      <c r="B3535" s="6"/>
      <c r="C3535" s="6"/>
    </row>
    <row r="3536" s="1" customFormat="1" spans="1:3">
      <c r="A3536" s="6"/>
      <c r="B3536" s="6"/>
      <c r="C3536" s="6"/>
    </row>
    <row r="3537" s="1" customFormat="1" spans="1:3">
      <c r="A3537" s="6"/>
      <c r="B3537" s="6"/>
      <c r="C3537" s="6"/>
    </row>
    <row r="3538" s="1" customFormat="1" spans="1:3">
      <c r="A3538" s="6"/>
      <c r="B3538" s="6"/>
      <c r="C3538" s="6"/>
    </row>
    <row r="3539" s="1" customFormat="1" spans="1:3">
      <c r="A3539" s="6"/>
      <c r="B3539" s="6"/>
      <c r="C3539" s="6"/>
    </row>
    <row r="3540" s="1" customFormat="1" spans="1:3">
      <c r="A3540" s="6"/>
      <c r="B3540" s="6"/>
      <c r="C3540" s="6"/>
    </row>
    <row r="3541" s="1" customFormat="1" spans="1:3">
      <c r="A3541" s="6"/>
      <c r="B3541" s="6"/>
      <c r="C3541" s="6"/>
    </row>
    <row r="3542" s="1" customFormat="1" spans="1:3">
      <c r="A3542" s="6"/>
      <c r="B3542" s="6"/>
      <c r="C3542" s="6"/>
    </row>
    <row r="3543" s="1" customFormat="1" spans="1:3">
      <c r="A3543" s="6"/>
      <c r="B3543" s="6"/>
      <c r="C3543" s="6"/>
    </row>
    <row r="3544" s="1" customFormat="1" spans="1:3">
      <c r="A3544" s="6"/>
      <c r="B3544" s="6"/>
      <c r="C3544" s="6"/>
    </row>
    <row r="3545" s="1" customFormat="1" spans="1:3">
      <c r="A3545" s="6"/>
      <c r="B3545" s="6"/>
      <c r="C3545" s="6"/>
    </row>
    <row r="3546" s="1" customFormat="1" spans="1:3">
      <c r="A3546" s="6"/>
      <c r="B3546" s="6"/>
      <c r="C3546" s="6"/>
    </row>
    <row r="3547" s="1" customFormat="1" spans="1:3">
      <c r="A3547" s="6"/>
      <c r="B3547" s="6"/>
      <c r="C3547" s="6"/>
    </row>
    <row r="3548" s="1" customFormat="1" spans="1:3">
      <c r="A3548" s="6"/>
      <c r="B3548" s="6"/>
      <c r="C3548" s="6"/>
    </row>
    <row r="3549" s="1" customFormat="1" spans="1:3">
      <c r="A3549" s="6"/>
      <c r="B3549" s="6"/>
      <c r="C3549" s="6"/>
    </row>
    <row r="3550" s="1" customFormat="1" spans="1:3">
      <c r="A3550" s="6"/>
      <c r="B3550" s="6"/>
      <c r="C3550" s="6"/>
    </row>
    <row r="3551" s="1" customFormat="1" spans="1:3">
      <c r="A3551" s="6"/>
      <c r="B3551" s="6"/>
      <c r="C3551" s="6"/>
    </row>
    <row r="3552" s="1" customFormat="1" spans="1:3">
      <c r="A3552" s="6"/>
      <c r="B3552" s="6"/>
      <c r="C3552" s="6"/>
    </row>
    <row r="3553" s="1" customFormat="1" spans="1:3">
      <c r="A3553" s="6"/>
      <c r="B3553" s="6"/>
      <c r="C3553" s="6"/>
    </row>
    <row r="3554" s="1" customFormat="1" spans="1:3">
      <c r="A3554" s="6"/>
      <c r="B3554" s="6"/>
      <c r="C3554" s="6"/>
    </row>
    <row r="3555" s="1" customFormat="1" spans="1:3">
      <c r="A3555" s="6"/>
      <c r="B3555" s="6"/>
      <c r="C3555" s="6"/>
    </row>
    <row r="3556" s="1" customFormat="1" spans="1:3">
      <c r="A3556" s="6"/>
      <c r="B3556" s="6"/>
      <c r="C3556" s="6"/>
    </row>
    <row r="3557" s="1" customFormat="1" spans="1:3">
      <c r="A3557" s="6"/>
      <c r="B3557" s="6"/>
      <c r="C3557" s="6"/>
    </row>
    <row r="3558" s="1" customFormat="1" spans="1:3">
      <c r="A3558" s="6"/>
      <c r="B3558" s="6"/>
      <c r="C3558" s="6"/>
    </row>
    <row r="3559" s="1" customFormat="1" spans="1:3">
      <c r="A3559" s="6"/>
      <c r="B3559" s="6"/>
      <c r="C3559" s="6"/>
    </row>
    <row r="3560" s="1" customFormat="1" spans="1:3">
      <c r="A3560" s="6"/>
      <c r="B3560" s="6"/>
      <c r="C3560" s="6"/>
    </row>
    <row r="3561" s="1" customFormat="1" spans="1:3">
      <c r="A3561" s="6"/>
      <c r="B3561" s="6"/>
      <c r="C3561" s="6"/>
    </row>
    <row r="3562" s="1" customFormat="1" spans="1:3">
      <c r="A3562" s="6"/>
      <c r="B3562" s="6"/>
      <c r="C3562" s="6"/>
    </row>
    <row r="3563" s="1" customFormat="1" spans="1:3">
      <c r="A3563" s="6"/>
      <c r="B3563" s="6"/>
      <c r="C3563" s="6"/>
    </row>
    <row r="3564" s="1" customFormat="1" spans="1:3">
      <c r="A3564" s="6"/>
      <c r="B3564" s="6"/>
      <c r="C3564" s="6"/>
    </row>
    <row r="3565" s="1" customFormat="1" spans="1:3">
      <c r="A3565" s="6"/>
      <c r="B3565" s="6"/>
      <c r="C3565" s="6"/>
    </row>
    <row r="3566" s="1" customFormat="1" spans="1:3">
      <c r="A3566" s="6"/>
      <c r="B3566" s="6"/>
      <c r="C3566" s="6"/>
    </row>
    <row r="3567" s="1" customFormat="1" spans="1:3">
      <c r="A3567" s="6"/>
      <c r="B3567" s="6"/>
      <c r="C3567" s="6"/>
    </row>
    <row r="3568" s="1" customFormat="1" spans="1:3">
      <c r="A3568" s="6"/>
      <c r="B3568" s="6"/>
      <c r="C3568" s="6"/>
    </row>
    <row r="3569" s="1" customFormat="1" spans="1:3">
      <c r="A3569" s="6"/>
      <c r="B3569" s="6"/>
      <c r="C3569" s="6"/>
    </row>
    <row r="3570" s="1" customFormat="1" spans="1:3">
      <c r="A3570" s="6"/>
      <c r="B3570" s="6"/>
      <c r="C3570" s="6"/>
    </row>
    <row r="3571" s="1" customFormat="1" spans="1:3">
      <c r="A3571" s="6"/>
      <c r="B3571" s="6"/>
      <c r="C3571" s="6"/>
    </row>
    <row r="3572" s="1" customFormat="1" spans="1:3">
      <c r="A3572" s="6"/>
      <c r="B3572" s="6"/>
      <c r="C3572" s="6"/>
    </row>
    <row r="3573" s="1" customFormat="1" spans="1:3">
      <c r="A3573" s="6"/>
      <c r="B3573" s="6"/>
      <c r="C3573" s="6"/>
    </row>
    <row r="3574" s="1" customFormat="1" spans="1:3">
      <c r="A3574" s="6"/>
      <c r="B3574" s="6"/>
      <c r="C3574" s="6"/>
    </row>
    <row r="3575" s="1" customFormat="1" spans="1:3">
      <c r="A3575" s="6"/>
      <c r="B3575" s="6"/>
      <c r="C3575" s="6"/>
    </row>
    <row r="3576" s="1" customFormat="1" spans="1:3">
      <c r="A3576" s="6"/>
      <c r="B3576" s="6"/>
      <c r="C3576" s="6"/>
    </row>
    <row r="3577" s="1" customFormat="1" spans="1:3">
      <c r="A3577" s="6"/>
      <c r="B3577" s="6"/>
      <c r="C3577" s="6"/>
    </row>
    <row r="3578" s="1" customFormat="1" spans="1:3">
      <c r="A3578" s="6"/>
      <c r="B3578" s="6"/>
      <c r="C3578" s="6"/>
    </row>
    <row r="3579" s="1" customFormat="1" spans="1:3">
      <c r="A3579" s="6"/>
      <c r="B3579" s="6"/>
      <c r="C3579" s="6"/>
    </row>
    <row r="3580" s="1" customFormat="1" spans="1:3">
      <c r="A3580" s="6"/>
      <c r="B3580" s="6"/>
      <c r="C3580" s="6"/>
    </row>
    <row r="3581" s="1" customFormat="1" spans="1:3">
      <c r="A3581" s="6"/>
      <c r="B3581" s="6"/>
      <c r="C3581" s="6"/>
    </row>
    <row r="3582" s="1" customFormat="1" spans="1:3">
      <c r="A3582" s="6"/>
      <c r="B3582" s="6"/>
      <c r="C3582" s="6"/>
    </row>
    <row r="3583" s="1" customFormat="1" spans="1:3">
      <c r="A3583" s="6"/>
      <c r="B3583" s="6"/>
      <c r="C3583" s="6"/>
    </row>
    <row r="3584" s="1" customFormat="1" spans="1:3">
      <c r="A3584" s="6"/>
      <c r="B3584" s="6"/>
      <c r="C3584" s="6"/>
    </row>
    <row r="3585" s="1" customFormat="1" spans="1:3">
      <c r="A3585" s="6"/>
      <c r="B3585" s="6"/>
      <c r="C3585" s="6"/>
    </row>
    <row r="3586" s="1" customFormat="1" spans="1:3">
      <c r="A3586" s="6"/>
      <c r="B3586" s="6"/>
      <c r="C3586" s="6"/>
    </row>
    <row r="3587" s="1" customFormat="1" spans="1:3">
      <c r="A3587" s="6"/>
      <c r="B3587" s="6"/>
      <c r="C3587" s="6"/>
    </row>
    <row r="3588" s="1" customFormat="1" spans="1:3">
      <c r="A3588" s="6"/>
      <c r="B3588" s="6"/>
      <c r="C3588" s="6"/>
    </row>
    <row r="3589" s="1" customFormat="1" spans="1:3">
      <c r="A3589" s="6"/>
      <c r="B3589" s="6"/>
      <c r="C3589" s="6"/>
    </row>
    <row r="3590" s="1" customFormat="1" spans="1:3">
      <c r="A3590" s="6"/>
      <c r="B3590" s="6"/>
      <c r="C3590" s="6"/>
    </row>
    <row r="3591" s="1" customFormat="1" spans="1:3">
      <c r="A3591" s="6"/>
      <c r="B3591" s="6"/>
      <c r="C3591" s="6"/>
    </row>
    <row r="3592" s="1" customFormat="1" spans="1:3">
      <c r="A3592" s="6"/>
      <c r="B3592" s="6"/>
      <c r="C3592" s="6"/>
    </row>
    <row r="3593" s="1" customFormat="1" spans="1:3">
      <c r="A3593" s="6"/>
      <c r="B3593" s="6"/>
      <c r="C3593" s="6"/>
    </row>
    <row r="3594" s="1" customFormat="1" spans="1:3">
      <c r="A3594" s="6"/>
      <c r="B3594" s="6"/>
      <c r="C3594" s="6"/>
    </row>
    <row r="3595" s="1" customFormat="1" spans="1:3">
      <c r="A3595" s="6"/>
      <c r="B3595" s="6"/>
      <c r="C3595" s="6"/>
    </row>
    <row r="3596" s="1" customFormat="1" spans="1:3">
      <c r="A3596" s="6"/>
      <c r="B3596" s="6"/>
      <c r="C3596" s="6"/>
    </row>
    <row r="3597" s="1" customFormat="1" spans="1:3">
      <c r="A3597" s="6"/>
      <c r="B3597" s="6"/>
      <c r="C3597" s="6"/>
    </row>
    <row r="3598" s="1" customFormat="1" spans="1:3">
      <c r="A3598" s="6"/>
      <c r="B3598" s="6"/>
      <c r="C3598" s="6"/>
    </row>
    <row r="3599" s="1" customFormat="1" spans="1:3">
      <c r="A3599" s="6"/>
      <c r="B3599" s="6"/>
      <c r="C3599" s="6"/>
    </row>
    <row r="3600" s="1" customFormat="1" spans="1:3">
      <c r="A3600" s="6"/>
      <c r="B3600" s="6"/>
      <c r="C3600" s="6"/>
    </row>
    <row r="3601" s="1" customFormat="1" spans="1:3">
      <c r="A3601" s="6"/>
      <c r="B3601" s="6"/>
      <c r="C3601" s="6"/>
    </row>
    <row r="3602" s="1" customFormat="1" spans="1:3">
      <c r="A3602" s="6"/>
      <c r="B3602" s="6"/>
      <c r="C3602" s="6"/>
    </row>
    <row r="3603" s="1" customFormat="1" spans="1:3">
      <c r="A3603" s="6"/>
      <c r="B3603" s="6"/>
      <c r="C3603" s="6"/>
    </row>
    <row r="3604" s="1" customFormat="1" spans="1:3">
      <c r="A3604" s="6"/>
      <c r="B3604" s="6"/>
      <c r="C3604" s="6"/>
    </row>
    <row r="3605" s="1" customFormat="1" spans="1:3">
      <c r="A3605" s="6"/>
      <c r="B3605" s="6"/>
      <c r="C3605" s="6"/>
    </row>
    <row r="3606" s="1" customFormat="1" spans="1:3">
      <c r="A3606" s="6"/>
      <c r="B3606" s="6"/>
      <c r="C3606" s="6"/>
    </row>
    <row r="3607" s="1" customFormat="1" spans="1:3">
      <c r="A3607" s="6"/>
      <c r="B3607" s="6"/>
      <c r="C3607" s="6"/>
    </row>
    <row r="3608" s="1" customFormat="1" spans="1:3">
      <c r="A3608" s="6"/>
      <c r="B3608" s="6"/>
      <c r="C3608" s="6"/>
    </row>
    <row r="3609" s="1" customFormat="1" spans="1:3">
      <c r="A3609" s="6"/>
      <c r="B3609" s="6"/>
      <c r="C3609" s="6"/>
    </row>
    <row r="3610" s="1" customFormat="1" spans="1:3">
      <c r="A3610" s="6"/>
      <c r="B3610" s="6"/>
      <c r="C3610" s="6"/>
    </row>
    <row r="3611" s="1" customFormat="1" spans="1:3">
      <c r="A3611" s="6"/>
      <c r="B3611" s="6"/>
      <c r="C3611" s="6"/>
    </row>
    <row r="3612" s="1" customFormat="1" spans="1:3">
      <c r="A3612" s="6"/>
      <c r="B3612" s="6"/>
      <c r="C3612" s="6"/>
    </row>
    <row r="3613" s="1" customFormat="1" spans="1:3">
      <c r="A3613" s="6"/>
      <c r="B3613" s="6"/>
      <c r="C3613" s="6"/>
    </row>
    <row r="3614" s="1" customFormat="1" spans="1:3">
      <c r="A3614" s="6"/>
      <c r="B3614" s="6"/>
      <c r="C3614" s="6"/>
    </row>
    <row r="3615" s="1" customFormat="1" spans="1:3">
      <c r="A3615" s="6"/>
      <c r="B3615" s="6"/>
      <c r="C3615" s="6"/>
    </row>
    <row r="3616" s="1" customFormat="1" spans="1:3">
      <c r="A3616" s="6"/>
      <c r="B3616" s="6"/>
      <c r="C3616" s="6"/>
    </row>
    <row r="3617" s="1" customFormat="1" spans="1:3">
      <c r="A3617" s="6"/>
      <c r="B3617" s="6"/>
      <c r="C3617" s="6"/>
    </row>
    <row r="3618" s="1" customFormat="1" spans="1:3">
      <c r="A3618" s="6"/>
      <c r="B3618" s="6"/>
      <c r="C3618" s="6"/>
    </row>
    <row r="3619" s="1" customFormat="1" spans="1:3">
      <c r="A3619" s="6"/>
      <c r="B3619" s="6"/>
      <c r="C3619" s="6"/>
    </row>
    <row r="3620" s="1" customFormat="1" spans="1:3">
      <c r="A3620" s="6"/>
      <c r="B3620" s="6"/>
      <c r="C3620" s="6"/>
    </row>
    <row r="3621" s="1" customFormat="1" spans="1:3">
      <c r="A3621" s="6"/>
      <c r="B3621" s="6"/>
      <c r="C3621" s="6"/>
    </row>
    <row r="3622" s="1" customFormat="1" spans="1:3">
      <c r="A3622" s="6"/>
      <c r="B3622" s="6"/>
      <c r="C3622" s="6"/>
    </row>
    <row r="3623" s="1" customFormat="1" spans="1:3">
      <c r="A3623" s="6"/>
      <c r="B3623" s="6"/>
      <c r="C3623" s="6"/>
    </row>
    <row r="3624" s="1" customFormat="1" spans="1:3">
      <c r="A3624" s="6"/>
      <c r="B3624" s="6"/>
      <c r="C3624" s="6"/>
    </row>
    <row r="3625" s="1" customFormat="1" spans="1:3">
      <c r="A3625" s="6"/>
      <c r="B3625" s="6"/>
      <c r="C3625" s="6"/>
    </row>
    <row r="3626" s="1" customFormat="1" spans="1:3">
      <c r="A3626" s="6"/>
      <c r="B3626" s="6"/>
      <c r="C3626" s="6"/>
    </row>
    <row r="3627" s="1" customFormat="1" spans="1:3">
      <c r="A3627" s="6"/>
      <c r="B3627" s="6"/>
      <c r="C3627" s="6"/>
    </row>
    <row r="3628" s="1" customFormat="1" spans="1:3">
      <c r="A3628" s="6"/>
      <c r="B3628" s="6"/>
      <c r="C3628" s="6"/>
    </row>
    <row r="3629" s="1" customFormat="1" spans="1:3">
      <c r="A3629" s="6"/>
      <c r="B3629" s="6"/>
      <c r="C3629" s="6"/>
    </row>
    <row r="3630" s="1" customFormat="1" spans="1:3">
      <c r="A3630" s="6"/>
      <c r="B3630" s="6"/>
      <c r="C3630" s="6"/>
    </row>
    <row r="3631" s="1" customFormat="1" spans="1:3">
      <c r="A3631" s="6"/>
      <c r="B3631" s="6"/>
      <c r="C3631" s="6"/>
    </row>
    <row r="3632" s="1" customFormat="1" spans="1:3">
      <c r="A3632" s="6"/>
      <c r="B3632" s="6"/>
      <c r="C3632" s="6"/>
    </row>
    <row r="3633" s="1" customFormat="1" spans="1:3">
      <c r="A3633" s="6"/>
      <c r="B3633" s="6"/>
      <c r="C3633" s="6"/>
    </row>
    <row r="3634" s="1" customFormat="1" spans="1:3">
      <c r="A3634" s="6"/>
      <c r="B3634" s="6"/>
      <c r="C3634" s="6"/>
    </row>
    <row r="3635" s="1" customFormat="1" spans="1:3">
      <c r="A3635" s="6"/>
      <c r="B3635" s="6"/>
      <c r="C3635" s="6"/>
    </row>
    <row r="3636" s="1" customFormat="1" spans="1:3">
      <c r="A3636" s="6"/>
      <c r="B3636" s="6"/>
      <c r="C3636" s="6"/>
    </row>
    <row r="3637" s="1" customFormat="1" spans="1:3">
      <c r="A3637" s="6"/>
      <c r="B3637" s="6"/>
      <c r="C3637" s="6"/>
    </row>
    <row r="3638" s="1" customFormat="1" spans="1:3">
      <c r="A3638" s="6"/>
      <c r="B3638" s="6"/>
      <c r="C3638" s="6"/>
    </row>
    <row r="3639" s="1" customFormat="1" spans="1:3">
      <c r="A3639" s="6"/>
      <c r="B3639" s="6"/>
      <c r="C3639" s="6"/>
    </row>
    <row r="3640" s="1" customFormat="1" spans="1:3">
      <c r="A3640" s="6"/>
      <c r="B3640" s="6"/>
      <c r="C3640" s="6"/>
    </row>
    <row r="3641" s="1" customFormat="1" spans="1:3">
      <c r="A3641" s="6"/>
      <c r="B3641" s="6"/>
      <c r="C3641" s="6"/>
    </row>
    <row r="3642" s="1" customFormat="1" spans="1:3">
      <c r="A3642" s="6"/>
      <c r="B3642" s="6"/>
      <c r="C3642" s="6"/>
    </row>
    <row r="3643" s="1" customFormat="1" spans="1:3">
      <c r="A3643" s="6"/>
      <c r="B3643" s="6"/>
      <c r="C3643" s="6"/>
    </row>
    <row r="3644" s="1" customFormat="1" spans="1:3">
      <c r="A3644" s="6"/>
      <c r="B3644" s="6"/>
      <c r="C3644" s="6"/>
    </row>
    <row r="3645" s="1" customFormat="1" spans="1:3">
      <c r="A3645" s="6"/>
      <c r="B3645" s="6"/>
      <c r="C3645" s="6"/>
    </row>
    <row r="3646" s="1" customFormat="1" spans="1:3">
      <c r="A3646" s="6"/>
      <c r="B3646" s="6"/>
      <c r="C3646" s="6"/>
    </row>
    <row r="3647" s="1" customFormat="1" spans="1:3">
      <c r="A3647" s="6"/>
      <c r="B3647" s="6"/>
      <c r="C3647" s="6"/>
    </row>
    <row r="3648" s="1" customFormat="1" spans="1:3">
      <c r="A3648" s="6"/>
      <c r="B3648" s="6"/>
      <c r="C3648" s="6"/>
    </row>
    <row r="3649" s="1" customFormat="1" spans="1:3">
      <c r="A3649" s="6"/>
      <c r="B3649" s="6"/>
      <c r="C3649" s="6"/>
    </row>
    <row r="3650" s="1" customFormat="1" spans="1:3">
      <c r="A3650" s="6"/>
      <c r="B3650" s="6"/>
      <c r="C3650" s="6"/>
    </row>
    <row r="3651" s="1" customFormat="1" spans="1:3">
      <c r="A3651" s="6"/>
      <c r="B3651" s="6"/>
      <c r="C3651" s="6"/>
    </row>
    <row r="3652" s="1" customFormat="1" spans="1:3">
      <c r="A3652" s="6"/>
      <c r="B3652" s="6"/>
      <c r="C3652" s="6"/>
    </row>
    <row r="3653" s="1" customFormat="1" spans="1:3">
      <c r="A3653" s="6"/>
      <c r="B3653" s="6"/>
      <c r="C3653" s="6"/>
    </row>
    <row r="3654" s="1" customFormat="1" spans="1:3">
      <c r="A3654" s="6"/>
      <c r="B3654" s="6"/>
      <c r="C3654" s="6"/>
    </row>
    <row r="3655" s="1" customFormat="1" spans="1:3">
      <c r="A3655" s="6"/>
      <c r="B3655" s="6"/>
      <c r="C3655" s="6"/>
    </row>
    <row r="3656" s="1" customFormat="1" spans="1:3">
      <c r="A3656" s="6"/>
      <c r="B3656" s="6"/>
      <c r="C3656" s="6"/>
    </row>
    <row r="3657" s="1" customFormat="1" spans="1:3">
      <c r="A3657" s="6"/>
      <c r="B3657" s="6"/>
      <c r="C3657" s="6"/>
    </row>
    <row r="3658" s="1" customFormat="1" spans="1:3">
      <c r="A3658" s="6"/>
      <c r="B3658" s="6"/>
      <c r="C3658" s="6"/>
    </row>
    <row r="3659" s="1" customFormat="1" spans="1:3">
      <c r="A3659" s="6"/>
      <c r="B3659" s="6"/>
      <c r="C3659" s="6"/>
    </row>
    <row r="3660" s="1" customFormat="1" spans="1:3">
      <c r="A3660" s="6"/>
      <c r="B3660" s="6"/>
      <c r="C3660" s="6"/>
    </row>
    <row r="3661" s="1" customFormat="1" spans="1:3">
      <c r="A3661" s="6"/>
      <c r="B3661" s="6"/>
      <c r="C3661" s="6"/>
    </row>
    <row r="3662" s="1" customFormat="1" spans="1:3">
      <c r="A3662" s="6"/>
      <c r="B3662" s="6"/>
      <c r="C3662" s="6"/>
    </row>
    <row r="3663" s="1" customFormat="1" spans="1:3">
      <c r="A3663" s="6"/>
      <c r="B3663" s="6"/>
      <c r="C3663" s="6"/>
    </row>
    <row r="3664" s="1" customFormat="1" spans="1:3">
      <c r="A3664" s="6"/>
      <c r="B3664" s="6"/>
      <c r="C3664" s="6"/>
    </row>
    <row r="3665" s="1" customFormat="1" spans="1:3">
      <c r="A3665" s="6"/>
      <c r="B3665" s="6"/>
      <c r="C3665" s="6"/>
    </row>
    <row r="3666" s="1" customFormat="1" spans="1:3">
      <c r="A3666" s="6"/>
      <c r="B3666" s="6"/>
      <c r="C3666" s="6"/>
    </row>
    <row r="3667" s="1" customFormat="1" spans="1:3">
      <c r="A3667" s="6"/>
      <c r="B3667" s="6"/>
      <c r="C3667" s="6"/>
    </row>
    <row r="3668" s="1" customFormat="1" spans="1:3">
      <c r="A3668" s="6"/>
      <c r="B3668" s="6"/>
      <c r="C3668" s="6"/>
    </row>
    <row r="3669" s="1" customFormat="1" spans="1:3">
      <c r="A3669" s="6"/>
      <c r="B3669" s="6"/>
      <c r="C3669" s="6"/>
    </row>
    <row r="3670" s="1" customFormat="1" spans="1:3">
      <c r="A3670" s="6"/>
      <c r="B3670" s="6"/>
      <c r="C3670" s="6"/>
    </row>
    <row r="3671" s="1" customFormat="1" spans="1:3">
      <c r="A3671" s="6"/>
      <c r="B3671" s="6"/>
      <c r="C3671" s="6"/>
    </row>
    <row r="3672" s="1" customFormat="1" spans="1:3">
      <c r="A3672" s="6"/>
      <c r="B3672" s="6"/>
      <c r="C3672" s="6"/>
    </row>
    <row r="3673" s="1" customFormat="1" spans="1:3">
      <c r="A3673" s="6"/>
      <c r="B3673" s="6"/>
      <c r="C3673" s="6"/>
    </row>
    <row r="3674" s="1" customFormat="1" spans="1:3">
      <c r="A3674" s="6"/>
      <c r="B3674" s="6"/>
      <c r="C3674" s="6"/>
    </row>
    <row r="3675" s="1" customFormat="1" spans="1:3">
      <c r="A3675" s="6"/>
      <c r="B3675" s="6"/>
      <c r="C3675" s="6"/>
    </row>
    <row r="3676" s="1" customFormat="1" spans="1:3">
      <c r="A3676" s="6"/>
      <c r="B3676" s="6"/>
      <c r="C3676" s="6"/>
    </row>
    <row r="3677" s="1" customFormat="1" spans="1:3">
      <c r="A3677" s="6"/>
      <c r="B3677" s="6"/>
      <c r="C3677" s="6"/>
    </row>
    <row r="3678" s="1" customFormat="1" spans="1:3">
      <c r="A3678" s="6"/>
      <c r="B3678" s="6"/>
      <c r="C3678" s="6"/>
    </row>
    <row r="3679" s="1" customFormat="1" spans="1:3">
      <c r="A3679" s="6"/>
      <c r="B3679" s="6"/>
      <c r="C3679" s="6"/>
    </row>
    <row r="3680" s="1" customFormat="1" spans="1:3">
      <c r="A3680" s="6"/>
      <c r="B3680" s="6"/>
      <c r="C3680" s="6"/>
    </row>
    <row r="3681" s="1" customFormat="1" spans="1:3">
      <c r="A3681" s="6"/>
      <c r="B3681" s="6"/>
      <c r="C3681" s="6"/>
    </row>
    <row r="3682" s="1" customFormat="1" spans="1:3">
      <c r="A3682" s="6"/>
      <c r="B3682" s="6"/>
      <c r="C3682" s="6"/>
    </row>
    <row r="3683" s="1" customFormat="1" spans="1:3">
      <c r="A3683" s="6"/>
      <c r="B3683" s="6"/>
      <c r="C3683" s="6"/>
    </row>
    <row r="3684" s="1" customFormat="1" spans="1:3">
      <c r="A3684" s="6"/>
      <c r="B3684" s="6"/>
      <c r="C3684" s="6"/>
    </row>
    <row r="3685" s="1" customFormat="1" spans="1:3">
      <c r="A3685" s="6"/>
      <c r="B3685" s="6"/>
      <c r="C3685" s="6"/>
    </row>
    <row r="3686" s="1" customFormat="1" spans="1:3">
      <c r="A3686" s="6"/>
      <c r="B3686" s="6"/>
      <c r="C3686" s="6"/>
    </row>
    <row r="3687" s="1" customFormat="1" spans="1:3">
      <c r="A3687" s="6"/>
      <c r="B3687" s="6"/>
      <c r="C3687" s="6"/>
    </row>
    <row r="3688" s="1" customFormat="1" spans="1:3">
      <c r="A3688" s="6"/>
      <c r="B3688" s="6"/>
      <c r="C3688" s="6"/>
    </row>
    <row r="3689" s="1" customFormat="1" spans="1:3">
      <c r="A3689" s="6"/>
      <c r="B3689" s="6"/>
      <c r="C3689" s="6"/>
    </row>
    <row r="3690" s="1" customFormat="1" spans="1:3">
      <c r="A3690" s="6"/>
      <c r="B3690" s="6"/>
      <c r="C3690" s="6"/>
    </row>
    <row r="3691" s="1" customFormat="1" spans="1:3">
      <c r="A3691" s="6"/>
      <c r="B3691" s="6"/>
      <c r="C3691" s="6"/>
    </row>
    <row r="3692" s="1" customFormat="1" spans="1:3">
      <c r="A3692" s="6"/>
      <c r="B3692" s="6"/>
      <c r="C3692" s="6"/>
    </row>
    <row r="3693" s="1" customFormat="1" spans="1:3">
      <c r="A3693" s="6"/>
      <c r="B3693" s="6"/>
      <c r="C3693" s="6"/>
    </row>
    <row r="3694" s="1" customFormat="1" spans="1:3">
      <c r="A3694" s="6"/>
      <c r="B3694" s="6"/>
      <c r="C3694" s="6"/>
    </row>
    <row r="3695" s="1" customFormat="1" spans="1:3">
      <c r="A3695" s="6"/>
      <c r="B3695" s="6"/>
      <c r="C3695" s="6"/>
    </row>
    <row r="3696" s="1" customFormat="1" spans="1:3">
      <c r="A3696" s="6"/>
      <c r="B3696" s="6"/>
      <c r="C3696" s="6"/>
    </row>
    <row r="3697" s="1" customFormat="1" spans="1:3">
      <c r="A3697" s="6"/>
      <c r="B3697" s="6"/>
      <c r="C3697" s="6"/>
    </row>
    <row r="3698" s="1" customFormat="1" spans="1:3">
      <c r="A3698" s="6"/>
      <c r="B3698" s="6"/>
      <c r="C3698" s="6"/>
    </row>
    <row r="3699" s="1" customFormat="1" spans="1:3">
      <c r="A3699" s="6"/>
      <c r="B3699" s="6"/>
      <c r="C3699" s="6"/>
    </row>
    <row r="3700" s="1" customFormat="1" spans="1:3">
      <c r="A3700" s="6"/>
      <c r="B3700" s="6"/>
      <c r="C3700" s="6"/>
    </row>
    <row r="3701" s="1" customFormat="1" spans="1:3">
      <c r="A3701" s="6"/>
      <c r="B3701" s="6"/>
      <c r="C3701" s="6"/>
    </row>
    <row r="3702" s="1" customFormat="1" spans="1:3">
      <c r="A3702" s="6"/>
      <c r="B3702" s="6"/>
      <c r="C3702" s="6"/>
    </row>
    <row r="3703" s="1" customFormat="1" spans="1:3">
      <c r="A3703" s="6"/>
      <c r="B3703" s="6"/>
      <c r="C3703" s="6"/>
    </row>
    <row r="3704" s="1" customFormat="1" spans="1:3">
      <c r="A3704" s="6"/>
      <c r="B3704" s="6"/>
      <c r="C3704" s="6"/>
    </row>
    <row r="3705" s="1" customFormat="1" spans="1:3">
      <c r="A3705" s="6"/>
      <c r="B3705" s="6"/>
      <c r="C3705" s="6"/>
    </row>
    <row r="3706" s="1" customFormat="1" spans="1:3">
      <c r="A3706" s="6"/>
      <c r="B3706" s="6"/>
      <c r="C3706" s="6"/>
    </row>
    <row r="3707" s="1" customFormat="1" spans="1:3">
      <c r="A3707" s="6"/>
      <c r="B3707" s="6"/>
      <c r="C3707" s="6"/>
    </row>
    <row r="3708" s="1" customFormat="1" spans="1:3">
      <c r="A3708" s="6"/>
      <c r="B3708" s="6"/>
      <c r="C3708" s="6"/>
    </row>
    <row r="3709" s="1" customFormat="1" spans="1:3">
      <c r="A3709" s="6"/>
      <c r="B3709" s="6"/>
      <c r="C3709" s="6"/>
    </row>
    <row r="3710" s="1" customFormat="1" spans="1:3">
      <c r="A3710" s="6"/>
      <c r="B3710" s="6"/>
      <c r="C3710" s="6"/>
    </row>
    <row r="3711" s="1" customFormat="1" spans="1:3">
      <c r="A3711" s="6"/>
      <c r="B3711" s="6"/>
      <c r="C3711" s="6"/>
    </row>
    <row r="3712" s="1" customFormat="1" spans="1:3">
      <c r="A3712" s="6"/>
      <c r="B3712" s="6"/>
      <c r="C3712" s="6"/>
    </row>
    <row r="3713" s="1" customFormat="1" spans="1:3">
      <c r="A3713" s="6"/>
      <c r="B3713" s="6"/>
      <c r="C3713" s="6"/>
    </row>
    <row r="3714" s="1" customFormat="1" spans="1:3">
      <c r="A3714" s="6"/>
      <c r="B3714" s="6"/>
      <c r="C3714" s="6"/>
    </row>
    <row r="3715" s="1" customFormat="1" spans="1:3">
      <c r="A3715" s="6"/>
      <c r="B3715" s="6"/>
      <c r="C3715" s="6"/>
    </row>
    <row r="3716" s="1" customFormat="1" spans="1:3">
      <c r="A3716" s="6"/>
      <c r="B3716" s="6"/>
      <c r="C3716" s="6"/>
    </row>
    <row r="3717" s="1" customFormat="1" spans="1:3">
      <c r="A3717" s="6"/>
      <c r="B3717" s="6"/>
      <c r="C3717" s="6"/>
    </row>
    <row r="3718" s="1" customFormat="1" spans="1:3">
      <c r="A3718" s="6"/>
      <c r="B3718" s="6"/>
      <c r="C3718" s="6"/>
    </row>
    <row r="3719" s="1" customFormat="1" spans="1:3">
      <c r="A3719" s="6"/>
      <c r="B3719" s="6"/>
      <c r="C3719" s="6"/>
    </row>
    <row r="3720" s="1" customFormat="1" spans="1:3">
      <c r="A3720" s="6"/>
      <c r="B3720" s="6"/>
      <c r="C3720" s="6"/>
    </row>
    <row r="3721" s="1" customFormat="1" spans="1:3">
      <c r="A3721" s="6"/>
      <c r="B3721" s="6"/>
      <c r="C3721" s="6"/>
    </row>
    <row r="3722" s="1" customFormat="1" spans="1:3">
      <c r="A3722" s="6"/>
      <c r="B3722" s="6"/>
      <c r="C3722" s="6"/>
    </row>
    <row r="3723" s="1" customFormat="1" spans="1:3">
      <c r="A3723" s="6"/>
      <c r="B3723" s="6"/>
      <c r="C3723" s="6"/>
    </row>
    <row r="3724" s="1" customFormat="1" spans="1:3">
      <c r="A3724" s="6"/>
      <c r="B3724" s="6"/>
      <c r="C3724" s="6"/>
    </row>
    <row r="3725" s="1" customFormat="1" spans="1:3">
      <c r="A3725" s="6"/>
      <c r="B3725" s="6"/>
      <c r="C3725" s="6"/>
    </row>
    <row r="3726" s="1" customFormat="1" spans="1:3">
      <c r="A3726" s="6"/>
      <c r="B3726" s="6"/>
      <c r="C3726" s="6"/>
    </row>
    <row r="3727" s="1" customFormat="1" spans="1:3">
      <c r="A3727" s="6"/>
      <c r="B3727" s="6"/>
      <c r="C3727" s="6"/>
    </row>
    <row r="3728" s="1" customFormat="1" spans="1:3">
      <c r="A3728" s="6"/>
      <c r="B3728" s="6"/>
      <c r="C3728" s="6"/>
    </row>
    <row r="3729" s="1" customFormat="1" spans="1:3">
      <c r="A3729" s="6"/>
      <c r="B3729" s="6"/>
      <c r="C3729" s="6"/>
    </row>
    <row r="3730" s="1" customFormat="1" spans="1:3">
      <c r="A3730" s="6"/>
      <c r="B3730" s="6"/>
      <c r="C3730" s="6"/>
    </row>
    <row r="3731" s="1" customFormat="1" spans="1:3">
      <c r="A3731" s="6"/>
      <c r="B3731" s="6"/>
      <c r="C3731" s="6"/>
    </row>
    <row r="3732" s="1" customFormat="1" spans="1:3">
      <c r="A3732" s="6"/>
      <c r="B3732" s="6"/>
      <c r="C3732" s="6"/>
    </row>
    <row r="3733" s="1" customFormat="1" spans="1:3">
      <c r="A3733" s="6"/>
      <c r="B3733" s="6"/>
      <c r="C3733" s="6"/>
    </row>
    <row r="3734" s="1" customFormat="1" spans="1:3">
      <c r="A3734" s="6"/>
      <c r="B3734" s="6"/>
      <c r="C3734" s="6"/>
    </row>
    <row r="3735" s="1" customFormat="1" spans="1:3">
      <c r="A3735" s="6"/>
      <c r="B3735" s="6"/>
      <c r="C3735" s="6"/>
    </row>
    <row r="3736" s="1" customFormat="1" spans="1:3">
      <c r="A3736" s="6"/>
      <c r="B3736" s="6"/>
      <c r="C3736" s="6"/>
    </row>
    <row r="3737" s="1" customFormat="1" spans="1:3">
      <c r="A3737" s="6"/>
      <c r="B3737" s="6"/>
      <c r="C3737" s="6"/>
    </row>
    <row r="3738" s="1" customFormat="1" spans="1:3">
      <c r="A3738" s="6"/>
      <c r="B3738" s="6"/>
      <c r="C3738" s="6"/>
    </row>
    <row r="3739" s="1" customFormat="1" spans="1:3">
      <c r="A3739" s="6"/>
      <c r="B3739" s="6"/>
      <c r="C3739" s="6"/>
    </row>
    <row r="3740" s="1" customFormat="1" spans="1:3">
      <c r="A3740" s="6"/>
      <c r="B3740" s="6"/>
      <c r="C3740" s="6"/>
    </row>
    <row r="3741" s="1" customFormat="1" spans="1:3">
      <c r="A3741" s="6"/>
      <c r="B3741" s="6"/>
      <c r="C3741" s="6"/>
    </row>
    <row r="3742" s="1" customFormat="1" spans="1:3">
      <c r="A3742" s="6"/>
      <c r="B3742" s="6"/>
      <c r="C3742" s="6"/>
    </row>
    <row r="3743" s="1" customFormat="1" spans="1:3">
      <c r="A3743" s="6"/>
      <c r="B3743" s="6"/>
      <c r="C3743" s="6"/>
    </row>
    <row r="3744" s="1" customFormat="1" spans="1:3">
      <c r="A3744" s="6"/>
      <c r="B3744" s="6"/>
      <c r="C3744" s="6"/>
    </row>
    <row r="3745" s="1" customFormat="1" spans="1:3">
      <c r="A3745" s="6"/>
      <c r="B3745" s="6"/>
      <c r="C3745" s="6"/>
    </row>
    <row r="3746" s="1" customFormat="1" spans="1:3">
      <c r="A3746" s="6"/>
      <c r="B3746" s="6"/>
      <c r="C3746" s="6"/>
    </row>
    <row r="3747" s="1" customFormat="1" spans="1:3">
      <c r="A3747" s="6"/>
      <c r="B3747" s="6"/>
      <c r="C3747" s="6"/>
    </row>
    <row r="3748" s="1" customFormat="1" spans="1:3">
      <c r="A3748" s="6"/>
      <c r="B3748" s="6"/>
      <c r="C3748" s="6"/>
    </row>
    <row r="3749" s="1" customFormat="1" spans="1:3">
      <c r="A3749" s="6"/>
      <c r="B3749" s="6"/>
      <c r="C3749" s="6"/>
    </row>
    <row r="3750" s="1" customFormat="1" spans="1:3">
      <c r="A3750" s="6"/>
      <c r="B3750" s="6"/>
      <c r="C3750" s="6"/>
    </row>
    <row r="3751" s="1" customFormat="1" spans="1:3">
      <c r="A3751" s="6"/>
      <c r="B3751" s="6"/>
      <c r="C3751" s="6"/>
    </row>
    <row r="3752" s="1" customFormat="1" spans="1:3">
      <c r="A3752" s="6"/>
      <c r="B3752" s="6"/>
      <c r="C3752" s="6"/>
    </row>
    <row r="3753" s="1" customFormat="1" spans="1:3">
      <c r="A3753" s="6"/>
      <c r="B3753" s="6"/>
      <c r="C3753" s="6"/>
    </row>
    <row r="3754" s="1" customFormat="1" spans="1:3">
      <c r="A3754" s="6"/>
      <c r="B3754" s="6"/>
      <c r="C3754" s="6"/>
    </row>
    <row r="3755" s="1" customFormat="1" spans="1:3">
      <c r="A3755" s="6"/>
      <c r="B3755" s="6"/>
      <c r="C3755" s="6"/>
    </row>
    <row r="3756" s="1" customFormat="1" spans="1:3">
      <c r="A3756" s="6"/>
      <c r="B3756" s="6"/>
      <c r="C3756" s="6"/>
    </row>
    <row r="3757" s="1" customFormat="1" spans="1:3">
      <c r="A3757" s="6"/>
      <c r="B3757" s="6"/>
      <c r="C3757" s="6"/>
    </row>
    <row r="3758" s="1" customFormat="1" spans="1:3">
      <c r="A3758" s="6"/>
      <c r="B3758" s="6"/>
      <c r="C3758" s="6"/>
    </row>
    <row r="3759" s="1" customFormat="1" spans="1:3">
      <c r="A3759" s="6"/>
      <c r="B3759" s="6"/>
      <c r="C3759" s="6"/>
    </row>
    <row r="3760" s="1" customFormat="1" spans="1:3">
      <c r="A3760" s="6"/>
      <c r="B3760" s="6"/>
      <c r="C3760" s="6"/>
    </row>
    <row r="3761" s="1" customFormat="1" spans="1:3">
      <c r="A3761" s="6"/>
      <c r="B3761" s="6"/>
      <c r="C3761" s="6"/>
    </row>
    <row r="3762" s="1" customFormat="1" spans="1:3">
      <c r="A3762" s="6"/>
      <c r="B3762" s="6"/>
      <c r="C3762" s="6"/>
    </row>
    <row r="3763" s="1" customFormat="1" spans="1:3">
      <c r="A3763" s="6"/>
      <c r="B3763" s="6"/>
      <c r="C3763" s="6"/>
    </row>
    <row r="3764" s="1" customFormat="1" spans="1:3">
      <c r="A3764" s="6"/>
      <c r="B3764" s="6"/>
      <c r="C3764" s="6"/>
    </row>
    <row r="3765" s="1" customFormat="1" spans="1:3">
      <c r="A3765" s="6"/>
      <c r="B3765" s="6"/>
      <c r="C3765" s="6"/>
    </row>
    <row r="3766" s="1" customFormat="1" spans="1:3">
      <c r="A3766" s="6"/>
      <c r="B3766" s="6"/>
      <c r="C3766" s="6"/>
    </row>
    <row r="3767" s="1" customFormat="1" spans="1:3">
      <c r="A3767" s="6"/>
      <c r="B3767" s="6"/>
      <c r="C3767" s="6"/>
    </row>
    <row r="3768" s="1" customFormat="1" spans="1:3">
      <c r="A3768" s="6"/>
      <c r="B3768" s="6"/>
      <c r="C3768" s="6"/>
    </row>
    <row r="3769" s="1" customFormat="1" spans="1:3">
      <c r="A3769" s="6"/>
      <c r="B3769" s="6"/>
      <c r="C3769" s="6"/>
    </row>
    <row r="3770" s="1" customFormat="1" spans="1:3">
      <c r="A3770" s="6"/>
      <c r="B3770" s="6"/>
      <c r="C3770" s="6"/>
    </row>
    <row r="3771" s="1" customFormat="1" spans="1:3">
      <c r="A3771" s="6"/>
      <c r="B3771" s="6"/>
      <c r="C3771" s="6"/>
    </row>
    <row r="3772" s="1" customFormat="1" spans="1:3">
      <c r="A3772" s="6"/>
      <c r="B3772" s="6"/>
      <c r="C3772" s="6"/>
    </row>
    <row r="3773" s="1" customFormat="1" spans="1:3">
      <c r="A3773" s="6"/>
      <c r="B3773" s="6"/>
      <c r="C3773" s="6"/>
    </row>
    <row r="3774" s="1" customFormat="1" spans="1:3">
      <c r="A3774" s="6"/>
      <c r="B3774" s="6"/>
      <c r="C3774" s="6"/>
    </row>
    <row r="3775" s="1" customFormat="1" spans="1:3">
      <c r="A3775" s="6"/>
      <c r="B3775" s="6"/>
      <c r="C3775" s="6"/>
    </row>
    <row r="3776" s="1" customFormat="1" spans="1:3">
      <c r="A3776" s="6"/>
      <c r="B3776" s="6"/>
      <c r="C3776" s="6"/>
    </row>
    <row r="3777" s="1" customFormat="1" spans="1:3">
      <c r="A3777" s="6"/>
      <c r="B3777" s="6"/>
      <c r="C3777" s="6"/>
    </row>
    <row r="3778" s="1" customFormat="1" spans="1:3">
      <c r="A3778" s="6"/>
      <c r="B3778" s="6"/>
      <c r="C3778" s="6"/>
    </row>
    <row r="3779" s="1" customFormat="1" spans="1:3">
      <c r="A3779" s="6"/>
      <c r="B3779" s="6"/>
      <c r="C3779" s="6"/>
    </row>
    <row r="3780" s="1" customFormat="1" spans="1:3">
      <c r="A3780" s="6"/>
      <c r="B3780" s="6"/>
      <c r="C3780" s="6"/>
    </row>
    <row r="3781" s="1" customFormat="1" spans="1:3">
      <c r="A3781" s="6"/>
      <c r="B3781" s="6"/>
      <c r="C3781" s="6"/>
    </row>
    <row r="3782" s="1" customFormat="1" spans="1:3">
      <c r="A3782" s="6"/>
      <c r="B3782" s="6"/>
      <c r="C3782" s="6"/>
    </row>
    <row r="3783" s="1" customFormat="1" spans="1:3">
      <c r="A3783" s="6"/>
      <c r="B3783" s="6"/>
      <c r="C3783" s="6"/>
    </row>
    <row r="3784" s="1" customFormat="1" spans="1:3">
      <c r="A3784" s="6"/>
      <c r="B3784" s="6"/>
      <c r="C3784" s="6"/>
    </row>
    <row r="3785" s="1" customFormat="1" spans="1:3">
      <c r="A3785" s="6"/>
      <c r="B3785" s="6"/>
      <c r="C3785" s="6"/>
    </row>
    <row r="3786" s="1" customFormat="1" spans="1:3">
      <c r="A3786" s="6"/>
      <c r="B3786" s="6"/>
      <c r="C3786" s="6"/>
    </row>
    <row r="3787" s="1" customFormat="1" spans="1:3">
      <c r="A3787" s="6"/>
      <c r="B3787" s="6"/>
      <c r="C3787" s="6"/>
    </row>
    <row r="3788" s="1" customFormat="1" spans="1:3">
      <c r="A3788" s="6"/>
      <c r="B3788" s="6"/>
      <c r="C3788" s="6"/>
    </row>
    <row r="3789" s="1" customFormat="1" spans="1:3">
      <c r="A3789" s="6"/>
      <c r="B3789" s="6"/>
      <c r="C3789" s="6"/>
    </row>
    <row r="3790" s="1" customFormat="1" spans="1:3">
      <c r="A3790" s="6"/>
      <c r="B3790" s="6"/>
      <c r="C3790" s="6"/>
    </row>
    <row r="3791" s="1" customFormat="1" spans="1:3">
      <c r="A3791" s="6"/>
      <c r="B3791" s="6"/>
      <c r="C3791" s="6"/>
    </row>
    <row r="3792" s="1" customFormat="1" spans="1:3">
      <c r="A3792" s="6"/>
      <c r="B3792" s="6"/>
      <c r="C3792" s="6"/>
    </row>
    <row r="3793" s="1" customFormat="1" spans="1:3">
      <c r="A3793" s="6"/>
      <c r="B3793" s="6"/>
      <c r="C3793" s="6"/>
    </row>
    <row r="3794" s="1" customFormat="1" spans="1:3">
      <c r="A3794" s="6"/>
      <c r="B3794" s="6"/>
      <c r="C3794" s="6"/>
    </row>
    <row r="3795" s="1" customFormat="1" spans="1:3">
      <c r="A3795" s="6"/>
      <c r="B3795" s="6"/>
      <c r="C3795" s="6"/>
    </row>
    <row r="3796" s="1" customFormat="1" spans="1:3">
      <c r="A3796" s="6"/>
      <c r="B3796" s="6"/>
      <c r="C3796" s="6"/>
    </row>
    <row r="3797" s="1" customFormat="1" spans="1:3">
      <c r="A3797" s="6"/>
      <c r="B3797" s="6"/>
      <c r="C3797" s="6"/>
    </row>
    <row r="3798" s="1" customFormat="1" spans="1:3">
      <c r="A3798" s="6"/>
      <c r="B3798" s="6"/>
      <c r="C3798" s="6"/>
    </row>
    <row r="3799" s="1" customFormat="1" spans="1:3">
      <c r="A3799" s="6"/>
      <c r="B3799" s="6"/>
      <c r="C3799" s="6"/>
    </row>
    <row r="3800" s="1" customFormat="1" spans="1:3">
      <c r="A3800" s="6"/>
      <c r="B3800" s="6"/>
      <c r="C3800" s="6"/>
    </row>
    <row r="3801" s="1" customFormat="1" spans="1:3">
      <c r="A3801" s="6"/>
      <c r="B3801" s="6"/>
      <c r="C3801" s="6"/>
    </row>
    <row r="3802" s="1" customFormat="1" spans="1:3">
      <c r="A3802" s="6"/>
      <c r="B3802" s="6"/>
      <c r="C3802" s="6"/>
    </row>
    <row r="3803" s="1" customFormat="1" spans="1:3">
      <c r="A3803" s="6"/>
      <c r="B3803" s="6"/>
      <c r="C3803" s="6"/>
    </row>
    <row r="3804" s="1" customFormat="1" spans="1:3">
      <c r="A3804" s="6"/>
      <c r="B3804" s="6"/>
      <c r="C3804" s="6"/>
    </row>
    <row r="3805" s="1" customFormat="1" spans="1:3">
      <c r="A3805" s="6"/>
      <c r="B3805" s="6"/>
      <c r="C3805" s="6"/>
    </row>
    <row r="3806" s="1" customFormat="1" spans="1:3">
      <c r="A3806" s="6"/>
      <c r="B3806" s="6"/>
      <c r="C3806" s="6"/>
    </row>
    <row r="3807" s="1" customFormat="1" spans="1:3">
      <c r="A3807" s="6"/>
      <c r="B3807" s="6"/>
      <c r="C3807" s="6"/>
    </row>
    <row r="3808" s="1" customFormat="1" spans="1:3">
      <c r="A3808" s="6"/>
      <c r="B3808" s="6"/>
      <c r="C3808" s="6"/>
    </row>
    <row r="3809" s="1" customFormat="1" spans="1:3">
      <c r="A3809" s="6"/>
      <c r="B3809" s="6"/>
      <c r="C3809" s="6"/>
    </row>
    <row r="3810" s="1" customFormat="1" spans="1:3">
      <c r="A3810" s="6"/>
      <c r="B3810" s="6"/>
      <c r="C3810" s="6"/>
    </row>
    <row r="3811" s="1" customFormat="1" spans="1:3">
      <c r="A3811" s="6"/>
      <c r="B3811" s="6"/>
      <c r="C3811" s="6"/>
    </row>
    <row r="3812" s="1" customFormat="1" spans="1:3">
      <c r="A3812" s="6"/>
      <c r="B3812" s="6"/>
      <c r="C3812" s="6"/>
    </row>
    <row r="3813" s="1" customFormat="1" spans="1:3">
      <c r="A3813" s="6"/>
      <c r="B3813" s="6"/>
      <c r="C3813" s="6"/>
    </row>
    <row r="3814" s="1" customFormat="1" spans="1:3">
      <c r="A3814" s="6"/>
      <c r="B3814" s="6"/>
      <c r="C3814" s="6"/>
    </row>
    <row r="3815" s="1" customFormat="1" spans="1:3">
      <c r="A3815" s="6"/>
      <c r="B3815" s="6"/>
      <c r="C3815" s="6"/>
    </row>
    <row r="3816" s="1" customFormat="1" spans="1:3">
      <c r="A3816" s="6"/>
      <c r="B3816" s="6"/>
      <c r="C3816" s="6"/>
    </row>
    <row r="3817" s="1" customFormat="1" spans="1:3">
      <c r="A3817" s="6"/>
      <c r="B3817" s="6"/>
      <c r="C3817" s="6"/>
    </row>
    <row r="3818" s="1" customFormat="1" spans="1:3">
      <c r="A3818" s="6"/>
      <c r="B3818" s="6"/>
      <c r="C3818" s="6"/>
    </row>
    <row r="3819" s="1" customFormat="1" spans="1:3">
      <c r="A3819" s="6"/>
      <c r="B3819" s="6"/>
      <c r="C3819" s="6"/>
    </row>
    <row r="3820" s="1" customFormat="1" spans="1:3">
      <c r="A3820" s="6"/>
      <c r="B3820" s="6"/>
      <c r="C3820" s="6"/>
    </row>
    <row r="3821" s="1" customFormat="1" spans="1:3">
      <c r="A3821" s="6"/>
      <c r="B3821" s="6"/>
      <c r="C3821" s="6"/>
    </row>
    <row r="3822" s="1" customFormat="1" spans="1:3">
      <c r="A3822" s="6"/>
      <c r="B3822" s="6"/>
      <c r="C3822" s="6"/>
    </row>
    <row r="3823" s="1" customFormat="1" spans="1:3">
      <c r="A3823" s="6"/>
      <c r="B3823" s="6"/>
      <c r="C3823" s="6"/>
    </row>
    <row r="3824" s="1" customFormat="1" spans="1:3">
      <c r="A3824" s="6"/>
      <c r="B3824" s="6"/>
      <c r="C3824" s="6"/>
    </row>
    <row r="3825" s="1" customFormat="1" spans="1:3">
      <c r="A3825" s="6"/>
      <c r="B3825" s="6"/>
      <c r="C3825" s="6"/>
    </row>
    <row r="3826" s="1" customFormat="1" spans="1:3">
      <c r="A3826" s="6"/>
      <c r="B3826" s="6"/>
      <c r="C3826" s="6"/>
    </row>
    <row r="3827" s="1" customFormat="1" spans="1:3">
      <c r="A3827" s="6"/>
      <c r="B3827" s="6"/>
      <c r="C3827" s="6"/>
    </row>
    <row r="3828" s="1" customFormat="1" spans="1:3">
      <c r="A3828" s="6"/>
      <c r="B3828" s="6"/>
      <c r="C3828" s="6"/>
    </row>
    <row r="3829" s="1" customFormat="1" spans="1:3">
      <c r="A3829" s="6"/>
      <c r="B3829" s="6"/>
      <c r="C3829" s="6"/>
    </row>
    <row r="3830" s="1" customFormat="1" spans="1:3">
      <c r="A3830" s="6"/>
      <c r="B3830" s="6"/>
      <c r="C3830" s="6"/>
    </row>
    <row r="3831" s="1" customFormat="1" spans="1:3">
      <c r="A3831" s="6"/>
      <c r="B3831" s="6"/>
      <c r="C3831" s="6"/>
    </row>
    <row r="3832" s="1" customFormat="1" spans="1:3">
      <c r="A3832" s="6"/>
      <c r="B3832" s="6"/>
      <c r="C3832" s="6"/>
    </row>
    <row r="3833" s="1" customFormat="1" spans="1:3">
      <c r="A3833" s="6"/>
      <c r="B3833" s="6"/>
      <c r="C3833" s="6"/>
    </row>
    <row r="3834" s="1" customFormat="1" spans="1:3">
      <c r="A3834" s="6"/>
      <c r="B3834" s="6"/>
      <c r="C3834" s="6"/>
    </row>
    <row r="3835" s="1" customFormat="1" spans="1:3">
      <c r="A3835" s="6"/>
      <c r="B3835" s="6"/>
      <c r="C3835" s="6"/>
    </row>
    <row r="3836" s="1" customFormat="1" spans="1:3">
      <c r="A3836" s="6"/>
      <c r="B3836" s="6"/>
      <c r="C3836" s="6"/>
    </row>
    <row r="3837" s="1" customFormat="1" spans="1:3">
      <c r="A3837" s="6"/>
      <c r="B3837" s="6"/>
      <c r="C3837" s="6"/>
    </row>
    <row r="3838" s="1" customFormat="1" spans="1:3">
      <c r="A3838" s="6"/>
      <c r="B3838" s="6"/>
      <c r="C3838" s="6"/>
    </row>
    <row r="3839" s="1" customFormat="1" spans="1:3">
      <c r="A3839" s="6"/>
      <c r="B3839" s="6"/>
      <c r="C3839" s="6"/>
    </row>
    <row r="3840" s="1" customFormat="1" spans="1:3">
      <c r="A3840" s="6"/>
      <c r="B3840" s="6"/>
      <c r="C3840" s="6"/>
    </row>
    <row r="3841" s="1" customFormat="1" spans="1:3">
      <c r="A3841" s="6"/>
      <c r="B3841" s="6"/>
      <c r="C3841" s="6"/>
    </row>
    <row r="3842" s="1" customFormat="1" spans="1:3">
      <c r="A3842" s="6"/>
      <c r="B3842" s="6"/>
      <c r="C3842" s="6"/>
    </row>
    <row r="3843" s="1" customFormat="1" spans="1:3">
      <c r="A3843" s="6"/>
      <c r="B3843" s="6"/>
      <c r="C3843" s="6"/>
    </row>
    <row r="3844" s="1" customFormat="1" spans="1:3">
      <c r="A3844" s="6"/>
      <c r="B3844" s="6"/>
      <c r="C3844" s="6"/>
    </row>
    <row r="3845" s="1" customFormat="1" spans="1:3">
      <c r="A3845" s="6"/>
      <c r="B3845" s="6"/>
      <c r="C3845" s="6"/>
    </row>
    <row r="3846" s="1" customFormat="1" spans="1:3">
      <c r="A3846" s="6"/>
      <c r="B3846" s="6"/>
      <c r="C3846" s="6"/>
    </row>
    <row r="3847" s="1" customFormat="1" spans="1:3">
      <c r="A3847" s="6"/>
      <c r="B3847" s="6"/>
      <c r="C3847" s="6"/>
    </row>
    <row r="3848" s="1" customFormat="1" spans="1:3">
      <c r="A3848" s="6"/>
      <c r="B3848" s="6"/>
      <c r="C3848" s="6"/>
    </row>
    <row r="3849" s="1" customFormat="1" spans="1:3">
      <c r="A3849" s="6"/>
      <c r="B3849" s="6"/>
      <c r="C3849" s="6"/>
    </row>
    <row r="3850" s="1" customFormat="1" spans="1:3">
      <c r="A3850" s="6"/>
      <c r="B3850" s="6"/>
      <c r="C3850" s="6"/>
    </row>
    <row r="3851" s="1" customFormat="1" spans="1:3">
      <c r="A3851" s="6"/>
      <c r="B3851" s="6"/>
      <c r="C3851" s="6"/>
    </row>
    <row r="3852" s="1" customFormat="1" spans="1:3">
      <c r="A3852" s="6"/>
      <c r="B3852" s="6"/>
      <c r="C3852" s="6"/>
    </row>
    <row r="3853" s="1" customFormat="1" spans="1:3">
      <c r="A3853" s="6"/>
      <c r="B3853" s="6"/>
      <c r="C3853" s="6"/>
    </row>
    <row r="3854" s="1" customFormat="1" spans="1:3">
      <c r="A3854" s="6"/>
      <c r="B3854" s="6"/>
      <c r="C3854" s="6"/>
    </row>
    <row r="3855" s="1" customFormat="1" spans="1:3">
      <c r="A3855" s="6"/>
      <c r="B3855" s="6"/>
      <c r="C3855" s="6"/>
    </row>
    <row r="3856" s="1" customFormat="1" spans="1:3">
      <c r="A3856" s="6"/>
      <c r="B3856" s="6"/>
      <c r="C3856" s="6"/>
    </row>
    <row r="3857" s="1" customFormat="1" spans="1:3">
      <c r="A3857" s="6"/>
      <c r="B3857" s="6"/>
      <c r="C3857" s="6"/>
    </row>
    <row r="3858" s="1" customFormat="1" spans="1:3">
      <c r="A3858" s="6"/>
      <c r="B3858" s="6"/>
      <c r="C3858" s="6"/>
    </row>
    <row r="3859" s="1" customFormat="1" spans="1:3">
      <c r="A3859" s="6"/>
      <c r="B3859" s="6"/>
      <c r="C3859" s="6"/>
    </row>
    <row r="3860" s="1" customFormat="1" spans="1:3">
      <c r="A3860" s="6"/>
      <c r="B3860" s="6"/>
      <c r="C3860" s="6"/>
    </row>
    <row r="3861" s="1" customFormat="1" spans="1:3">
      <c r="A3861" s="6"/>
      <c r="B3861" s="6"/>
      <c r="C3861" s="6"/>
    </row>
    <row r="3862" s="1" customFormat="1" spans="1:3">
      <c r="A3862" s="6"/>
      <c r="B3862" s="6"/>
      <c r="C3862" s="6"/>
    </row>
    <row r="3863" s="1" customFormat="1" spans="1:3">
      <c r="A3863" s="6"/>
      <c r="B3863" s="6"/>
      <c r="C3863" s="6"/>
    </row>
    <row r="3864" s="1" customFormat="1" spans="1:3">
      <c r="A3864" s="6"/>
      <c r="B3864" s="6"/>
      <c r="C3864" s="6"/>
    </row>
    <row r="3865" s="1" customFormat="1" spans="1:3">
      <c r="A3865" s="6"/>
      <c r="B3865" s="6"/>
      <c r="C3865" s="6"/>
    </row>
    <row r="3866" s="1" customFormat="1" spans="1:3">
      <c r="A3866" s="6"/>
      <c r="B3866" s="6"/>
      <c r="C3866" s="6"/>
    </row>
    <row r="3867" s="1" customFormat="1" spans="1:3">
      <c r="A3867" s="6"/>
      <c r="B3867" s="6"/>
      <c r="C3867" s="6"/>
    </row>
    <row r="3868" s="1" customFormat="1" spans="1:3">
      <c r="A3868" s="6"/>
      <c r="B3868" s="6"/>
      <c r="C3868" s="6"/>
    </row>
    <row r="3869" s="1" customFormat="1" spans="1:3">
      <c r="A3869" s="6"/>
      <c r="B3869" s="6"/>
      <c r="C3869" s="6"/>
    </row>
    <row r="3870" s="1" customFormat="1" spans="1:3">
      <c r="A3870" s="6"/>
      <c r="B3870" s="6"/>
      <c r="C3870" s="6"/>
    </row>
    <row r="3871" s="1" customFormat="1" spans="1:3">
      <c r="A3871" s="6"/>
      <c r="B3871" s="6"/>
      <c r="C3871" s="6"/>
    </row>
    <row r="3872" s="1" customFormat="1" spans="1:3">
      <c r="A3872" s="6"/>
      <c r="B3872" s="6"/>
      <c r="C3872" s="6"/>
    </row>
    <row r="3873" s="1" customFormat="1" spans="1:3">
      <c r="A3873" s="6"/>
      <c r="B3873" s="6"/>
      <c r="C3873" s="6"/>
    </row>
    <row r="3874" s="1" customFormat="1" spans="1:3">
      <c r="A3874" s="6"/>
      <c r="B3874" s="6"/>
      <c r="C3874" s="6"/>
    </row>
    <row r="3875" s="1" customFormat="1" spans="1:3">
      <c r="A3875" s="6"/>
      <c r="B3875" s="6"/>
      <c r="C3875" s="6"/>
    </row>
    <row r="3876" s="1" customFormat="1" spans="1:3">
      <c r="A3876" s="6"/>
      <c r="B3876" s="6"/>
      <c r="C3876" s="6"/>
    </row>
    <row r="3877" s="1" customFormat="1" spans="1:3">
      <c r="A3877" s="6"/>
      <c r="B3877" s="6"/>
      <c r="C3877" s="6"/>
    </row>
    <row r="3878" s="1" customFormat="1" spans="1:3">
      <c r="A3878" s="6"/>
      <c r="B3878" s="6"/>
      <c r="C3878" s="6"/>
    </row>
    <row r="3879" s="1" customFormat="1" spans="1:3">
      <c r="A3879" s="6"/>
      <c r="B3879" s="6"/>
      <c r="C3879" s="6"/>
    </row>
    <row r="3880" s="1" customFormat="1" spans="1:3">
      <c r="A3880" s="6"/>
      <c r="B3880" s="6"/>
      <c r="C3880" s="6"/>
    </row>
    <row r="3881" s="1" customFormat="1" spans="1:3">
      <c r="A3881" s="6"/>
      <c r="B3881" s="6"/>
      <c r="C3881" s="6"/>
    </row>
    <row r="3882" s="1" customFormat="1" spans="1:3">
      <c r="A3882" s="6"/>
      <c r="B3882" s="6"/>
      <c r="C3882" s="6"/>
    </row>
    <row r="3883" s="1" customFormat="1" spans="1:3">
      <c r="A3883" s="6"/>
      <c r="B3883" s="6"/>
      <c r="C3883" s="6"/>
    </row>
    <row r="3884" s="1" customFormat="1" spans="1:3">
      <c r="A3884" s="6"/>
      <c r="B3884" s="6"/>
      <c r="C3884" s="6"/>
    </row>
    <row r="3885" s="1" customFormat="1" spans="1:3">
      <c r="A3885" s="6"/>
      <c r="B3885" s="6"/>
      <c r="C3885" s="6"/>
    </row>
    <row r="3886" s="1" customFormat="1" spans="1:3">
      <c r="A3886" s="6"/>
      <c r="B3886" s="6"/>
      <c r="C3886" s="6"/>
    </row>
    <row r="3887" s="1" customFormat="1" spans="1:3">
      <c r="A3887" s="6"/>
      <c r="B3887" s="6"/>
      <c r="C3887" s="6"/>
    </row>
    <row r="3888" s="1" customFormat="1" spans="1:3">
      <c r="A3888" s="6"/>
      <c r="B3888" s="6"/>
      <c r="C3888" s="6"/>
    </row>
    <row r="3889" s="1" customFormat="1" spans="1:3">
      <c r="A3889" s="6"/>
      <c r="B3889" s="6"/>
      <c r="C3889" s="6"/>
    </row>
    <row r="3890" s="1" customFormat="1" spans="1:3">
      <c r="A3890" s="6"/>
      <c r="B3890" s="6"/>
      <c r="C3890" s="6"/>
    </row>
    <row r="3891" s="1" customFormat="1" spans="1:3">
      <c r="A3891" s="6"/>
      <c r="B3891" s="6"/>
      <c r="C3891" s="6"/>
    </row>
    <row r="3892" s="1" customFormat="1" spans="1:3">
      <c r="A3892" s="6"/>
      <c r="B3892" s="6"/>
      <c r="C3892" s="6"/>
    </row>
    <row r="3893" s="1" customFormat="1" spans="1:3">
      <c r="A3893" s="6"/>
      <c r="B3893" s="6"/>
      <c r="C3893" s="6"/>
    </row>
    <row r="3894" s="1" customFormat="1" spans="1:3">
      <c r="A3894" s="6"/>
      <c r="B3894" s="6"/>
      <c r="C3894" s="6"/>
    </row>
    <row r="3895" s="1" customFormat="1" spans="1:3">
      <c r="A3895" s="6"/>
      <c r="B3895" s="6"/>
      <c r="C3895" s="6"/>
    </row>
    <row r="3896" s="1" customFormat="1" spans="1:3">
      <c r="A3896" s="6"/>
      <c r="B3896" s="6"/>
      <c r="C3896" s="6"/>
    </row>
    <row r="3897" s="1" customFormat="1" spans="1:3">
      <c r="A3897" s="6"/>
      <c r="B3897" s="6"/>
      <c r="C3897" s="6"/>
    </row>
    <row r="3898" s="1" customFormat="1" spans="1:3">
      <c r="A3898" s="6"/>
      <c r="B3898" s="6"/>
      <c r="C3898" s="6"/>
    </row>
    <row r="3899" s="1" customFormat="1" spans="1:3">
      <c r="A3899" s="6"/>
      <c r="B3899" s="6"/>
      <c r="C3899" s="6"/>
    </row>
    <row r="3900" s="1" customFormat="1" spans="1:3">
      <c r="A3900" s="6"/>
      <c r="B3900" s="6"/>
      <c r="C3900" s="6"/>
    </row>
    <row r="3901" s="1" customFormat="1" spans="1:3">
      <c r="A3901" s="6"/>
      <c r="B3901" s="6"/>
      <c r="C3901" s="6"/>
    </row>
    <row r="3902" s="1" customFormat="1" spans="1:3">
      <c r="A3902" s="6"/>
      <c r="B3902" s="6"/>
      <c r="C3902" s="6"/>
    </row>
    <row r="3903" s="1" customFormat="1" spans="1:3">
      <c r="A3903" s="6"/>
      <c r="B3903" s="6"/>
      <c r="C3903" s="6"/>
    </row>
    <row r="3904" s="1" customFormat="1" spans="1:3">
      <c r="A3904" s="6"/>
      <c r="B3904" s="6"/>
      <c r="C3904" s="6"/>
    </row>
    <row r="3905" s="1" customFormat="1" spans="1:3">
      <c r="A3905" s="6"/>
      <c r="B3905" s="6"/>
      <c r="C3905" s="6"/>
    </row>
    <row r="3906" s="1" customFormat="1" spans="1:3">
      <c r="A3906" s="6"/>
      <c r="B3906" s="6"/>
      <c r="C3906" s="6"/>
    </row>
    <row r="3907" s="1" customFormat="1" spans="1:3">
      <c r="A3907" s="6"/>
      <c r="B3907" s="6"/>
      <c r="C3907" s="6"/>
    </row>
    <row r="3908" s="1" customFormat="1" spans="1:3">
      <c r="A3908" s="6"/>
      <c r="B3908" s="6"/>
      <c r="C3908" s="6"/>
    </row>
    <row r="3909" s="1" customFormat="1" spans="1:3">
      <c r="A3909" s="6"/>
      <c r="B3909" s="6"/>
      <c r="C3909" s="6"/>
    </row>
    <row r="3910" s="1" customFormat="1" spans="1:3">
      <c r="A3910" s="6"/>
      <c r="B3910" s="6"/>
      <c r="C3910" s="6"/>
    </row>
    <row r="3911" s="1" customFormat="1" spans="1:3">
      <c r="A3911" s="6"/>
      <c r="B3911" s="6"/>
      <c r="C3911" s="6"/>
    </row>
    <row r="3912" s="1" customFormat="1" spans="1:3">
      <c r="A3912" s="6"/>
      <c r="B3912" s="6"/>
      <c r="C3912" s="6"/>
    </row>
    <row r="3913" s="1" customFormat="1" spans="1:3">
      <c r="A3913" s="6"/>
      <c r="B3913" s="6"/>
      <c r="C3913" s="6"/>
    </row>
    <row r="3914" s="1" customFormat="1" spans="1:3">
      <c r="A3914" s="6"/>
      <c r="B3914" s="6"/>
      <c r="C3914" s="6"/>
    </row>
    <row r="3915" s="1" customFormat="1" spans="1:3">
      <c r="A3915" s="6"/>
      <c r="B3915" s="6"/>
      <c r="C3915" s="6"/>
    </row>
    <row r="3916" s="1" customFormat="1" spans="1:3">
      <c r="A3916" s="6"/>
      <c r="B3916" s="6"/>
      <c r="C3916" s="6"/>
    </row>
    <row r="3917" s="1" customFormat="1" spans="1:3">
      <c r="A3917" s="6"/>
      <c r="B3917" s="6"/>
      <c r="C3917" s="6"/>
    </row>
    <row r="3918" s="1" customFormat="1" spans="1:3">
      <c r="A3918" s="6"/>
      <c r="B3918" s="6"/>
      <c r="C3918" s="6"/>
    </row>
    <row r="3919" s="1" customFormat="1" spans="1:3">
      <c r="A3919" s="6"/>
      <c r="B3919" s="6"/>
      <c r="C3919" s="6"/>
    </row>
    <row r="3920" s="1" customFormat="1" spans="1:3">
      <c r="A3920" s="6"/>
      <c r="B3920" s="6"/>
      <c r="C3920" s="6"/>
    </row>
    <row r="3921" s="1" customFormat="1" spans="1:3">
      <c r="A3921" s="6"/>
      <c r="B3921" s="6"/>
      <c r="C3921" s="6"/>
    </row>
    <row r="3922" s="1" customFormat="1" spans="1:3">
      <c r="A3922" s="6"/>
      <c r="B3922" s="6"/>
      <c r="C3922" s="6"/>
    </row>
    <row r="3923" s="1" customFormat="1" spans="1:3">
      <c r="A3923" s="6"/>
      <c r="B3923" s="6"/>
      <c r="C3923" s="6"/>
    </row>
    <row r="3924" s="1" customFormat="1" spans="1:3">
      <c r="A3924" s="6"/>
      <c r="B3924" s="6"/>
      <c r="C3924" s="6"/>
    </row>
    <row r="3925" s="1" customFormat="1" spans="1:3">
      <c r="A3925" s="6"/>
      <c r="B3925" s="6"/>
      <c r="C3925" s="6"/>
    </row>
    <row r="3926" s="1" customFormat="1" spans="1:3">
      <c r="A3926" s="6"/>
      <c r="B3926" s="6"/>
      <c r="C3926" s="6"/>
    </row>
    <row r="3927" s="1" customFormat="1" spans="1:3">
      <c r="A3927" s="6"/>
      <c r="B3927" s="6"/>
      <c r="C3927" s="6"/>
    </row>
    <row r="3928" s="1" customFormat="1" spans="1:3">
      <c r="A3928" s="6"/>
      <c r="B3928" s="6"/>
      <c r="C3928" s="6"/>
    </row>
    <row r="3929" s="1" customFormat="1" spans="1:3">
      <c r="A3929" s="6"/>
      <c r="B3929" s="6"/>
      <c r="C3929" s="6"/>
    </row>
    <row r="3930" s="1" customFormat="1" spans="1:3">
      <c r="A3930" s="6"/>
      <c r="B3930" s="6"/>
      <c r="C3930" s="6"/>
    </row>
    <row r="3931" s="1" customFormat="1" spans="1:3">
      <c r="A3931" s="6"/>
      <c r="B3931" s="6"/>
      <c r="C3931" s="6"/>
    </row>
    <row r="3932" s="1" customFormat="1" spans="1:3">
      <c r="A3932" s="6"/>
      <c r="B3932" s="6"/>
      <c r="C3932" s="6"/>
    </row>
    <row r="3933" s="1" customFormat="1" spans="1:3">
      <c r="A3933" s="6"/>
      <c r="B3933" s="6"/>
      <c r="C3933" s="6"/>
    </row>
    <row r="3934" s="1" customFormat="1" spans="1:3">
      <c r="A3934" s="6"/>
      <c r="B3934" s="6"/>
      <c r="C3934" s="6"/>
    </row>
    <row r="3935" s="1" customFormat="1" spans="1:3">
      <c r="A3935" s="6"/>
      <c r="B3935" s="6"/>
      <c r="C3935" s="6"/>
    </row>
    <row r="3936" s="1" customFormat="1" spans="1:3">
      <c r="A3936" s="6"/>
      <c r="B3936" s="6"/>
      <c r="C3936" s="6"/>
    </row>
    <row r="3937" s="1" customFormat="1" spans="1:3">
      <c r="A3937" s="6"/>
      <c r="B3937" s="6"/>
      <c r="C3937" s="6"/>
    </row>
    <row r="3938" s="1" customFormat="1" spans="1:3">
      <c r="A3938" s="6"/>
      <c r="B3938" s="6"/>
      <c r="C3938" s="6"/>
    </row>
    <row r="3939" s="1" customFormat="1" spans="1:3">
      <c r="A3939" s="6"/>
      <c r="B3939" s="6"/>
      <c r="C3939" s="6"/>
    </row>
    <row r="3940" s="1" customFormat="1" spans="1:3">
      <c r="A3940" s="6"/>
      <c r="B3940" s="6"/>
      <c r="C3940" s="6"/>
    </row>
    <row r="3941" s="1" customFormat="1" spans="1:3">
      <c r="A3941" s="6"/>
      <c r="B3941" s="6"/>
      <c r="C3941" s="6"/>
    </row>
    <row r="3942" s="1" customFormat="1" spans="1:3">
      <c r="A3942" s="6"/>
      <c r="B3942" s="6"/>
      <c r="C3942" s="6"/>
    </row>
    <row r="3943" s="1" customFormat="1" spans="1:3">
      <c r="A3943" s="6"/>
      <c r="B3943" s="6"/>
      <c r="C3943" s="6"/>
    </row>
    <row r="3944" s="1" customFormat="1" spans="1:3">
      <c r="A3944" s="6"/>
      <c r="B3944" s="6"/>
      <c r="C3944" s="6"/>
    </row>
    <row r="3945" s="1" customFormat="1" spans="1:3">
      <c r="A3945" s="6"/>
      <c r="B3945" s="6"/>
      <c r="C3945" s="6"/>
    </row>
    <row r="3946" s="1" customFormat="1" spans="1:3">
      <c r="A3946" s="6"/>
      <c r="B3946" s="6"/>
      <c r="C3946" s="6"/>
    </row>
    <row r="3947" s="1" customFormat="1" spans="1:3">
      <c r="A3947" s="6"/>
      <c r="B3947" s="6"/>
      <c r="C3947" s="6"/>
    </row>
    <row r="3948" s="1" customFormat="1" spans="1:3">
      <c r="A3948" s="6"/>
      <c r="B3948" s="6"/>
      <c r="C3948" s="6"/>
    </row>
    <row r="3949" s="1" customFormat="1" spans="1:3">
      <c r="A3949" s="6"/>
      <c r="B3949" s="6"/>
      <c r="C3949" s="6"/>
    </row>
    <row r="3950" s="1" customFormat="1" spans="1:3">
      <c r="A3950" s="6"/>
      <c r="B3950" s="6"/>
      <c r="C3950" s="6"/>
    </row>
    <row r="3951" s="1" customFormat="1" spans="1:3">
      <c r="A3951" s="6"/>
      <c r="B3951" s="6"/>
      <c r="C3951" s="6"/>
    </row>
    <row r="3952" s="1" customFormat="1" spans="1:3">
      <c r="A3952" s="6"/>
      <c r="B3952" s="6"/>
      <c r="C3952" s="6"/>
    </row>
    <row r="3953" s="1" customFormat="1" spans="1:3">
      <c r="A3953" s="6"/>
      <c r="B3953" s="6"/>
      <c r="C3953" s="6"/>
    </row>
    <row r="3954" s="1" customFormat="1" spans="1:3">
      <c r="A3954" s="6"/>
      <c r="B3954" s="6"/>
      <c r="C3954" s="6"/>
    </row>
    <row r="3955" s="1" customFormat="1" spans="1:3">
      <c r="A3955" s="6"/>
      <c r="B3955" s="6"/>
      <c r="C3955" s="6"/>
    </row>
    <row r="3956" s="1" customFormat="1" spans="1:3">
      <c r="A3956" s="6"/>
      <c r="B3956" s="6"/>
      <c r="C3956" s="6"/>
    </row>
    <row r="3957" s="1" customFormat="1" spans="1:3">
      <c r="A3957" s="6"/>
      <c r="B3957" s="6"/>
      <c r="C3957" s="6"/>
    </row>
    <row r="3958" s="1" customFormat="1" spans="1:3">
      <c r="A3958" s="6"/>
      <c r="B3958" s="6"/>
      <c r="C3958" s="6"/>
    </row>
    <row r="3959" s="1" customFormat="1" spans="1:3">
      <c r="A3959" s="6"/>
      <c r="B3959" s="6"/>
      <c r="C3959" s="6"/>
    </row>
    <row r="3960" s="1" customFormat="1" spans="1:3">
      <c r="A3960" s="6"/>
      <c r="B3960" s="6"/>
      <c r="C3960" s="6"/>
    </row>
    <row r="3961" s="1" customFormat="1" spans="1:3">
      <c r="A3961" s="6"/>
      <c r="B3961" s="6"/>
      <c r="C3961" s="6"/>
    </row>
    <row r="3962" s="1" customFormat="1" spans="1:3">
      <c r="A3962" s="6"/>
      <c r="B3962" s="6"/>
      <c r="C3962" s="6"/>
    </row>
    <row r="3963" s="1" customFormat="1" spans="1:3">
      <c r="A3963" s="6"/>
      <c r="B3963" s="6"/>
      <c r="C3963" s="6"/>
    </row>
    <row r="3964" s="1" customFormat="1" spans="1:3">
      <c r="A3964" s="6"/>
      <c r="B3964" s="6"/>
      <c r="C3964" s="6"/>
    </row>
    <row r="3965" s="1" customFormat="1" spans="1:3">
      <c r="A3965" s="6"/>
      <c r="B3965" s="6"/>
      <c r="C3965" s="6"/>
    </row>
    <row r="3966" s="1" customFormat="1" spans="1:3">
      <c r="A3966" s="6"/>
      <c r="B3966" s="6"/>
      <c r="C3966" s="6"/>
    </row>
    <row r="3967" s="1" customFormat="1" spans="1:3">
      <c r="A3967" s="6"/>
      <c r="B3967" s="6"/>
      <c r="C3967" s="6"/>
    </row>
    <row r="3968" s="1" customFormat="1" spans="1:3">
      <c r="A3968" s="6"/>
      <c r="B3968" s="6"/>
      <c r="C3968" s="6"/>
    </row>
    <row r="3969" s="1" customFormat="1" spans="1:3">
      <c r="A3969" s="6"/>
      <c r="B3969" s="6"/>
      <c r="C3969" s="6"/>
    </row>
    <row r="3970" s="1" customFormat="1" spans="1:3">
      <c r="A3970" s="6"/>
      <c r="B3970" s="6"/>
      <c r="C3970" s="6"/>
    </row>
    <row r="3971" s="1" customFormat="1" spans="1:3">
      <c r="A3971" s="6"/>
      <c r="B3971" s="6"/>
      <c r="C3971" s="6"/>
    </row>
    <row r="3972" s="1" customFormat="1" spans="1:3">
      <c r="A3972" s="6"/>
      <c r="B3972" s="6"/>
      <c r="C3972" s="6"/>
    </row>
    <row r="3973" s="1" customFormat="1" spans="1:3">
      <c r="A3973" s="6"/>
      <c r="B3973" s="6"/>
      <c r="C3973" s="6"/>
    </row>
    <row r="3974" s="1" customFormat="1" spans="1:3">
      <c r="A3974" s="6"/>
      <c r="B3974" s="6"/>
      <c r="C3974" s="6"/>
    </row>
    <row r="3975" s="1" customFormat="1" spans="1:3">
      <c r="A3975" s="6"/>
      <c r="B3975" s="6"/>
      <c r="C3975" s="6"/>
    </row>
    <row r="3976" s="1" customFormat="1" spans="1:3">
      <c r="A3976" s="6"/>
      <c r="B3976" s="6"/>
      <c r="C3976" s="6"/>
    </row>
    <row r="3977" s="1" customFormat="1" spans="1:3">
      <c r="A3977" s="6"/>
      <c r="B3977" s="6"/>
      <c r="C3977" s="6"/>
    </row>
    <row r="3978" s="1" customFormat="1" spans="1:3">
      <c r="A3978" s="6"/>
      <c r="B3978" s="6"/>
      <c r="C3978" s="6"/>
    </row>
    <row r="3979" s="1" customFormat="1" spans="1:3">
      <c r="A3979" s="6"/>
      <c r="B3979" s="6"/>
      <c r="C3979" s="6"/>
    </row>
    <row r="3980" s="1" customFormat="1" spans="1:3">
      <c r="A3980" s="6"/>
      <c r="B3980" s="6"/>
      <c r="C3980" s="6"/>
    </row>
    <row r="3981" s="1" customFormat="1" spans="1:3">
      <c r="A3981" s="6"/>
      <c r="B3981" s="6"/>
      <c r="C3981" s="6"/>
    </row>
    <row r="3982" s="1" customFormat="1" spans="1:3">
      <c r="A3982" s="6"/>
      <c r="B3982" s="6"/>
      <c r="C3982" s="6"/>
    </row>
    <row r="3983" s="1" customFormat="1" spans="1:3">
      <c r="A3983" s="6"/>
      <c r="B3983" s="6"/>
      <c r="C3983" s="6"/>
    </row>
    <row r="3984" s="1" customFormat="1" spans="1:3">
      <c r="A3984" s="6"/>
      <c r="B3984" s="6"/>
      <c r="C3984" s="6"/>
    </row>
    <row r="3985" s="1" customFormat="1" spans="1:3">
      <c r="A3985" s="6"/>
      <c r="B3985" s="6"/>
      <c r="C3985" s="6"/>
    </row>
    <row r="3986" s="1" customFormat="1" spans="1:3">
      <c r="A3986" s="6"/>
      <c r="B3986" s="6"/>
      <c r="C3986" s="6"/>
    </row>
    <row r="3987" s="1" customFormat="1" spans="1:3">
      <c r="A3987" s="6"/>
      <c r="B3987" s="6"/>
      <c r="C3987" s="6"/>
    </row>
    <row r="3988" s="1" customFormat="1" spans="1:3">
      <c r="A3988" s="6"/>
      <c r="B3988" s="6"/>
      <c r="C3988" s="6"/>
    </row>
    <row r="3989" s="1" customFormat="1" spans="1:3">
      <c r="A3989" s="6"/>
      <c r="B3989" s="6"/>
      <c r="C3989" s="6"/>
    </row>
    <row r="3990" s="1" customFormat="1" spans="1:3">
      <c r="A3990" s="6"/>
      <c r="B3990" s="6"/>
      <c r="C3990" s="6"/>
    </row>
    <row r="3991" s="1" customFormat="1" spans="1:3">
      <c r="A3991" s="6"/>
      <c r="B3991" s="6"/>
      <c r="C3991" s="6"/>
    </row>
    <row r="3992" s="1" customFormat="1" spans="1:3">
      <c r="A3992" s="6"/>
      <c r="B3992" s="6"/>
      <c r="C3992" s="6"/>
    </row>
    <row r="3993" s="1" customFormat="1" spans="1:3">
      <c r="A3993" s="6"/>
      <c r="B3993" s="6"/>
      <c r="C3993" s="6"/>
    </row>
    <row r="3994" s="1" customFormat="1" spans="1:3">
      <c r="A3994" s="6"/>
      <c r="B3994" s="6"/>
      <c r="C3994" s="6"/>
    </row>
    <row r="3995" s="1" customFormat="1" spans="1:3">
      <c r="A3995" s="6"/>
      <c r="B3995" s="6"/>
      <c r="C3995" s="6"/>
    </row>
    <row r="3996" s="1" customFormat="1" spans="1:3">
      <c r="A3996" s="6"/>
      <c r="B3996" s="6"/>
      <c r="C3996" s="6"/>
    </row>
    <row r="3997" s="1" customFormat="1" spans="1:3">
      <c r="A3997" s="6"/>
      <c r="B3997" s="6"/>
      <c r="C3997" s="6"/>
    </row>
    <row r="3998" s="1" customFormat="1" spans="1:3">
      <c r="A3998" s="6"/>
      <c r="B3998" s="6"/>
      <c r="C3998" s="6"/>
    </row>
    <row r="3999" s="1" customFormat="1" spans="1:3">
      <c r="A3999" s="6"/>
      <c r="B3999" s="6"/>
      <c r="C3999" s="6"/>
    </row>
    <row r="4000" s="1" customFormat="1" spans="1:3">
      <c r="A4000" s="6"/>
      <c r="B4000" s="6"/>
      <c r="C4000" s="6"/>
    </row>
    <row r="4001" s="1" customFormat="1" spans="1:3">
      <c r="A4001" s="6"/>
      <c r="B4001" s="6"/>
      <c r="C4001" s="6"/>
    </row>
    <row r="4002" s="1" customFormat="1" spans="1:3">
      <c r="A4002" s="6"/>
      <c r="B4002" s="6"/>
      <c r="C4002" s="6"/>
    </row>
    <row r="4003" s="1" customFormat="1" spans="1:3">
      <c r="A4003" s="6"/>
      <c r="B4003" s="6"/>
      <c r="C4003" s="6"/>
    </row>
    <row r="4004" s="1" customFormat="1" spans="1:3">
      <c r="A4004" s="6"/>
      <c r="B4004" s="6"/>
      <c r="C4004" s="6"/>
    </row>
    <row r="4005" s="1" customFormat="1" spans="1:3">
      <c r="A4005" s="6"/>
      <c r="B4005" s="6"/>
      <c r="C4005" s="6"/>
    </row>
    <row r="4006" s="1" customFormat="1" spans="1:3">
      <c r="A4006" s="6"/>
      <c r="B4006" s="6"/>
      <c r="C4006" s="6"/>
    </row>
    <row r="4007" s="1" customFormat="1" spans="1:3">
      <c r="A4007" s="6"/>
      <c r="B4007" s="6"/>
      <c r="C4007" s="6"/>
    </row>
    <row r="4008" s="1" customFormat="1" spans="1:3">
      <c r="A4008" s="6"/>
      <c r="B4008" s="6"/>
      <c r="C4008" s="6"/>
    </row>
    <row r="4009" s="1" customFormat="1" spans="1:3">
      <c r="A4009" s="6"/>
      <c r="B4009" s="6"/>
      <c r="C4009" s="6"/>
    </row>
    <row r="4010" s="1" customFormat="1" spans="1:3">
      <c r="A4010" s="6"/>
      <c r="B4010" s="6"/>
      <c r="C4010" s="6"/>
    </row>
    <row r="4011" s="1" customFormat="1" spans="1:3">
      <c r="A4011" s="6"/>
      <c r="B4011" s="6"/>
      <c r="C4011" s="6"/>
    </row>
    <row r="4012" s="1" customFormat="1" spans="1:3">
      <c r="A4012" s="6"/>
      <c r="B4012" s="6"/>
      <c r="C4012" s="6"/>
    </row>
    <row r="4013" s="1" customFormat="1" spans="1:3">
      <c r="A4013" s="6"/>
      <c r="B4013" s="6"/>
      <c r="C4013" s="6"/>
    </row>
    <row r="4014" s="1" customFormat="1" spans="1:3">
      <c r="A4014" s="6"/>
      <c r="B4014" s="6"/>
      <c r="C4014" s="6"/>
    </row>
    <row r="4015" s="1" customFormat="1" spans="1:3">
      <c r="A4015" s="6"/>
      <c r="B4015" s="6"/>
      <c r="C4015" s="6"/>
    </row>
    <row r="4016" s="1" customFormat="1" spans="1:3">
      <c r="A4016" s="6"/>
      <c r="B4016" s="6"/>
      <c r="C4016" s="6"/>
    </row>
    <row r="4017" s="1" customFormat="1" spans="1:3">
      <c r="A4017" s="6"/>
      <c r="B4017" s="6"/>
      <c r="C4017" s="6"/>
    </row>
    <row r="4018" s="1" customFormat="1" spans="1:3">
      <c r="A4018" s="6"/>
      <c r="B4018" s="6"/>
      <c r="C4018" s="6"/>
    </row>
    <row r="4019" s="1" customFormat="1" spans="1:3">
      <c r="A4019" s="6"/>
      <c r="B4019" s="6"/>
      <c r="C4019" s="6"/>
    </row>
    <row r="4020" s="1" customFormat="1" spans="1:3">
      <c r="A4020" s="6"/>
      <c r="B4020" s="6"/>
      <c r="C4020" s="6"/>
    </row>
    <row r="4021" s="1" customFormat="1" spans="1:3">
      <c r="A4021" s="6"/>
      <c r="B4021" s="6"/>
      <c r="C4021" s="6"/>
    </row>
    <row r="4022" s="1" customFormat="1" spans="1:3">
      <c r="A4022" s="6"/>
      <c r="B4022" s="6"/>
      <c r="C4022" s="6"/>
    </row>
    <row r="4023" s="1" customFormat="1" spans="1:3">
      <c r="A4023" s="6"/>
      <c r="B4023" s="6"/>
      <c r="C4023" s="6"/>
    </row>
    <row r="4024" s="1" customFormat="1" spans="1:3">
      <c r="A4024" s="6"/>
      <c r="B4024" s="6"/>
      <c r="C4024" s="6"/>
    </row>
    <row r="4025" s="1" customFormat="1" spans="1:3">
      <c r="A4025" s="6"/>
      <c r="B4025" s="6"/>
      <c r="C4025" s="6"/>
    </row>
    <row r="4026" s="1" customFormat="1" spans="1:3">
      <c r="A4026" s="6"/>
      <c r="B4026" s="6"/>
      <c r="C4026" s="6"/>
    </row>
    <row r="4027" s="1" customFormat="1" spans="1:3">
      <c r="A4027" s="6"/>
      <c r="B4027" s="6"/>
      <c r="C4027" s="6"/>
    </row>
    <row r="4028" s="1" customFormat="1" spans="1:3">
      <c r="A4028" s="6"/>
      <c r="B4028" s="6"/>
      <c r="C4028" s="6"/>
    </row>
    <row r="4029" s="1" customFormat="1" spans="1:3">
      <c r="A4029" s="6"/>
      <c r="B4029" s="6"/>
      <c r="C4029" s="6"/>
    </row>
    <row r="4030" s="1" customFormat="1" spans="1:3">
      <c r="A4030" s="6"/>
      <c r="B4030" s="6"/>
      <c r="C4030" s="6"/>
    </row>
    <row r="4031" s="1" customFormat="1" spans="1:3">
      <c r="A4031" s="6"/>
      <c r="B4031" s="6"/>
      <c r="C4031" s="6"/>
    </row>
    <row r="4032" s="1" customFormat="1" spans="1:3">
      <c r="A4032" s="6"/>
      <c r="B4032" s="6"/>
      <c r="C4032" s="6"/>
    </row>
    <row r="4033" s="1" customFormat="1" spans="1:3">
      <c r="A4033" s="6"/>
      <c r="B4033" s="6"/>
      <c r="C4033" s="6"/>
    </row>
    <row r="4034" s="1" customFormat="1" spans="1:3">
      <c r="A4034" s="6"/>
      <c r="B4034" s="6"/>
      <c r="C4034" s="6"/>
    </row>
    <row r="4035" s="1" customFormat="1" spans="1:3">
      <c r="A4035" s="6"/>
      <c r="B4035" s="6"/>
      <c r="C4035" s="6"/>
    </row>
    <row r="4036" s="1" customFormat="1" spans="1:3">
      <c r="A4036" s="6"/>
      <c r="B4036" s="6"/>
      <c r="C4036" s="6"/>
    </row>
    <row r="4037" s="1" customFormat="1" spans="1:3">
      <c r="A4037" s="6"/>
      <c r="B4037" s="6"/>
      <c r="C4037" s="6"/>
    </row>
    <row r="4038" s="1" customFormat="1" spans="1:3">
      <c r="A4038" s="6"/>
      <c r="B4038" s="6"/>
      <c r="C4038" s="6"/>
    </row>
    <row r="4039" s="1" customFormat="1" spans="1:3">
      <c r="A4039" s="6"/>
      <c r="B4039" s="6"/>
      <c r="C4039" s="6"/>
    </row>
    <row r="4040" s="1" customFormat="1" spans="1:3">
      <c r="A4040" s="6"/>
      <c r="B4040" s="6"/>
      <c r="C4040" s="6"/>
    </row>
    <row r="4041" s="1" customFormat="1" spans="1:3">
      <c r="A4041" s="6"/>
      <c r="B4041" s="6"/>
      <c r="C4041" s="6"/>
    </row>
    <row r="4042" s="1" customFormat="1" spans="1:3">
      <c r="A4042" s="6"/>
      <c r="B4042" s="6"/>
      <c r="C4042" s="6"/>
    </row>
    <row r="4043" s="1" customFormat="1" spans="1:3">
      <c r="A4043" s="6"/>
      <c r="B4043" s="6"/>
      <c r="C4043" s="6"/>
    </row>
    <row r="4044" s="1" customFormat="1" spans="1:3">
      <c r="A4044" s="6"/>
      <c r="B4044" s="6"/>
      <c r="C4044" s="6"/>
    </row>
    <row r="4045" s="1" customFormat="1" spans="1:3">
      <c r="A4045" s="6"/>
      <c r="B4045" s="6"/>
      <c r="C4045" s="6"/>
    </row>
    <row r="4046" s="1" customFormat="1" spans="1:3">
      <c r="A4046" s="6"/>
      <c r="B4046" s="6"/>
      <c r="C4046" s="6"/>
    </row>
    <row r="4047" s="1" customFormat="1" spans="1:3">
      <c r="A4047" s="6"/>
      <c r="B4047" s="6"/>
      <c r="C4047" s="6"/>
    </row>
    <row r="4048" s="1" customFormat="1" spans="1:3">
      <c r="A4048" s="6"/>
      <c r="B4048" s="6"/>
      <c r="C4048" s="6"/>
    </row>
    <row r="4049" s="1" customFormat="1" spans="1:3">
      <c r="A4049" s="6"/>
      <c r="B4049" s="6"/>
      <c r="C4049" s="6"/>
    </row>
    <row r="4050" s="1" customFormat="1" spans="1:3">
      <c r="A4050" s="6"/>
      <c r="B4050" s="6"/>
      <c r="C4050" s="6"/>
    </row>
    <row r="4051" s="1" customFormat="1" spans="1:3">
      <c r="A4051" s="6"/>
      <c r="B4051" s="6"/>
      <c r="C4051" s="6"/>
    </row>
    <row r="4052" s="1" customFormat="1" spans="1:3">
      <c r="A4052" s="6"/>
      <c r="B4052" s="6"/>
      <c r="C4052" s="6"/>
    </row>
    <row r="4053" s="1" customFormat="1" spans="1:3">
      <c r="A4053" s="6"/>
      <c r="B4053" s="6"/>
      <c r="C4053" s="6"/>
    </row>
    <row r="4054" s="1" customFormat="1" spans="1:3">
      <c r="A4054" s="6"/>
      <c r="B4054" s="6"/>
      <c r="C4054" s="6"/>
    </row>
    <row r="4055" s="1" customFormat="1" spans="1:3">
      <c r="A4055" s="6"/>
      <c r="B4055" s="6"/>
      <c r="C4055" s="6"/>
    </row>
    <row r="4056" s="1" customFormat="1" spans="1:3">
      <c r="A4056" s="6"/>
      <c r="B4056" s="6"/>
      <c r="C4056" s="6"/>
    </row>
    <row r="4057" s="1" customFormat="1" spans="1:3">
      <c r="A4057" s="6"/>
      <c r="B4057" s="6"/>
      <c r="C4057" s="6"/>
    </row>
    <row r="4058" s="1" customFormat="1" spans="1:3">
      <c r="A4058" s="6"/>
      <c r="B4058" s="6"/>
      <c r="C4058" s="6"/>
    </row>
    <row r="4059" s="1" customFormat="1" spans="1:3">
      <c r="A4059" s="6"/>
      <c r="B4059" s="6"/>
      <c r="C4059" s="6"/>
    </row>
    <row r="4060" s="1" customFormat="1" spans="1:3">
      <c r="A4060" s="6"/>
      <c r="B4060" s="6"/>
      <c r="C4060" s="6"/>
    </row>
    <row r="4061" s="1" customFormat="1" spans="1:3">
      <c r="A4061" s="6"/>
      <c r="B4061" s="6"/>
      <c r="C4061" s="6"/>
    </row>
    <row r="4062" s="1" customFormat="1" spans="1:3">
      <c r="A4062" s="6"/>
      <c r="B4062" s="6"/>
      <c r="C4062" s="6"/>
    </row>
    <row r="4063" s="1" customFormat="1" spans="1:3">
      <c r="A4063" s="6"/>
      <c r="B4063" s="6"/>
      <c r="C4063" s="6"/>
    </row>
    <row r="4064" s="1" customFormat="1" spans="1:3">
      <c r="A4064" s="6"/>
      <c r="B4064" s="6"/>
      <c r="C4064" s="6"/>
    </row>
    <row r="4065" s="1" customFormat="1" spans="1:3">
      <c r="A4065" s="6"/>
      <c r="B4065" s="6"/>
      <c r="C4065" s="6"/>
    </row>
    <row r="4066" s="1" customFormat="1" spans="1:3">
      <c r="A4066" s="6"/>
      <c r="B4066" s="6"/>
      <c r="C4066" s="6"/>
    </row>
    <row r="4067" s="1" customFormat="1" spans="1:3">
      <c r="A4067" s="6"/>
      <c r="B4067" s="6"/>
      <c r="C4067" s="6"/>
    </row>
    <row r="4068" s="1" customFormat="1" spans="1:3">
      <c r="A4068" s="6"/>
      <c r="B4068" s="6"/>
      <c r="C4068" s="6"/>
    </row>
    <row r="4069" s="1" customFormat="1" spans="1:3">
      <c r="A4069" s="6"/>
      <c r="B4069" s="6"/>
      <c r="C4069" s="6"/>
    </row>
    <row r="4070" s="1" customFormat="1" spans="1:3">
      <c r="A4070" s="6"/>
      <c r="B4070" s="6"/>
      <c r="C4070" s="6"/>
    </row>
    <row r="4071" s="1" customFormat="1" spans="1:3">
      <c r="A4071" s="6"/>
      <c r="B4071" s="6"/>
      <c r="C4071" s="6"/>
    </row>
    <row r="4072" s="1" customFormat="1" spans="1:3">
      <c r="A4072" s="6"/>
      <c r="B4072" s="6"/>
      <c r="C4072" s="6"/>
    </row>
    <row r="4073" s="1" customFormat="1" spans="1:3">
      <c r="A4073" s="6"/>
      <c r="B4073" s="6"/>
      <c r="C4073" s="6"/>
    </row>
    <row r="4074" s="1" customFormat="1" spans="1:3">
      <c r="A4074" s="6"/>
      <c r="B4074" s="6"/>
      <c r="C4074" s="6"/>
    </row>
    <row r="4075" s="1" customFormat="1" spans="1:3">
      <c r="A4075" s="6"/>
      <c r="B4075" s="6"/>
      <c r="C4075" s="6"/>
    </row>
    <row r="4076" s="1" customFormat="1" spans="1:3">
      <c r="A4076" s="6"/>
      <c r="B4076" s="6"/>
      <c r="C4076" s="6"/>
    </row>
    <row r="4077" s="1" customFormat="1" spans="1:3">
      <c r="A4077" s="6"/>
      <c r="B4077" s="6"/>
      <c r="C4077" s="6"/>
    </row>
    <row r="4078" s="1" customFormat="1" spans="1:3">
      <c r="A4078" s="6"/>
      <c r="B4078" s="6"/>
      <c r="C4078" s="6"/>
    </row>
    <row r="4079" s="1" customFormat="1" spans="1:3">
      <c r="A4079" s="6"/>
      <c r="B4079" s="6"/>
      <c r="C4079" s="6"/>
    </row>
    <row r="4080" s="1" customFormat="1" spans="1:3">
      <c r="A4080" s="6"/>
      <c r="B4080" s="6"/>
      <c r="C4080" s="6"/>
    </row>
    <row r="4081" s="1" customFormat="1" spans="1:3">
      <c r="A4081" s="6"/>
      <c r="B4081" s="6"/>
      <c r="C4081" s="6"/>
    </row>
    <row r="4082" s="1" customFormat="1" spans="1:3">
      <c r="A4082" s="6"/>
      <c r="B4082" s="6"/>
      <c r="C4082" s="6"/>
    </row>
    <row r="4083" s="1" customFormat="1" spans="1:3">
      <c r="A4083" s="6"/>
      <c r="B4083" s="6"/>
      <c r="C4083" s="6"/>
    </row>
    <row r="4084" s="1" customFormat="1" spans="1:3">
      <c r="A4084" s="6"/>
      <c r="B4084" s="6"/>
      <c r="C4084" s="6"/>
    </row>
    <row r="4085" s="1" customFormat="1" spans="1:3">
      <c r="A4085" s="6"/>
      <c r="B4085" s="6"/>
      <c r="C4085" s="6"/>
    </row>
    <row r="4086" s="1" customFormat="1" spans="1:3">
      <c r="A4086" s="6"/>
      <c r="B4086" s="6"/>
      <c r="C4086" s="6"/>
    </row>
    <row r="4087" s="1" customFormat="1" spans="1:3">
      <c r="A4087" s="6"/>
      <c r="B4087" s="6"/>
      <c r="C4087" s="6"/>
    </row>
    <row r="4088" s="1" customFormat="1" spans="1:3">
      <c r="A4088" s="6"/>
      <c r="B4088" s="6"/>
      <c r="C4088" s="6"/>
    </row>
    <row r="4089" s="1" customFormat="1" spans="1:3">
      <c r="A4089" s="6"/>
      <c r="B4089" s="6"/>
      <c r="C4089" s="6"/>
    </row>
    <row r="4090" s="1" customFormat="1" spans="1:3">
      <c r="A4090" s="6"/>
      <c r="B4090" s="6"/>
      <c r="C4090" s="6"/>
    </row>
    <row r="4091" s="1" customFormat="1" spans="1:3">
      <c r="A4091" s="6"/>
      <c r="B4091" s="6"/>
      <c r="C4091" s="6"/>
    </row>
    <row r="4092" s="1" customFormat="1" spans="1:3">
      <c r="A4092" s="6"/>
      <c r="B4092" s="6"/>
      <c r="C4092" s="6"/>
    </row>
    <row r="4093" s="1" customFormat="1" spans="1:3">
      <c r="A4093" s="6"/>
      <c r="B4093" s="6"/>
      <c r="C4093" s="6"/>
    </row>
    <row r="4094" s="1" customFormat="1" spans="1:3">
      <c r="A4094" s="6"/>
      <c r="B4094" s="6"/>
      <c r="C4094" s="6"/>
    </row>
    <row r="4095" s="1" customFormat="1" spans="1:3">
      <c r="A4095" s="6"/>
      <c r="B4095" s="6"/>
      <c r="C4095" s="6"/>
    </row>
    <row r="4096" s="1" customFormat="1" spans="1:3">
      <c r="A4096" s="6"/>
      <c r="B4096" s="6"/>
      <c r="C4096" s="6"/>
    </row>
    <row r="4097" s="1" customFormat="1" spans="1:3">
      <c r="A4097" s="6"/>
      <c r="B4097" s="6"/>
      <c r="C4097" s="6"/>
    </row>
    <row r="4098" s="1" customFormat="1" spans="1:3">
      <c r="A4098" s="6"/>
      <c r="B4098" s="6"/>
      <c r="C4098" s="6"/>
    </row>
    <row r="4099" s="1" customFormat="1" spans="1:3">
      <c r="A4099" s="6"/>
      <c r="B4099" s="6"/>
      <c r="C4099" s="6"/>
    </row>
    <row r="4100" s="1" customFormat="1" spans="1:3">
      <c r="A4100" s="6"/>
      <c r="B4100" s="6"/>
      <c r="C4100" s="6"/>
    </row>
    <row r="4101" s="1" customFormat="1" spans="1:3">
      <c r="A4101" s="6"/>
      <c r="B4101" s="6"/>
      <c r="C4101" s="6"/>
    </row>
    <row r="4102" s="1" customFormat="1" spans="1:3">
      <c r="A4102" s="6"/>
      <c r="B4102" s="6"/>
      <c r="C4102" s="6"/>
    </row>
    <row r="4103" s="1" customFormat="1" spans="1:3">
      <c r="A4103" s="6"/>
      <c r="B4103" s="6"/>
      <c r="C4103" s="6"/>
    </row>
    <row r="4104" s="1" customFormat="1" spans="1:3">
      <c r="A4104" s="6"/>
      <c r="B4104" s="6"/>
      <c r="C4104" s="6"/>
    </row>
    <row r="4105" s="1" customFormat="1" spans="1:3">
      <c r="A4105" s="6"/>
      <c r="B4105" s="6"/>
      <c r="C4105" s="6"/>
    </row>
    <row r="4106" s="1" customFormat="1" spans="1:3">
      <c r="A4106" s="6"/>
      <c r="B4106" s="6"/>
      <c r="C4106" s="6"/>
    </row>
    <row r="4107" s="1" customFormat="1" spans="1:3">
      <c r="A4107" s="6"/>
      <c r="B4107" s="6"/>
      <c r="C4107" s="6"/>
    </row>
    <row r="4108" s="1" customFormat="1" spans="1:3">
      <c r="A4108" s="6"/>
      <c r="B4108" s="6"/>
      <c r="C4108" s="6"/>
    </row>
    <row r="4109" s="1" customFormat="1" spans="1:3">
      <c r="A4109" s="6"/>
      <c r="B4109" s="6"/>
      <c r="C4109" s="6"/>
    </row>
    <row r="4110" s="1" customFormat="1" spans="1:3">
      <c r="A4110" s="6"/>
      <c r="B4110" s="6"/>
      <c r="C4110" s="6"/>
    </row>
    <row r="4111" s="1" customFormat="1" spans="1:3">
      <c r="A4111" s="6"/>
      <c r="B4111" s="6"/>
      <c r="C4111" s="6"/>
    </row>
    <row r="4112" s="1" customFormat="1" spans="1:3">
      <c r="A4112" s="6"/>
      <c r="B4112" s="6"/>
      <c r="C4112" s="6"/>
    </row>
    <row r="4113" s="1" customFormat="1" spans="1:3">
      <c r="A4113" s="6"/>
      <c r="B4113" s="6"/>
      <c r="C4113" s="6"/>
    </row>
    <row r="4114" s="1" customFormat="1" spans="1:3">
      <c r="A4114" s="6"/>
      <c r="B4114" s="6"/>
      <c r="C4114" s="6"/>
    </row>
    <row r="4115" s="1" customFormat="1" spans="1:3">
      <c r="A4115" s="6"/>
      <c r="B4115" s="6"/>
      <c r="C4115" s="6"/>
    </row>
    <row r="4116" s="1" customFormat="1" spans="1:3">
      <c r="A4116" s="6"/>
      <c r="B4116" s="6"/>
      <c r="C4116" s="6"/>
    </row>
    <row r="4117" s="1" customFormat="1" spans="1:3">
      <c r="A4117" s="6"/>
      <c r="B4117" s="6"/>
      <c r="C4117" s="6"/>
    </row>
    <row r="4118" s="1" customFormat="1" spans="1:3">
      <c r="A4118" s="6"/>
      <c r="B4118" s="6"/>
      <c r="C4118" s="6"/>
    </row>
    <row r="4119" s="1" customFormat="1" spans="1:3">
      <c r="A4119" s="6"/>
      <c r="B4119" s="6"/>
      <c r="C4119" s="6"/>
    </row>
    <row r="4120" s="1" customFormat="1" spans="1:3">
      <c r="A4120" s="6"/>
      <c r="B4120" s="6"/>
      <c r="C4120" s="6"/>
    </row>
    <row r="4121" s="1" customFormat="1" spans="1:3">
      <c r="A4121" s="6"/>
      <c r="B4121" s="6"/>
      <c r="C4121" s="6"/>
    </row>
    <row r="4122" s="1" customFormat="1" spans="1:3">
      <c r="A4122" s="6"/>
      <c r="B4122" s="6"/>
      <c r="C4122" s="6"/>
    </row>
    <row r="4123" s="1" customFormat="1" spans="1:3">
      <c r="A4123" s="6"/>
      <c r="B4123" s="6"/>
      <c r="C4123" s="6"/>
    </row>
    <row r="4124" s="1" customFormat="1" spans="1:3">
      <c r="A4124" s="6"/>
      <c r="B4124" s="6"/>
      <c r="C4124" s="6"/>
    </row>
    <row r="4125" s="1" customFormat="1" spans="1:3">
      <c r="A4125" s="6"/>
      <c r="B4125" s="6"/>
      <c r="C4125" s="6"/>
    </row>
    <row r="4126" s="1" customFormat="1" spans="1:3">
      <c r="A4126" s="6"/>
      <c r="B4126" s="6"/>
      <c r="C4126" s="6"/>
    </row>
    <row r="4127" s="1" customFormat="1" spans="1:3">
      <c r="A4127" s="6"/>
      <c r="B4127" s="6"/>
      <c r="C4127" s="6"/>
    </row>
    <row r="4128" s="1" customFormat="1" spans="1:3">
      <c r="A4128" s="6"/>
      <c r="B4128" s="6"/>
      <c r="C4128" s="6"/>
    </row>
    <row r="4129" s="1" customFormat="1" spans="1:3">
      <c r="A4129" s="6"/>
      <c r="B4129" s="6"/>
      <c r="C4129" s="6"/>
    </row>
    <row r="4130" s="1" customFormat="1" spans="1:3">
      <c r="A4130" s="6"/>
      <c r="B4130" s="6"/>
      <c r="C4130" s="6"/>
    </row>
    <row r="4131" s="1" customFormat="1" spans="1:3">
      <c r="A4131" s="6"/>
      <c r="B4131" s="6"/>
      <c r="C4131" s="6"/>
    </row>
    <row r="4132" s="1" customFormat="1" spans="1:3">
      <c r="A4132" s="6"/>
      <c r="B4132" s="6"/>
      <c r="C4132" s="6"/>
    </row>
    <row r="4133" s="1" customFormat="1" spans="1:3">
      <c r="A4133" s="6"/>
      <c r="B4133" s="6"/>
      <c r="C4133" s="6"/>
    </row>
    <row r="4134" s="1" customFormat="1" spans="1:3">
      <c r="A4134" s="6"/>
      <c r="B4134" s="6"/>
      <c r="C4134" s="6"/>
    </row>
    <row r="4135" s="1" customFormat="1" spans="1:3">
      <c r="A4135" s="6"/>
      <c r="B4135" s="6"/>
      <c r="C4135" s="6"/>
    </row>
    <row r="4136" s="1" customFormat="1" spans="1:3">
      <c r="A4136" s="6"/>
      <c r="B4136" s="6"/>
      <c r="C4136" s="6"/>
    </row>
    <row r="4137" s="1" customFormat="1" spans="1:3">
      <c r="A4137" s="6"/>
      <c r="B4137" s="6"/>
      <c r="C4137" s="6"/>
    </row>
    <row r="4138" s="1" customFormat="1" spans="1:3">
      <c r="A4138" s="6"/>
      <c r="B4138" s="6"/>
      <c r="C4138" s="6"/>
    </row>
    <row r="4139" s="1" customFormat="1" spans="1:3">
      <c r="A4139" s="6"/>
      <c r="B4139" s="6"/>
      <c r="C4139" s="6"/>
    </row>
    <row r="4140" s="1" customFormat="1" spans="1:3">
      <c r="A4140" s="6"/>
      <c r="B4140" s="6"/>
      <c r="C4140" s="6"/>
    </row>
    <row r="4141" s="1" customFormat="1" spans="1:3">
      <c r="A4141" s="6"/>
      <c r="B4141" s="6"/>
      <c r="C4141" s="6"/>
    </row>
    <row r="4142" s="1" customFormat="1" spans="1:3">
      <c r="A4142" s="6"/>
      <c r="B4142" s="6"/>
      <c r="C4142" s="6"/>
    </row>
    <row r="4143" s="1" customFormat="1" spans="1:3">
      <c r="A4143" s="6"/>
      <c r="B4143" s="6"/>
      <c r="C4143" s="6"/>
    </row>
    <row r="4144" s="1" customFormat="1" spans="1:3">
      <c r="A4144" s="6"/>
      <c r="B4144" s="6"/>
      <c r="C4144" s="6"/>
    </row>
    <row r="4145" s="1" customFormat="1" spans="1:3">
      <c r="A4145" s="6"/>
      <c r="B4145" s="6"/>
      <c r="C4145" s="6"/>
    </row>
    <row r="4146" s="1" customFormat="1" spans="1:3">
      <c r="A4146" s="6"/>
      <c r="B4146" s="6"/>
      <c r="C4146" s="6"/>
    </row>
    <row r="4147" s="1" customFormat="1" spans="1:3">
      <c r="A4147" s="6"/>
      <c r="B4147" s="6"/>
      <c r="C4147" s="6"/>
    </row>
    <row r="4148" s="1" customFormat="1" spans="1:3">
      <c r="A4148" s="6"/>
      <c r="B4148" s="6"/>
      <c r="C4148" s="6"/>
    </row>
    <row r="4149" s="1" customFormat="1" spans="1:3">
      <c r="A4149" s="6"/>
      <c r="B4149" s="6"/>
      <c r="C4149" s="6"/>
    </row>
    <row r="4150" s="1" customFormat="1" spans="1:3">
      <c r="A4150" s="6"/>
      <c r="B4150" s="6"/>
      <c r="C4150" s="6"/>
    </row>
    <row r="4151" s="1" customFormat="1" spans="1:3">
      <c r="A4151" s="6"/>
      <c r="B4151" s="6"/>
      <c r="C4151" s="6"/>
    </row>
    <row r="4152" s="1" customFormat="1" spans="1:3">
      <c r="A4152" s="6"/>
      <c r="B4152" s="6"/>
      <c r="C4152" s="6"/>
    </row>
    <row r="4153" s="1" customFormat="1" spans="1:3">
      <c r="A4153" s="6"/>
      <c r="B4153" s="6"/>
      <c r="C4153" s="6"/>
    </row>
    <row r="4154" s="1" customFormat="1" spans="1:3">
      <c r="A4154" s="6"/>
      <c r="B4154" s="6"/>
      <c r="C4154" s="6"/>
    </row>
    <row r="4155" s="1" customFormat="1" spans="1:3">
      <c r="A4155" s="6"/>
      <c r="B4155" s="6"/>
      <c r="C4155" s="6"/>
    </row>
    <row r="4156" s="1" customFormat="1" spans="1:3">
      <c r="A4156" s="6"/>
      <c r="B4156" s="6"/>
      <c r="C4156" s="6"/>
    </row>
    <row r="4157" s="1" customFormat="1" spans="1:3">
      <c r="A4157" s="6"/>
      <c r="B4157" s="6"/>
      <c r="C4157" s="6"/>
    </row>
    <row r="4158" s="1" customFormat="1" spans="1:3">
      <c r="A4158" s="6"/>
      <c r="B4158" s="6"/>
      <c r="C4158" s="6"/>
    </row>
    <row r="4159" s="1" customFormat="1" spans="1:3">
      <c r="A4159" s="6"/>
      <c r="B4159" s="6"/>
      <c r="C4159" s="6"/>
    </row>
    <row r="4160" s="1" customFormat="1" spans="1:3">
      <c r="A4160" s="6"/>
      <c r="B4160" s="6"/>
      <c r="C4160" s="6"/>
    </row>
    <row r="4161" s="1" customFormat="1" spans="1:3">
      <c r="A4161" s="6"/>
      <c r="B4161" s="6"/>
      <c r="C4161" s="6"/>
    </row>
    <row r="4162" s="1" customFormat="1" spans="1:3">
      <c r="A4162" s="6"/>
      <c r="B4162" s="6"/>
      <c r="C4162" s="6"/>
    </row>
    <row r="4163" s="1" customFormat="1" spans="1:3">
      <c r="A4163" s="6"/>
      <c r="B4163" s="6"/>
      <c r="C4163" s="6"/>
    </row>
    <row r="4164" s="1" customFormat="1" spans="1:3">
      <c r="A4164" s="6"/>
      <c r="B4164" s="6"/>
      <c r="C4164" s="6"/>
    </row>
    <row r="4165" s="1" customFormat="1" spans="1:3">
      <c r="A4165" s="6"/>
      <c r="B4165" s="6"/>
      <c r="C4165" s="6"/>
    </row>
    <row r="4166" s="1" customFormat="1" spans="1:3">
      <c r="A4166" s="6"/>
      <c r="B4166" s="6"/>
      <c r="C4166" s="6"/>
    </row>
    <row r="4167" s="1" customFormat="1" spans="1:3">
      <c r="A4167" s="6"/>
      <c r="B4167" s="6"/>
      <c r="C4167" s="6"/>
    </row>
    <row r="4168" s="1" customFormat="1" spans="1:3">
      <c r="A4168" s="6"/>
      <c r="B4168" s="6"/>
      <c r="C4168" s="6"/>
    </row>
    <row r="4169" s="1" customFormat="1" spans="1:3">
      <c r="A4169" s="6"/>
      <c r="B4169" s="6"/>
      <c r="C4169" s="6"/>
    </row>
    <row r="4170" s="1" customFormat="1" spans="1:3">
      <c r="A4170" s="6"/>
      <c r="B4170" s="6"/>
      <c r="C4170" s="6"/>
    </row>
    <row r="4171" s="1" customFormat="1" spans="1:3">
      <c r="A4171" s="6"/>
      <c r="B4171" s="6"/>
      <c r="C4171" s="6"/>
    </row>
    <row r="4172" s="1" customFormat="1" spans="1:3">
      <c r="A4172" s="6"/>
      <c r="B4172" s="6"/>
      <c r="C4172" s="6"/>
    </row>
    <row r="4173" s="1" customFormat="1" spans="1:3">
      <c r="A4173" s="6"/>
      <c r="B4173" s="6"/>
      <c r="C4173" s="6"/>
    </row>
    <row r="4174" s="1" customFormat="1" spans="1:3">
      <c r="A4174" s="6"/>
      <c r="B4174" s="6"/>
      <c r="C4174" s="6"/>
    </row>
    <row r="4175" s="1" customFormat="1" spans="1:3">
      <c r="A4175" s="6"/>
      <c r="B4175" s="6"/>
      <c r="C4175" s="6"/>
    </row>
    <row r="4176" s="1" customFormat="1" spans="1:3">
      <c r="A4176" s="6"/>
      <c r="B4176" s="6"/>
      <c r="C4176" s="6"/>
    </row>
    <row r="4177" s="1" customFormat="1" spans="1:3">
      <c r="A4177" s="6"/>
      <c r="B4177" s="6"/>
      <c r="C4177" s="6"/>
    </row>
    <row r="4178" s="1" customFormat="1" spans="1:3">
      <c r="A4178" s="6"/>
      <c r="B4178" s="6"/>
      <c r="C4178" s="6"/>
    </row>
    <row r="4179" s="1" customFormat="1" spans="1:3">
      <c r="A4179" s="6"/>
      <c r="B4179" s="6"/>
      <c r="C4179" s="6"/>
    </row>
    <row r="4180" s="1" customFormat="1" spans="1:3">
      <c r="A4180" s="6"/>
      <c r="B4180" s="6"/>
      <c r="C4180" s="6"/>
    </row>
    <row r="4181" s="1" customFormat="1" spans="1:3">
      <c r="A4181" s="6"/>
      <c r="B4181" s="6"/>
      <c r="C4181" s="6"/>
    </row>
    <row r="4182" s="1" customFormat="1" spans="1:3">
      <c r="A4182" s="6"/>
      <c r="B4182" s="6"/>
      <c r="C4182" s="6"/>
    </row>
    <row r="4183" s="1" customFormat="1" spans="1:3">
      <c r="A4183" s="6"/>
      <c r="B4183" s="6"/>
      <c r="C4183" s="6"/>
    </row>
    <row r="4184" s="1" customFormat="1" spans="1:3">
      <c r="A4184" s="6"/>
      <c r="B4184" s="6"/>
      <c r="C4184" s="6"/>
    </row>
    <row r="4185" s="1" customFormat="1" spans="1:3">
      <c r="A4185" s="6"/>
      <c r="B4185" s="6"/>
      <c r="C4185" s="6"/>
    </row>
    <row r="4186" s="1" customFormat="1" spans="1:3">
      <c r="A4186" s="6"/>
      <c r="B4186" s="6"/>
      <c r="C4186" s="6"/>
    </row>
    <row r="4187" s="1" customFormat="1" spans="1:3">
      <c r="A4187" s="6"/>
      <c r="B4187" s="6"/>
      <c r="C4187" s="6"/>
    </row>
    <row r="4188" s="1" customFormat="1" spans="1:3">
      <c r="A4188" s="6"/>
      <c r="B4188" s="6"/>
      <c r="C4188" s="6"/>
    </row>
    <row r="4189" s="1" customFormat="1" spans="1:3">
      <c r="A4189" s="6"/>
      <c r="B4189" s="6"/>
      <c r="C4189" s="6"/>
    </row>
    <row r="4190" s="1" customFormat="1" spans="1:3">
      <c r="A4190" s="6"/>
      <c r="B4190" s="6"/>
      <c r="C4190" s="6"/>
    </row>
    <row r="4191" s="1" customFormat="1" spans="1:3">
      <c r="A4191" s="6"/>
      <c r="B4191" s="6"/>
      <c r="C4191" s="6"/>
    </row>
    <row r="4192" s="1" customFormat="1" spans="1:3">
      <c r="A4192" s="6"/>
      <c r="B4192" s="6"/>
      <c r="C4192" s="6"/>
    </row>
    <row r="4193" s="1" customFormat="1" spans="1:3">
      <c r="A4193" s="6"/>
      <c r="B4193" s="6"/>
      <c r="C4193" s="6"/>
    </row>
    <row r="4194" s="1" customFormat="1" spans="1:3">
      <c r="A4194" s="6"/>
      <c r="B4194" s="6"/>
      <c r="C4194" s="6"/>
    </row>
    <row r="4195" s="1" customFormat="1" spans="1:3">
      <c r="A4195" s="6"/>
      <c r="B4195" s="6"/>
      <c r="C4195" s="6"/>
    </row>
    <row r="4196" s="1" customFormat="1" spans="1:3">
      <c r="A4196" s="6"/>
      <c r="B4196" s="6"/>
      <c r="C4196" s="6"/>
    </row>
    <row r="4197" s="1" customFormat="1" spans="1:3">
      <c r="A4197" s="6"/>
      <c r="B4197" s="6"/>
      <c r="C4197" s="6"/>
    </row>
    <row r="4198" s="1" customFormat="1" spans="1:3">
      <c r="A4198" s="6"/>
      <c r="B4198" s="6"/>
      <c r="C4198" s="6"/>
    </row>
    <row r="4199" s="1" customFormat="1" spans="1:3">
      <c r="A4199" s="6"/>
      <c r="B4199" s="6"/>
      <c r="C4199" s="6"/>
    </row>
    <row r="4200" s="1" customFormat="1" spans="1:3">
      <c r="A4200" s="6"/>
      <c r="B4200" s="6"/>
      <c r="C4200" s="6"/>
    </row>
    <row r="4201" s="1" customFormat="1" spans="1:3">
      <c r="A4201" s="6"/>
      <c r="B4201" s="6"/>
      <c r="C4201" s="6"/>
    </row>
    <row r="4202" s="1" customFormat="1" spans="1:3">
      <c r="A4202" s="6"/>
      <c r="B4202" s="6"/>
      <c r="C4202" s="6"/>
    </row>
    <row r="4203" s="1" customFormat="1" spans="1:3">
      <c r="A4203" s="6"/>
      <c r="B4203" s="6"/>
      <c r="C4203" s="6"/>
    </row>
    <row r="4204" s="1" customFormat="1" spans="1:3">
      <c r="A4204" s="6"/>
      <c r="B4204" s="6"/>
      <c r="C4204" s="6"/>
    </row>
    <row r="4205" s="1" customFormat="1" spans="1:3">
      <c r="A4205" s="6"/>
      <c r="B4205" s="6"/>
      <c r="C4205" s="6"/>
    </row>
    <row r="4206" s="1" customFormat="1" spans="1:3">
      <c r="A4206" s="6"/>
      <c r="B4206" s="6"/>
      <c r="C4206" s="6"/>
    </row>
    <row r="4207" s="1" customFormat="1" spans="1:3">
      <c r="A4207" s="6"/>
      <c r="B4207" s="6"/>
      <c r="C4207" s="6"/>
    </row>
    <row r="4208" s="1" customFormat="1" spans="1:3">
      <c r="A4208" s="6"/>
      <c r="B4208" s="6"/>
      <c r="C4208" s="6"/>
    </row>
    <row r="4209" s="1" customFormat="1" spans="1:3">
      <c r="A4209" s="6"/>
      <c r="B4209" s="6"/>
      <c r="C4209" s="6"/>
    </row>
    <row r="4210" s="1" customFormat="1" spans="1:3">
      <c r="A4210" s="6"/>
      <c r="B4210" s="6"/>
      <c r="C4210" s="6"/>
    </row>
    <row r="4211" s="1" customFormat="1" spans="1:3">
      <c r="A4211" s="6"/>
      <c r="B4211" s="6"/>
      <c r="C4211" s="6"/>
    </row>
    <row r="4212" s="1" customFormat="1" spans="1:3">
      <c r="A4212" s="6"/>
      <c r="B4212" s="6"/>
      <c r="C4212" s="6"/>
    </row>
    <row r="4213" s="1" customFormat="1" spans="1:3">
      <c r="A4213" s="6"/>
      <c r="B4213" s="6"/>
      <c r="C4213" s="6"/>
    </row>
    <row r="4214" s="1" customFormat="1" spans="1:3">
      <c r="A4214" s="6"/>
      <c r="B4214" s="6"/>
      <c r="C4214" s="6"/>
    </row>
    <row r="4215" s="1" customFormat="1" spans="1:3">
      <c r="A4215" s="6"/>
      <c r="B4215" s="6"/>
      <c r="C4215" s="6"/>
    </row>
    <row r="4216" s="1" customFormat="1" spans="1:3">
      <c r="A4216" s="6"/>
      <c r="B4216" s="6"/>
      <c r="C4216" s="6"/>
    </row>
    <row r="4217" s="1" customFormat="1" spans="1:3">
      <c r="A4217" s="6"/>
      <c r="B4217" s="6"/>
      <c r="C4217" s="6"/>
    </row>
    <row r="4218" s="1" customFormat="1" spans="1:3">
      <c r="A4218" s="6"/>
      <c r="B4218" s="6"/>
      <c r="C4218" s="6"/>
    </row>
    <row r="4219" s="1" customFormat="1" spans="1:3">
      <c r="A4219" s="6"/>
      <c r="B4219" s="6"/>
      <c r="C4219" s="6"/>
    </row>
    <row r="4220" s="1" customFormat="1" spans="1:3">
      <c r="A4220" s="6"/>
      <c r="B4220" s="6"/>
      <c r="C4220" s="6"/>
    </row>
    <row r="4221" s="1" customFormat="1" spans="1:3">
      <c r="A4221" s="6"/>
      <c r="B4221" s="6"/>
      <c r="C4221" s="6"/>
    </row>
    <row r="4222" s="1" customFormat="1" spans="1:3">
      <c r="A4222" s="6"/>
      <c r="B4222" s="6"/>
      <c r="C4222" s="6"/>
    </row>
    <row r="4223" s="1" customFormat="1" spans="1:3">
      <c r="A4223" s="6"/>
      <c r="B4223" s="6"/>
      <c r="C4223" s="6"/>
    </row>
    <row r="4224" s="1" customFormat="1" spans="1:3">
      <c r="A4224" s="6"/>
      <c r="B4224" s="6"/>
      <c r="C4224" s="6"/>
    </row>
    <row r="4225" s="1" customFormat="1" spans="1:3">
      <c r="A4225" s="6"/>
      <c r="B4225" s="6"/>
      <c r="C4225" s="6"/>
    </row>
    <row r="4226" s="1" customFormat="1" spans="1:3">
      <c r="A4226" s="6"/>
      <c r="B4226" s="6"/>
      <c r="C4226" s="6"/>
    </row>
    <row r="4227" s="1" customFormat="1" spans="1:3">
      <c r="A4227" s="6"/>
      <c r="B4227" s="6"/>
      <c r="C4227" s="6"/>
    </row>
    <row r="4228" s="1" customFormat="1" spans="1:3">
      <c r="A4228" s="6"/>
      <c r="B4228" s="6"/>
      <c r="C4228" s="6"/>
    </row>
    <row r="4229" s="1" customFormat="1" spans="1:3">
      <c r="A4229" s="6"/>
      <c r="B4229" s="6"/>
      <c r="C4229" s="6"/>
    </row>
    <row r="4230" s="1" customFormat="1" spans="1:3">
      <c r="A4230" s="6"/>
      <c r="B4230" s="6"/>
      <c r="C4230" s="6"/>
    </row>
    <row r="4231" s="1" customFormat="1" spans="1:3">
      <c r="A4231" s="6"/>
      <c r="B4231" s="6"/>
      <c r="C4231" s="6"/>
    </row>
    <row r="4232" s="1" customFormat="1" spans="1:3">
      <c r="A4232" s="6"/>
      <c r="B4232" s="6"/>
      <c r="C4232" s="6"/>
    </row>
    <row r="4233" s="1" customFormat="1" spans="1:3">
      <c r="A4233" s="6"/>
      <c r="B4233" s="6"/>
      <c r="C4233" s="6"/>
    </row>
    <row r="4234" s="1" customFormat="1" spans="1:3">
      <c r="A4234" s="6"/>
      <c r="B4234" s="6"/>
      <c r="C4234" s="6"/>
    </row>
    <row r="4235" s="1" customFormat="1" spans="1:3">
      <c r="A4235" s="6"/>
      <c r="B4235" s="6"/>
      <c r="C4235" s="6"/>
    </row>
    <row r="4236" s="1" customFormat="1" spans="1:3">
      <c r="A4236" s="6"/>
      <c r="B4236" s="6"/>
      <c r="C4236" s="6"/>
    </row>
    <row r="4237" s="1" customFormat="1" spans="1:3">
      <c r="A4237" s="6"/>
      <c r="B4237" s="6"/>
      <c r="C4237" s="6"/>
    </row>
    <row r="4238" s="1" customFormat="1" spans="1:3">
      <c r="A4238" s="6"/>
      <c r="B4238" s="6"/>
      <c r="C4238" s="6"/>
    </row>
    <row r="4239" s="1" customFormat="1" spans="1:3">
      <c r="A4239" s="6"/>
      <c r="B4239" s="6"/>
      <c r="C4239" s="6"/>
    </row>
    <row r="4240" s="1" customFormat="1" spans="1:3">
      <c r="A4240" s="6"/>
      <c r="B4240" s="6"/>
      <c r="C4240" s="6"/>
    </row>
    <row r="4241" s="1" customFormat="1" spans="1:3">
      <c r="A4241" s="6"/>
      <c r="B4241" s="6"/>
      <c r="C4241" s="6"/>
    </row>
    <row r="4242" s="1" customFormat="1" spans="1:3">
      <c r="A4242" s="6"/>
      <c r="B4242" s="6"/>
      <c r="C4242" s="6"/>
    </row>
    <row r="4243" s="1" customFormat="1" spans="1:3">
      <c r="A4243" s="6"/>
      <c r="B4243" s="6"/>
      <c r="C4243" s="6"/>
    </row>
    <row r="4244" s="1" customFormat="1" spans="1:3">
      <c r="A4244" s="6"/>
      <c r="B4244" s="6"/>
      <c r="C4244" s="6"/>
    </row>
    <row r="4245" s="1" customFormat="1" spans="1:3">
      <c r="A4245" s="6"/>
      <c r="B4245" s="6"/>
      <c r="C4245" s="6"/>
    </row>
    <row r="4246" s="1" customFormat="1" spans="1:3">
      <c r="A4246" s="6"/>
      <c r="B4246" s="6"/>
      <c r="C4246" s="6"/>
    </row>
    <row r="4247" s="1" customFormat="1" spans="1:3">
      <c r="A4247" s="6"/>
      <c r="B4247" s="6"/>
      <c r="C4247" s="6"/>
    </row>
    <row r="4248" s="1" customFormat="1" spans="1:3">
      <c r="A4248" s="6"/>
      <c r="B4248" s="6"/>
      <c r="C4248" s="6"/>
    </row>
    <row r="4249" s="1" customFormat="1" spans="1:3">
      <c r="A4249" s="6"/>
      <c r="B4249" s="6"/>
      <c r="C4249" s="6"/>
    </row>
    <row r="4250" s="1" customFormat="1" spans="1:3">
      <c r="A4250" s="6"/>
      <c r="B4250" s="6"/>
      <c r="C4250" s="6"/>
    </row>
    <row r="4251" s="1" customFormat="1" spans="1:3">
      <c r="A4251" s="6"/>
      <c r="B4251" s="6"/>
      <c r="C4251" s="6"/>
    </row>
    <row r="4252" s="1" customFormat="1" spans="1:3">
      <c r="A4252" s="6"/>
      <c r="B4252" s="6"/>
      <c r="C4252" s="6"/>
    </row>
    <row r="4253" s="1" customFormat="1" spans="1:3">
      <c r="A4253" s="6"/>
      <c r="B4253" s="6"/>
      <c r="C4253" s="6"/>
    </row>
    <row r="4254" s="1" customFormat="1" spans="1:3">
      <c r="A4254" s="6"/>
      <c r="B4254" s="6"/>
      <c r="C4254" s="6"/>
    </row>
    <row r="4255" s="1" customFormat="1" spans="1:3">
      <c r="A4255" s="6"/>
      <c r="B4255" s="6"/>
      <c r="C4255" s="6"/>
    </row>
    <row r="4256" s="1" customFormat="1" spans="1:3">
      <c r="A4256" s="6"/>
      <c r="B4256" s="6"/>
      <c r="C4256" s="6"/>
    </row>
    <row r="4257" s="1" customFormat="1" spans="1:3">
      <c r="A4257" s="6"/>
      <c r="B4257" s="6"/>
      <c r="C4257" s="6"/>
    </row>
    <row r="4258" s="1" customFormat="1" spans="1:3">
      <c r="A4258" s="6"/>
      <c r="B4258" s="6"/>
      <c r="C4258" s="6"/>
    </row>
    <row r="4259" s="1" customFormat="1" spans="1:3">
      <c r="A4259" s="6"/>
      <c r="B4259" s="6"/>
      <c r="C4259" s="6"/>
    </row>
    <row r="4260" s="1" customFormat="1" spans="1:3">
      <c r="A4260" s="6"/>
      <c r="B4260" s="6"/>
      <c r="C4260" s="6"/>
    </row>
    <row r="4261" s="1" customFormat="1" spans="1:3">
      <c r="A4261" s="6"/>
      <c r="B4261" s="6"/>
      <c r="C4261" s="6"/>
    </row>
    <row r="4262" s="1" customFormat="1" spans="1:3">
      <c r="A4262" s="6"/>
      <c r="B4262" s="6"/>
      <c r="C4262" s="6"/>
    </row>
    <row r="4263" s="1" customFormat="1" spans="1:3">
      <c r="A4263" s="6"/>
      <c r="B4263" s="6"/>
      <c r="C4263" s="6"/>
    </row>
    <row r="4264" s="1" customFormat="1" spans="1:3">
      <c r="A4264" s="6"/>
      <c r="B4264" s="6"/>
      <c r="C4264" s="6"/>
    </row>
    <row r="4265" s="1" customFormat="1" spans="1:3">
      <c r="A4265" s="6"/>
      <c r="B4265" s="6"/>
      <c r="C4265" s="6"/>
    </row>
    <row r="4266" s="1" customFormat="1" spans="1:3">
      <c r="A4266" s="6"/>
      <c r="B4266" s="6"/>
      <c r="C4266" s="6"/>
    </row>
    <row r="4267" s="1" customFormat="1" spans="1:3">
      <c r="A4267" s="6"/>
      <c r="B4267" s="6"/>
      <c r="C4267" s="6"/>
    </row>
    <row r="4268" s="1" customFormat="1" spans="1:3">
      <c r="A4268" s="6"/>
      <c r="B4268" s="6"/>
      <c r="C4268" s="6"/>
    </row>
    <row r="4269" s="1" customFormat="1" spans="1:3">
      <c r="A4269" s="6"/>
      <c r="B4269" s="6"/>
      <c r="C4269" s="6"/>
    </row>
    <row r="4270" s="1" customFormat="1" spans="1:3">
      <c r="A4270" s="6"/>
      <c r="B4270" s="6"/>
      <c r="C4270" s="6"/>
    </row>
    <row r="4271" s="1" customFormat="1" spans="1:3">
      <c r="A4271" s="6"/>
      <c r="B4271" s="6"/>
      <c r="C4271" s="6"/>
    </row>
    <row r="4272" s="1" customFormat="1" spans="1:3">
      <c r="A4272" s="6"/>
      <c r="B4272" s="6"/>
      <c r="C4272" s="6"/>
    </row>
    <row r="4273" s="1" customFormat="1" spans="1:3">
      <c r="A4273" s="6"/>
      <c r="B4273" s="6"/>
      <c r="C4273" s="6"/>
    </row>
    <row r="4274" s="1" customFormat="1" spans="1:3">
      <c r="A4274" s="6"/>
      <c r="B4274" s="6"/>
      <c r="C4274" s="6"/>
    </row>
    <row r="4275" s="1" customFormat="1" spans="1:3">
      <c r="A4275" s="6"/>
      <c r="B4275" s="6"/>
      <c r="C4275" s="6"/>
    </row>
    <row r="4276" s="1" customFormat="1" spans="1:3">
      <c r="A4276" s="6"/>
      <c r="B4276" s="6"/>
      <c r="C4276" s="6"/>
    </row>
    <row r="4277" s="1" customFormat="1" spans="1:3">
      <c r="A4277" s="6"/>
      <c r="B4277" s="6"/>
      <c r="C4277" s="6"/>
    </row>
    <row r="4278" s="1" customFormat="1" spans="1:3">
      <c r="A4278" s="6"/>
      <c r="B4278" s="6"/>
      <c r="C4278" s="6"/>
    </row>
    <row r="4279" s="1" customFormat="1" spans="1:3">
      <c r="A4279" s="6"/>
      <c r="B4279" s="6"/>
      <c r="C4279" s="6"/>
    </row>
    <row r="4280" s="1" customFormat="1" spans="1:3">
      <c r="A4280" s="6"/>
      <c r="B4280" s="6"/>
      <c r="C4280" s="6"/>
    </row>
    <row r="4281" s="1" customFormat="1" spans="1:3">
      <c r="A4281" s="6"/>
      <c r="B4281" s="6"/>
      <c r="C4281" s="6"/>
    </row>
    <row r="4282" s="1" customFormat="1" spans="1:3">
      <c r="A4282" s="6"/>
      <c r="B4282" s="6"/>
      <c r="C4282" s="6"/>
    </row>
    <row r="4283" s="1" customFormat="1" spans="1:3">
      <c r="A4283" s="6"/>
      <c r="B4283" s="6"/>
      <c r="C4283" s="6"/>
    </row>
    <row r="4284" s="1" customFormat="1" spans="1:3">
      <c r="A4284" s="6"/>
      <c r="B4284" s="6"/>
      <c r="C4284" s="6"/>
    </row>
    <row r="4285" s="1" customFormat="1" spans="1:3">
      <c r="A4285" s="6"/>
      <c r="B4285" s="6"/>
      <c r="C4285" s="6"/>
    </row>
    <row r="4286" s="1" customFormat="1" spans="1:3">
      <c r="A4286" s="6"/>
      <c r="B4286" s="6"/>
      <c r="C4286" s="6"/>
    </row>
    <row r="4287" s="1" customFormat="1" spans="1:3">
      <c r="A4287" s="6"/>
      <c r="B4287" s="6"/>
      <c r="C4287" s="6"/>
    </row>
    <row r="4288" s="1" customFormat="1" spans="1:3">
      <c r="A4288" s="6"/>
      <c r="B4288" s="6"/>
      <c r="C4288" s="6"/>
    </row>
    <row r="4289" s="1" customFormat="1" spans="1:3">
      <c r="A4289" s="6"/>
      <c r="B4289" s="6"/>
      <c r="C4289" s="6"/>
    </row>
    <row r="4290" s="1" customFormat="1" spans="1:3">
      <c r="A4290" s="6"/>
      <c r="B4290" s="6"/>
      <c r="C4290" s="6"/>
    </row>
    <row r="4291" s="1" customFormat="1" spans="1:3">
      <c r="A4291" s="6"/>
      <c r="B4291" s="6"/>
      <c r="C4291" s="6"/>
    </row>
    <row r="4292" s="1" customFormat="1" spans="1:3">
      <c r="A4292" s="6"/>
      <c r="B4292" s="6"/>
      <c r="C4292" s="6"/>
    </row>
    <row r="4293" s="1" customFormat="1" spans="1:3">
      <c r="A4293" s="6"/>
      <c r="B4293" s="6"/>
      <c r="C4293" s="6"/>
    </row>
    <row r="4294" s="1" customFormat="1" spans="1:3">
      <c r="A4294" s="6"/>
      <c r="B4294" s="6"/>
      <c r="C4294" s="6"/>
    </row>
    <row r="4295" s="1" customFormat="1" spans="1:3">
      <c r="A4295" s="6"/>
      <c r="B4295" s="6"/>
      <c r="C4295" s="6"/>
    </row>
    <row r="4296" s="1" customFormat="1" spans="1:3">
      <c r="A4296" s="6"/>
      <c r="B4296" s="6"/>
      <c r="C4296" s="6"/>
    </row>
    <row r="4297" s="1" customFormat="1" spans="1:3">
      <c r="A4297" s="6"/>
      <c r="B4297" s="6"/>
      <c r="C4297" s="6"/>
    </row>
    <row r="4298" s="1" customFormat="1" spans="1:3">
      <c r="A4298" s="6"/>
      <c r="B4298" s="6"/>
      <c r="C4298" s="6"/>
    </row>
    <row r="4299" s="1" customFormat="1" spans="1:3">
      <c r="A4299" s="6"/>
      <c r="B4299" s="6"/>
      <c r="C4299" s="6"/>
    </row>
    <row r="4300" s="1" customFormat="1" spans="1:3">
      <c r="A4300" s="6"/>
      <c r="B4300" s="6"/>
      <c r="C4300" s="6"/>
    </row>
    <row r="4301" s="1" customFormat="1" spans="1:3">
      <c r="A4301" s="6"/>
      <c r="B4301" s="6"/>
      <c r="C4301" s="6"/>
    </row>
    <row r="4302" s="1" customFormat="1" spans="1:3">
      <c r="A4302" s="6"/>
      <c r="B4302" s="6"/>
      <c r="C4302" s="6"/>
    </row>
    <row r="4303" s="1" customFormat="1" spans="1:3">
      <c r="A4303" s="6"/>
      <c r="B4303" s="6"/>
      <c r="C4303" s="6"/>
    </row>
    <row r="4304" s="1" customFormat="1" spans="1:3">
      <c r="A4304" s="6"/>
      <c r="B4304" s="6"/>
      <c r="C4304" s="6"/>
    </row>
    <row r="4305" s="1" customFormat="1" spans="1:3">
      <c r="A4305" s="6"/>
      <c r="B4305" s="6"/>
      <c r="C4305" s="6"/>
    </row>
    <row r="4306" s="1" customFormat="1" spans="1:3">
      <c r="A4306" s="6"/>
      <c r="B4306" s="6"/>
      <c r="C4306" s="6"/>
    </row>
    <row r="4307" s="1" customFormat="1" spans="1:3">
      <c r="A4307" s="6"/>
      <c r="B4307" s="6"/>
      <c r="C4307" s="6"/>
    </row>
    <row r="4308" s="1" customFormat="1" spans="1:3">
      <c r="A4308" s="6"/>
      <c r="B4308" s="6"/>
      <c r="C4308" s="6"/>
    </row>
    <row r="4309" s="1" customFormat="1" spans="1:3">
      <c r="A4309" s="6"/>
      <c r="B4309" s="6"/>
      <c r="C4309" s="6"/>
    </row>
    <row r="4310" s="1" customFormat="1" spans="1:3">
      <c r="A4310" s="6"/>
      <c r="B4310" s="6"/>
      <c r="C4310" s="6"/>
    </row>
    <row r="4311" s="1" customFormat="1" spans="1:3">
      <c r="A4311" s="6"/>
      <c r="B4311" s="6"/>
      <c r="C4311" s="6"/>
    </row>
    <row r="4312" s="1" customFormat="1" spans="1:3">
      <c r="A4312" s="6"/>
      <c r="B4312" s="6"/>
      <c r="C4312" s="6"/>
    </row>
    <row r="4313" s="1" customFormat="1" spans="1:3">
      <c r="A4313" s="6"/>
      <c r="B4313" s="6"/>
      <c r="C4313" s="6"/>
    </row>
    <row r="4314" s="1" customFormat="1" spans="1:3">
      <c r="A4314" s="6"/>
      <c r="B4314" s="6"/>
      <c r="C4314" s="6"/>
    </row>
    <row r="4315" s="1" customFormat="1" spans="1:3">
      <c r="A4315" s="6"/>
      <c r="B4315" s="6"/>
      <c r="C4315" s="6"/>
    </row>
    <row r="4316" s="1" customFormat="1" spans="1:3">
      <c r="A4316" s="6"/>
      <c r="B4316" s="6"/>
      <c r="C4316" s="6"/>
    </row>
    <row r="4317" s="1" customFormat="1" spans="1:3">
      <c r="A4317" s="6"/>
      <c r="B4317" s="6"/>
      <c r="C4317" s="6"/>
    </row>
    <row r="4318" s="1" customFormat="1" spans="1:3">
      <c r="A4318" s="6"/>
      <c r="B4318" s="6"/>
      <c r="C4318" s="6"/>
    </row>
    <row r="4319" s="1" customFormat="1" spans="1:3">
      <c r="A4319" s="6"/>
      <c r="B4319" s="6"/>
      <c r="C4319" s="6"/>
    </row>
    <row r="4320" s="1" customFormat="1" spans="1:3">
      <c r="A4320" s="6"/>
      <c r="B4320" s="6"/>
      <c r="C4320" s="6"/>
    </row>
    <row r="4321" s="1" customFormat="1" spans="1:3">
      <c r="A4321" s="6"/>
      <c r="B4321" s="6"/>
      <c r="C4321" s="6"/>
    </row>
    <row r="4322" s="1" customFormat="1" spans="1:3">
      <c r="A4322" s="6"/>
      <c r="B4322" s="6"/>
      <c r="C4322" s="6"/>
    </row>
    <row r="4323" s="1" customFormat="1" spans="1:3">
      <c r="A4323" s="6"/>
      <c r="B4323" s="6"/>
      <c r="C4323" s="6"/>
    </row>
    <row r="4324" s="1" customFormat="1" spans="1:3">
      <c r="A4324" s="6"/>
      <c r="B4324" s="6"/>
      <c r="C4324" s="6"/>
    </row>
    <row r="4325" s="1" customFormat="1" spans="1:3">
      <c r="A4325" s="6"/>
      <c r="B4325" s="6"/>
      <c r="C4325" s="6"/>
    </row>
    <row r="4326" s="1" customFormat="1" spans="1:3">
      <c r="A4326" s="6"/>
      <c r="B4326" s="6"/>
      <c r="C4326" s="6"/>
    </row>
    <row r="4327" s="1" customFormat="1" spans="1:3">
      <c r="A4327" s="6"/>
      <c r="B4327" s="6"/>
      <c r="C4327" s="6"/>
    </row>
    <row r="4328" s="1" customFormat="1" spans="1:3">
      <c r="A4328" s="6"/>
      <c r="B4328" s="6"/>
      <c r="C4328" s="6"/>
    </row>
    <row r="4329" s="1" customFormat="1" spans="1:3">
      <c r="A4329" s="6"/>
      <c r="B4329" s="6"/>
      <c r="C4329" s="6"/>
    </row>
    <row r="4330" s="1" customFormat="1" spans="1:3">
      <c r="A4330" s="6"/>
      <c r="B4330" s="6"/>
      <c r="C4330" s="6"/>
    </row>
    <row r="4331" s="1" customFormat="1" spans="1:3">
      <c r="A4331" s="6"/>
      <c r="B4331" s="6"/>
      <c r="C4331" s="6"/>
    </row>
    <row r="4332" s="1" customFormat="1" spans="1:3">
      <c r="A4332" s="6"/>
      <c r="B4332" s="6"/>
      <c r="C4332" s="6"/>
    </row>
    <row r="4333" s="1" customFormat="1" spans="1:3">
      <c r="A4333" s="6"/>
      <c r="B4333" s="6"/>
      <c r="C4333" s="6"/>
    </row>
    <row r="4334" s="1" customFormat="1" spans="1:3">
      <c r="A4334" s="6"/>
      <c r="B4334" s="6"/>
      <c r="C4334" s="6"/>
    </row>
    <row r="4335" s="1" customFormat="1" spans="1:3">
      <c r="A4335" s="6"/>
      <c r="B4335" s="6"/>
      <c r="C4335" s="6"/>
    </row>
    <row r="4336" s="1" customFormat="1" spans="1:3">
      <c r="A4336" s="6"/>
      <c r="B4336" s="6"/>
      <c r="C4336" s="6"/>
    </row>
    <row r="4337" s="1" customFormat="1" spans="1:3">
      <c r="A4337" s="6"/>
      <c r="B4337" s="6"/>
      <c r="C4337" s="6"/>
    </row>
    <row r="4338" s="1" customFormat="1" spans="1:3">
      <c r="A4338" s="6"/>
      <c r="B4338" s="6"/>
      <c r="C4338" s="6"/>
    </row>
    <row r="4339" s="1" customFormat="1" spans="1:3">
      <c r="A4339" s="6"/>
      <c r="B4339" s="6"/>
      <c r="C4339" s="6"/>
    </row>
    <row r="4340" s="1" customFormat="1" spans="1:3">
      <c r="A4340" s="6"/>
      <c r="B4340" s="6"/>
      <c r="C4340" s="6"/>
    </row>
    <row r="4341" s="1" customFormat="1" spans="1:3">
      <c r="A4341" s="6"/>
      <c r="B4341" s="6"/>
      <c r="C4341" s="6"/>
    </row>
    <row r="4342" s="1" customFormat="1" spans="1:3">
      <c r="A4342" s="6"/>
      <c r="B4342" s="6"/>
      <c r="C4342" s="6"/>
    </row>
    <row r="4343" s="1" customFormat="1" spans="1:3">
      <c r="A4343" s="6"/>
      <c r="B4343" s="6"/>
      <c r="C4343" s="6"/>
    </row>
    <row r="4344" s="1" customFormat="1" spans="1:3">
      <c r="A4344" s="6"/>
      <c r="B4344" s="6"/>
      <c r="C4344" s="6"/>
    </row>
    <row r="4345" s="1" customFormat="1" spans="1:3">
      <c r="A4345" s="6"/>
      <c r="B4345" s="6"/>
      <c r="C4345" s="6"/>
    </row>
    <row r="4346" s="1" customFormat="1" spans="1:3">
      <c r="A4346" s="6"/>
      <c r="B4346" s="6"/>
      <c r="C4346" s="6"/>
    </row>
    <row r="4347" s="1" customFormat="1" spans="1:3">
      <c r="A4347" s="6"/>
      <c r="B4347" s="6"/>
      <c r="C4347" s="6"/>
    </row>
    <row r="4348" s="1" customFormat="1" spans="1:3">
      <c r="A4348" s="6"/>
      <c r="B4348" s="6"/>
      <c r="C4348" s="6"/>
    </row>
    <row r="4349" s="1" customFormat="1" spans="1:3">
      <c r="A4349" s="6"/>
      <c r="B4349" s="6"/>
      <c r="C4349" s="6"/>
    </row>
    <row r="4350" s="1" customFormat="1" spans="1:3">
      <c r="A4350" s="6"/>
      <c r="B4350" s="6"/>
      <c r="C4350" s="6"/>
    </row>
    <row r="4351" s="1" customFormat="1" spans="1:3">
      <c r="A4351" s="6"/>
      <c r="B4351" s="6"/>
      <c r="C4351" s="6"/>
    </row>
    <row r="4352" s="1" customFormat="1" spans="1:3">
      <c r="A4352" s="6"/>
      <c r="B4352" s="6"/>
      <c r="C4352" s="6"/>
    </row>
    <row r="4353" s="1" customFormat="1" spans="1:3">
      <c r="A4353" s="6"/>
      <c r="B4353" s="6"/>
      <c r="C4353" s="6"/>
    </row>
    <row r="4354" s="1" customFormat="1" spans="1:3">
      <c r="A4354" s="6"/>
      <c r="B4354" s="6"/>
      <c r="C4354" s="6"/>
    </row>
    <row r="4355" s="1" customFormat="1" spans="1:3">
      <c r="A4355" s="6"/>
      <c r="B4355" s="6"/>
      <c r="C4355" s="6"/>
    </row>
    <row r="4356" s="1" customFormat="1" spans="1:3">
      <c r="A4356" s="6"/>
      <c r="B4356" s="6"/>
      <c r="C4356" s="6"/>
    </row>
    <row r="4357" s="1" customFormat="1" spans="1:3">
      <c r="A4357" s="6"/>
      <c r="B4357" s="6"/>
      <c r="C4357" s="6"/>
    </row>
    <row r="4358" s="1" customFormat="1" spans="1:3">
      <c r="A4358" s="6"/>
      <c r="B4358" s="6"/>
      <c r="C4358" s="6"/>
    </row>
    <row r="4359" s="1" customFormat="1" spans="1:3">
      <c r="A4359" s="6"/>
      <c r="B4359" s="6"/>
      <c r="C4359" s="6"/>
    </row>
    <row r="4360" s="1" customFormat="1" spans="1:3">
      <c r="A4360" s="6"/>
      <c r="B4360" s="6"/>
      <c r="C4360" s="6"/>
    </row>
    <row r="4361" s="1" customFormat="1" spans="1:3">
      <c r="A4361" s="6"/>
      <c r="B4361" s="6"/>
      <c r="C4361" s="6"/>
    </row>
    <row r="4362" s="1" customFormat="1" spans="1:3">
      <c r="A4362" s="6"/>
      <c r="B4362" s="6"/>
      <c r="C4362" s="6"/>
    </row>
    <row r="4363" s="1" customFormat="1" spans="1:3">
      <c r="A4363" s="6"/>
      <c r="B4363" s="6"/>
      <c r="C4363" s="6"/>
    </row>
    <row r="4364" s="1" customFormat="1" spans="1:3">
      <c r="A4364" s="6"/>
      <c r="B4364" s="6"/>
      <c r="C4364" s="6"/>
    </row>
    <row r="4365" s="1" customFormat="1" spans="1:3">
      <c r="A4365" s="6"/>
      <c r="B4365" s="6"/>
      <c r="C4365" s="6"/>
    </row>
    <row r="4366" s="1" customFormat="1" spans="1:3">
      <c r="A4366" s="6"/>
      <c r="B4366" s="6"/>
      <c r="C4366" s="6"/>
    </row>
    <row r="4367" s="1" customFormat="1" spans="1:3">
      <c r="A4367" s="6"/>
      <c r="B4367" s="6"/>
      <c r="C4367" s="6"/>
    </row>
    <row r="4368" s="1" customFormat="1" spans="1:3">
      <c r="A4368" s="6"/>
      <c r="B4368" s="6"/>
      <c r="C4368" s="6"/>
    </row>
    <row r="4369" s="1" customFormat="1" spans="1:3">
      <c r="A4369" s="6"/>
      <c r="B4369" s="6"/>
      <c r="C4369" s="6"/>
    </row>
    <row r="4370" s="1" customFormat="1" spans="1:3">
      <c r="A4370" s="6"/>
      <c r="B4370" s="6"/>
      <c r="C4370" s="6"/>
    </row>
    <row r="4371" s="1" customFormat="1" spans="1:3">
      <c r="A4371" s="6"/>
      <c r="B4371" s="6"/>
      <c r="C4371" s="6"/>
    </row>
    <row r="4372" s="1" customFormat="1" spans="1:3">
      <c r="A4372" s="6"/>
      <c r="B4372" s="6"/>
      <c r="C4372" s="6"/>
    </row>
    <row r="4373" s="1" customFormat="1" spans="1:3">
      <c r="A4373" s="6"/>
      <c r="B4373" s="6"/>
      <c r="C4373" s="6"/>
    </row>
    <row r="4374" s="1" customFormat="1" spans="1:3">
      <c r="A4374" s="6"/>
      <c r="B4374" s="6"/>
      <c r="C4374" s="6"/>
    </row>
    <row r="4375" s="1" customFormat="1" spans="1:3">
      <c r="A4375" s="6"/>
      <c r="B4375" s="6"/>
      <c r="C4375" s="6"/>
    </row>
    <row r="4376" s="1" customFormat="1" spans="1:3">
      <c r="A4376" s="6"/>
      <c r="B4376" s="6"/>
      <c r="C4376" s="6"/>
    </row>
    <row r="4377" s="1" customFormat="1" spans="1:3">
      <c r="A4377" s="6"/>
      <c r="B4377" s="6"/>
      <c r="C4377" s="6"/>
    </row>
    <row r="4378" s="1" customFormat="1" spans="1:3">
      <c r="A4378" s="6"/>
      <c r="B4378" s="6"/>
      <c r="C4378" s="6"/>
    </row>
    <row r="4379" s="1" customFormat="1" spans="1:3">
      <c r="A4379" s="6"/>
      <c r="B4379" s="6"/>
      <c r="C4379" s="6"/>
    </row>
    <row r="4380" s="1" customFormat="1" spans="1:3">
      <c r="A4380" s="6"/>
      <c r="B4380" s="6"/>
      <c r="C4380" s="6"/>
    </row>
    <row r="4381" s="1" customFormat="1" spans="1:3">
      <c r="A4381" s="6"/>
      <c r="B4381" s="6"/>
      <c r="C4381" s="6"/>
    </row>
    <row r="4382" s="1" customFormat="1" spans="1:3">
      <c r="A4382" s="6"/>
      <c r="B4382" s="6"/>
      <c r="C4382" s="6"/>
    </row>
    <row r="4383" s="1" customFormat="1" spans="1:3">
      <c r="A4383" s="6"/>
      <c r="B4383" s="6"/>
      <c r="C4383" s="6"/>
    </row>
    <row r="4384" s="1" customFormat="1" spans="1:3">
      <c r="A4384" s="6"/>
      <c r="B4384" s="6"/>
      <c r="C4384" s="6"/>
    </row>
    <row r="4385" s="1" customFormat="1" spans="1:3">
      <c r="A4385" s="6"/>
      <c r="B4385" s="6"/>
      <c r="C4385" s="6"/>
    </row>
    <row r="4386" s="1" customFormat="1" spans="1:3">
      <c r="A4386" s="6"/>
      <c r="B4386" s="6"/>
      <c r="C4386" s="6"/>
    </row>
    <row r="4387" s="1" customFormat="1" spans="1:3">
      <c r="A4387" s="6"/>
      <c r="B4387" s="6"/>
      <c r="C4387" s="6"/>
    </row>
    <row r="4388" s="1" customFormat="1" spans="1:3">
      <c r="A4388" s="6"/>
      <c r="B4388" s="6"/>
      <c r="C4388" s="6"/>
    </row>
    <row r="4389" s="1" customFormat="1" spans="1:3">
      <c r="A4389" s="6"/>
      <c r="B4389" s="6"/>
      <c r="C4389" s="6"/>
    </row>
    <row r="4390" s="1" customFormat="1" spans="1:3">
      <c r="A4390" s="6"/>
      <c r="B4390" s="6"/>
      <c r="C4390" s="6"/>
    </row>
    <row r="4391" s="1" customFormat="1" spans="1:3">
      <c r="A4391" s="6"/>
      <c r="B4391" s="6"/>
      <c r="C4391" s="6"/>
    </row>
    <row r="4392" s="1" customFormat="1" spans="1:3">
      <c r="A4392" s="6"/>
      <c r="B4392" s="6"/>
      <c r="C4392" s="6"/>
    </row>
    <row r="4393" s="1" customFormat="1" spans="1:3">
      <c r="A4393" s="6"/>
      <c r="B4393" s="6"/>
      <c r="C4393" s="6"/>
    </row>
    <row r="4394" s="1" customFormat="1" spans="1:3">
      <c r="A4394" s="6"/>
      <c r="B4394" s="6"/>
      <c r="C4394" s="6"/>
    </row>
    <row r="4395" s="1" customFormat="1" spans="1:3">
      <c r="A4395" s="6"/>
      <c r="B4395" s="6"/>
      <c r="C4395" s="6"/>
    </row>
    <row r="4396" s="1" customFormat="1" spans="1:3">
      <c r="A4396" s="6"/>
      <c r="B4396" s="6"/>
      <c r="C4396" s="6"/>
    </row>
    <row r="4397" s="1" customFormat="1" spans="1:3">
      <c r="A4397" s="6"/>
      <c r="B4397" s="6"/>
      <c r="C4397" s="6"/>
    </row>
    <row r="4398" s="1" customFormat="1" spans="1:3">
      <c r="A4398" s="6"/>
      <c r="B4398" s="6"/>
      <c r="C4398" s="6"/>
    </row>
    <row r="4399" s="1" customFormat="1" spans="1:3">
      <c r="A4399" s="6"/>
      <c r="B4399" s="6"/>
      <c r="C4399" s="6"/>
    </row>
    <row r="4400" s="1" customFormat="1" spans="1:3">
      <c r="A4400" s="6"/>
      <c r="B4400" s="6"/>
      <c r="C4400" s="6"/>
    </row>
    <row r="4401" s="1" customFormat="1" spans="1:3">
      <c r="A4401" s="6"/>
      <c r="B4401" s="6"/>
      <c r="C4401" s="6"/>
    </row>
    <row r="4402" s="1" customFormat="1" spans="1:3">
      <c r="A4402" s="6"/>
      <c r="B4402" s="6"/>
      <c r="C4402" s="6"/>
    </row>
    <row r="4403" s="1" customFormat="1" spans="1:3">
      <c r="A4403" s="6"/>
      <c r="B4403" s="6"/>
      <c r="C4403" s="6"/>
    </row>
    <row r="4404" s="1" customFormat="1" spans="1:3">
      <c r="A4404" s="6"/>
      <c r="B4404" s="6"/>
      <c r="C4404" s="6"/>
    </row>
    <row r="4405" s="1" customFormat="1" spans="1:3">
      <c r="A4405" s="6"/>
      <c r="B4405" s="6"/>
      <c r="C4405" s="6"/>
    </row>
    <row r="4406" s="1" customFormat="1" spans="1:3">
      <c r="A4406" s="6"/>
      <c r="B4406" s="6"/>
      <c r="C4406" s="6"/>
    </row>
    <row r="4407" s="1" customFormat="1" spans="1:3">
      <c r="A4407" s="6"/>
      <c r="B4407" s="6"/>
      <c r="C4407" s="6"/>
    </row>
    <row r="4408" s="1" customFormat="1" spans="1:3">
      <c r="A4408" s="6"/>
      <c r="B4408" s="6"/>
      <c r="C4408" s="6"/>
    </row>
    <row r="4409" s="1" customFormat="1" spans="1:3">
      <c r="A4409" s="6"/>
      <c r="B4409" s="6"/>
      <c r="C4409" s="6"/>
    </row>
    <row r="4410" s="1" customFormat="1" spans="1:3">
      <c r="A4410" s="6"/>
      <c r="B4410" s="6"/>
      <c r="C4410" s="6"/>
    </row>
    <row r="4411" s="1" customFormat="1" spans="1:3">
      <c r="A4411" s="6"/>
      <c r="B4411" s="6"/>
      <c r="C4411" s="6"/>
    </row>
    <row r="4412" s="1" customFormat="1" spans="1:3">
      <c r="A4412" s="6"/>
      <c r="B4412" s="6"/>
      <c r="C4412" s="6"/>
    </row>
    <row r="4413" s="1" customFormat="1" spans="1:3">
      <c r="A4413" s="6"/>
      <c r="B4413" s="6"/>
      <c r="C4413" s="6"/>
    </row>
    <row r="4414" s="1" customFormat="1" spans="1:3">
      <c r="A4414" s="6"/>
      <c r="B4414" s="6"/>
      <c r="C4414" s="6"/>
    </row>
    <row r="4415" s="1" customFormat="1" spans="1:3">
      <c r="A4415" s="6"/>
      <c r="B4415" s="6"/>
      <c r="C4415" s="6"/>
    </row>
    <row r="4416" s="1" customFormat="1" spans="1:3">
      <c r="A4416" s="6"/>
      <c r="B4416" s="6"/>
      <c r="C4416" s="6"/>
    </row>
    <row r="4417" s="1" customFormat="1" spans="1:3">
      <c r="A4417" s="6"/>
      <c r="B4417" s="6"/>
      <c r="C4417" s="6"/>
    </row>
    <row r="4418" s="1" customFormat="1" spans="1:3">
      <c r="A4418" s="6"/>
      <c r="B4418" s="6"/>
      <c r="C4418" s="6"/>
    </row>
    <row r="4419" s="1" customFormat="1" spans="1:3">
      <c r="A4419" s="6"/>
      <c r="B4419" s="6"/>
      <c r="C4419" s="6"/>
    </row>
    <row r="4420" s="1" customFormat="1" spans="1:3">
      <c r="A4420" s="6"/>
      <c r="B4420" s="6"/>
      <c r="C4420" s="6"/>
    </row>
    <row r="4421" s="1" customFormat="1" spans="1:3">
      <c r="A4421" s="6"/>
      <c r="B4421" s="6"/>
      <c r="C4421" s="6"/>
    </row>
    <row r="4422" s="1" customFormat="1" spans="1:3">
      <c r="A4422" s="6"/>
      <c r="B4422" s="6"/>
      <c r="C4422" s="6"/>
    </row>
    <row r="4423" s="1" customFormat="1" spans="1:3">
      <c r="A4423" s="6"/>
      <c r="B4423" s="6"/>
      <c r="C4423" s="6"/>
    </row>
    <row r="4424" s="1" customFormat="1" spans="1:3">
      <c r="A4424" s="6"/>
      <c r="B4424" s="6"/>
      <c r="C4424" s="6"/>
    </row>
    <row r="4425" s="1" customFormat="1" spans="1:3">
      <c r="A4425" s="6"/>
      <c r="B4425" s="6"/>
      <c r="C4425" s="6"/>
    </row>
    <row r="4426" s="1" customFormat="1" spans="1:3">
      <c r="A4426" s="6"/>
      <c r="B4426" s="6"/>
      <c r="C4426" s="6"/>
    </row>
    <row r="4427" s="1" customFormat="1" spans="1:3">
      <c r="A4427" s="6"/>
      <c r="B4427" s="6"/>
      <c r="C4427" s="6"/>
    </row>
    <row r="4428" s="1" customFormat="1" spans="1:3">
      <c r="A4428" s="6"/>
      <c r="B4428" s="6"/>
      <c r="C4428" s="6"/>
    </row>
    <row r="4429" s="1" customFormat="1" spans="1:3">
      <c r="A4429" s="6"/>
      <c r="B4429" s="6"/>
      <c r="C4429" s="6"/>
    </row>
    <row r="4430" s="1" customFormat="1" spans="1:3">
      <c r="A4430" s="6"/>
      <c r="B4430" s="6"/>
      <c r="C4430" s="6"/>
    </row>
    <row r="4431" s="1" customFormat="1" spans="1:3">
      <c r="A4431" s="6"/>
      <c r="B4431" s="6"/>
      <c r="C4431" s="6"/>
    </row>
    <row r="4432" s="1" customFormat="1" spans="1:3">
      <c r="A4432" s="6"/>
      <c r="B4432" s="6"/>
      <c r="C4432" s="6"/>
    </row>
    <row r="4433" s="1" customFormat="1" spans="1:3">
      <c r="A4433" s="6"/>
      <c r="B4433" s="6"/>
      <c r="C4433" s="6"/>
    </row>
    <row r="4434" s="1" customFormat="1" spans="1:3">
      <c r="A4434" s="6"/>
      <c r="B4434" s="6"/>
      <c r="C4434" s="6"/>
    </row>
    <row r="4435" s="1" customFormat="1" spans="1:3">
      <c r="A4435" s="6"/>
      <c r="B4435" s="6"/>
      <c r="C4435" s="6"/>
    </row>
    <row r="4436" s="1" customFormat="1" spans="1:3">
      <c r="A4436" s="6"/>
      <c r="B4436" s="6"/>
      <c r="C4436" s="6"/>
    </row>
    <row r="4437" s="1" customFormat="1" spans="1:3">
      <c r="A4437" s="6"/>
      <c r="B4437" s="6"/>
      <c r="C4437" s="6"/>
    </row>
    <row r="4438" s="1" customFormat="1" spans="1:3">
      <c r="A4438" s="6"/>
      <c r="B4438" s="6"/>
      <c r="C4438" s="6"/>
    </row>
    <row r="4439" s="1" customFormat="1" spans="1:3">
      <c r="A4439" s="6"/>
      <c r="B4439" s="6"/>
      <c r="C4439" s="6"/>
    </row>
    <row r="4440" s="1" customFormat="1" spans="1:3">
      <c r="A4440" s="6"/>
      <c r="B4440" s="6"/>
      <c r="C4440" s="6"/>
    </row>
    <row r="4441" s="1" customFormat="1" spans="1:3">
      <c r="A4441" s="6"/>
      <c r="B4441" s="6"/>
      <c r="C4441" s="6"/>
    </row>
    <row r="4442" s="1" customFormat="1" spans="1:3">
      <c r="A4442" s="6"/>
      <c r="B4442" s="6"/>
      <c r="C4442" s="6"/>
    </row>
    <row r="4443" s="1" customFormat="1" spans="1:3">
      <c r="A4443" s="6"/>
      <c r="B4443" s="6"/>
      <c r="C4443" s="6"/>
    </row>
    <row r="4444" s="1" customFormat="1" spans="1:3">
      <c r="A4444" s="6"/>
      <c r="B4444" s="6"/>
      <c r="C4444" s="6"/>
    </row>
    <row r="4445" s="1" customFormat="1" spans="1:3">
      <c r="A4445" s="6"/>
      <c r="B4445" s="6"/>
      <c r="C4445" s="6"/>
    </row>
    <row r="4446" s="1" customFormat="1" spans="1:3">
      <c r="A4446" s="6"/>
      <c r="B4446" s="6"/>
      <c r="C4446" s="6"/>
    </row>
    <row r="4447" s="1" customFormat="1" spans="1:3">
      <c r="A4447" s="6"/>
      <c r="B4447" s="6"/>
      <c r="C4447" s="6"/>
    </row>
    <row r="4448" s="1" customFormat="1" spans="1:3">
      <c r="A4448" s="6"/>
      <c r="B4448" s="6"/>
      <c r="C4448" s="6"/>
    </row>
    <row r="4449" s="1" customFormat="1" spans="1:3">
      <c r="A4449" s="6"/>
      <c r="B4449" s="6"/>
      <c r="C4449" s="6"/>
    </row>
    <row r="4450" s="1" customFormat="1" spans="1:3">
      <c r="A4450" s="6"/>
      <c r="B4450" s="6"/>
      <c r="C4450" s="6"/>
    </row>
    <row r="4451" s="1" customFormat="1" spans="1:3">
      <c r="A4451" s="6"/>
      <c r="B4451" s="6"/>
      <c r="C4451" s="6"/>
    </row>
    <row r="4452" s="1" customFormat="1" spans="1:3">
      <c r="A4452" s="6"/>
      <c r="B4452" s="6"/>
      <c r="C4452" s="6"/>
    </row>
    <row r="4453" s="1" customFormat="1" spans="1:3">
      <c r="A4453" s="6"/>
      <c r="B4453" s="6"/>
      <c r="C4453" s="6"/>
    </row>
    <row r="4454" s="1" customFormat="1" spans="1:3">
      <c r="A4454" s="6"/>
      <c r="B4454" s="6"/>
      <c r="C4454" s="6"/>
    </row>
    <row r="4455" s="1" customFormat="1" spans="1:3">
      <c r="A4455" s="6"/>
      <c r="B4455" s="6"/>
      <c r="C4455" s="6"/>
    </row>
    <row r="4456" s="1" customFormat="1" spans="1:3">
      <c r="A4456" s="6"/>
      <c r="B4456" s="6"/>
      <c r="C4456" s="6"/>
    </row>
    <row r="4457" s="1" customFormat="1" spans="1:3">
      <c r="A4457" s="6"/>
      <c r="B4457" s="6"/>
      <c r="C4457" s="6"/>
    </row>
    <row r="4458" s="1" customFormat="1" spans="1:3">
      <c r="A4458" s="6"/>
      <c r="B4458" s="6"/>
      <c r="C4458" s="6"/>
    </row>
    <row r="4459" s="1" customFormat="1" spans="1:3">
      <c r="A4459" s="6"/>
      <c r="B4459" s="6"/>
      <c r="C4459" s="6"/>
    </row>
    <row r="4460" s="1" customFormat="1" spans="1:3">
      <c r="A4460" s="6"/>
      <c r="B4460" s="6"/>
      <c r="C4460" s="6"/>
    </row>
    <row r="4461" s="1" customFormat="1" spans="1:3">
      <c r="A4461" s="6"/>
      <c r="B4461" s="6"/>
      <c r="C4461" s="6"/>
    </row>
    <row r="4462" s="1" customFormat="1" spans="1:3">
      <c r="A4462" s="6"/>
      <c r="B4462" s="6"/>
      <c r="C4462" s="6"/>
    </row>
    <row r="4463" s="1" customFormat="1" spans="1:3">
      <c r="A4463" s="6"/>
      <c r="B4463" s="6"/>
      <c r="C4463" s="6"/>
    </row>
    <row r="4464" s="1" customFormat="1" spans="1:3">
      <c r="A4464" s="6"/>
      <c r="B4464" s="6"/>
      <c r="C4464" s="6"/>
    </row>
    <row r="4465" s="1" customFormat="1" spans="1:3">
      <c r="A4465" s="6"/>
      <c r="B4465" s="6"/>
      <c r="C4465" s="6"/>
    </row>
    <row r="4466" s="1" customFormat="1" spans="1:3">
      <c r="A4466" s="6"/>
      <c r="B4466" s="6"/>
      <c r="C4466" s="6"/>
    </row>
    <row r="4467" s="1" customFormat="1" spans="1:3">
      <c r="A4467" s="6"/>
      <c r="B4467" s="6"/>
      <c r="C4467" s="6"/>
    </row>
    <row r="4468" s="1" customFormat="1" spans="1:3">
      <c r="A4468" s="6"/>
      <c r="B4468" s="6"/>
      <c r="C4468" s="6"/>
    </row>
    <row r="4469" s="1" customFormat="1" spans="1:3">
      <c r="A4469" s="6"/>
      <c r="B4469" s="6"/>
      <c r="C4469" s="6"/>
    </row>
    <row r="4470" s="1" customFormat="1" spans="1:3">
      <c r="A4470" s="6"/>
      <c r="B4470" s="6"/>
      <c r="C4470" s="6"/>
    </row>
    <row r="4471" s="1" customFormat="1" spans="1:3">
      <c r="A4471" s="6"/>
      <c r="B4471" s="6"/>
      <c r="C4471" s="6"/>
    </row>
    <row r="4472" s="1" customFormat="1" spans="1:3">
      <c r="A4472" s="6"/>
      <c r="B4472" s="6"/>
      <c r="C4472" s="6"/>
    </row>
    <row r="4473" s="1" customFormat="1" spans="1:3">
      <c r="A4473" s="6"/>
      <c r="B4473" s="6"/>
      <c r="C4473" s="6"/>
    </row>
    <row r="4474" s="1" customFormat="1" spans="1:3">
      <c r="A4474" s="6"/>
      <c r="B4474" s="6"/>
      <c r="C4474" s="6"/>
    </row>
    <row r="4475" s="1" customFormat="1" spans="1:3">
      <c r="A4475" s="6"/>
      <c r="B4475" s="6"/>
      <c r="C4475" s="6"/>
    </row>
    <row r="4476" s="1" customFormat="1" spans="1:3">
      <c r="A4476" s="6"/>
      <c r="B4476" s="6"/>
      <c r="C4476" s="6"/>
    </row>
    <row r="4477" s="1" customFormat="1" spans="1:3">
      <c r="A4477" s="6"/>
      <c r="B4477" s="6"/>
      <c r="C4477" s="6"/>
    </row>
    <row r="4478" s="1" customFormat="1" spans="1:3">
      <c r="A4478" s="6"/>
      <c r="B4478" s="6"/>
      <c r="C4478" s="6"/>
    </row>
    <row r="4479" s="1" customFormat="1" spans="1:3">
      <c r="A4479" s="6"/>
      <c r="B4479" s="6"/>
      <c r="C4479" s="6"/>
    </row>
    <row r="4480" s="1" customFormat="1" spans="1:3">
      <c r="A4480" s="6"/>
      <c r="B4480" s="6"/>
      <c r="C4480" s="6"/>
    </row>
    <row r="4481" s="1" customFormat="1" spans="1:3">
      <c r="A4481" s="6"/>
      <c r="B4481" s="6"/>
      <c r="C4481" s="6"/>
    </row>
    <row r="4482" s="1" customFormat="1" spans="1:3">
      <c r="A4482" s="6"/>
      <c r="B4482" s="6"/>
      <c r="C4482" s="6"/>
    </row>
    <row r="4483" s="1" customFormat="1" spans="1:3">
      <c r="A4483" s="6"/>
      <c r="B4483" s="6"/>
      <c r="C4483" s="6"/>
    </row>
    <row r="4484" s="1" customFormat="1" spans="1:3">
      <c r="A4484" s="6"/>
      <c r="B4484" s="6"/>
      <c r="C4484" s="6"/>
    </row>
    <row r="4485" s="1" customFormat="1" spans="1:3">
      <c r="A4485" s="6"/>
      <c r="B4485" s="6"/>
      <c r="C4485" s="6"/>
    </row>
    <row r="4486" s="1" customFormat="1" spans="1:3">
      <c r="A4486" s="6"/>
      <c r="B4486" s="6"/>
      <c r="C4486" s="6"/>
    </row>
    <row r="4487" s="1" customFormat="1" spans="1:3">
      <c r="A4487" s="6"/>
      <c r="B4487" s="6"/>
      <c r="C4487" s="6"/>
    </row>
    <row r="4488" s="1" customFormat="1" spans="1:3">
      <c r="A4488" s="6"/>
      <c r="B4488" s="6"/>
      <c r="C4488" s="6"/>
    </row>
    <row r="4489" s="1" customFormat="1" spans="1:3">
      <c r="A4489" s="6"/>
      <c r="B4489" s="6"/>
      <c r="C4489" s="6"/>
    </row>
    <row r="4490" s="1" customFormat="1" spans="1:3">
      <c r="A4490" s="6"/>
      <c r="B4490" s="6"/>
      <c r="C4490" s="6"/>
    </row>
    <row r="4491" s="1" customFormat="1" spans="1:3">
      <c r="A4491" s="6"/>
      <c r="B4491" s="6"/>
      <c r="C4491" s="6"/>
    </row>
    <row r="4492" s="1" customFormat="1" spans="1:3">
      <c r="A4492" s="6"/>
      <c r="B4492" s="6"/>
      <c r="C4492" s="6"/>
    </row>
    <row r="4493" s="1" customFormat="1" spans="1:3">
      <c r="A4493" s="6"/>
      <c r="B4493" s="6"/>
      <c r="C4493" s="6"/>
    </row>
    <row r="4494" s="1" customFormat="1" spans="1:3">
      <c r="A4494" s="6"/>
      <c r="B4494" s="6"/>
      <c r="C4494" s="6"/>
    </row>
    <row r="4495" s="1" customFormat="1" spans="1:3">
      <c r="A4495" s="6"/>
      <c r="B4495" s="6"/>
      <c r="C4495" s="6"/>
    </row>
    <row r="4496" s="1" customFormat="1" spans="1:3">
      <c r="A4496" s="6"/>
      <c r="B4496" s="6"/>
      <c r="C4496" s="6"/>
    </row>
    <row r="4497" s="1" customFormat="1" spans="1:3">
      <c r="A4497" s="6"/>
      <c r="B4497" s="6"/>
      <c r="C4497" s="6"/>
    </row>
    <row r="4498" s="1" customFormat="1" spans="1:3">
      <c r="A4498" s="6"/>
      <c r="B4498" s="6"/>
      <c r="C4498" s="6"/>
    </row>
    <row r="4499" s="1" customFormat="1" spans="1:3">
      <c r="A4499" s="6"/>
      <c r="B4499" s="6"/>
      <c r="C4499" s="6"/>
    </row>
    <row r="4500" s="1" customFormat="1" spans="1:3">
      <c r="A4500" s="6"/>
      <c r="B4500" s="6"/>
      <c r="C4500" s="6"/>
    </row>
    <row r="4501" s="1" customFormat="1" spans="1:3">
      <c r="A4501" s="6"/>
      <c r="B4501" s="6"/>
      <c r="C4501" s="6"/>
    </row>
    <row r="4502" s="1" customFormat="1" spans="1:3">
      <c r="A4502" s="6"/>
      <c r="B4502" s="6"/>
      <c r="C4502" s="6"/>
    </row>
    <row r="4503" s="1" customFormat="1" spans="1:3">
      <c r="A4503" s="6"/>
      <c r="B4503" s="6"/>
      <c r="C4503" s="6"/>
    </row>
    <row r="4504" s="1" customFormat="1" spans="1:3">
      <c r="A4504" s="6"/>
      <c r="B4504" s="6"/>
      <c r="C4504" s="6"/>
    </row>
    <row r="4505" s="1" customFormat="1" spans="1:3">
      <c r="A4505" s="6"/>
      <c r="B4505" s="6"/>
      <c r="C4505" s="6"/>
    </row>
    <row r="4506" s="1" customFormat="1" spans="1:3">
      <c r="A4506" s="6"/>
      <c r="B4506" s="6"/>
      <c r="C4506" s="6"/>
    </row>
    <row r="4507" s="1" customFormat="1" spans="1:3">
      <c r="A4507" s="6"/>
      <c r="B4507" s="6"/>
      <c r="C4507" s="6"/>
    </row>
    <row r="4508" s="1" customFormat="1" spans="1:3">
      <c r="A4508" s="6"/>
      <c r="B4508" s="6"/>
      <c r="C4508" s="6"/>
    </row>
    <row r="4509" s="1" customFormat="1" spans="1:3">
      <c r="A4509" s="6"/>
      <c r="B4509" s="6"/>
      <c r="C4509" s="6"/>
    </row>
    <row r="4510" s="1" customFormat="1" spans="1:3">
      <c r="A4510" s="6"/>
      <c r="B4510" s="6"/>
      <c r="C4510" s="6"/>
    </row>
    <row r="4511" s="1" customFormat="1" spans="1:3">
      <c r="A4511" s="6"/>
      <c r="B4511" s="6"/>
      <c r="C4511" s="6"/>
    </row>
    <row r="4512" s="1" customFormat="1" spans="1:3">
      <c r="A4512" s="6"/>
      <c r="B4512" s="6"/>
      <c r="C4512" s="6"/>
    </row>
    <row r="4513" s="1" customFormat="1" spans="1:3">
      <c r="A4513" s="6"/>
      <c r="B4513" s="6"/>
      <c r="C4513" s="6"/>
    </row>
    <row r="4514" s="1" customFormat="1" spans="1:3">
      <c r="A4514" s="6"/>
      <c r="B4514" s="6"/>
      <c r="C4514" s="6"/>
    </row>
    <row r="4515" s="1" customFormat="1" spans="1:3">
      <c r="A4515" s="6"/>
      <c r="B4515" s="6"/>
      <c r="C4515" s="6"/>
    </row>
    <row r="4516" s="1" customFormat="1" spans="1:3">
      <c r="A4516" s="6"/>
      <c r="B4516" s="6"/>
      <c r="C4516" s="6"/>
    </row>
    <row r="4517" s="1" customFormat="1" spans="1:3">
      <c r="A4517" s="6"/>
      <c r="B4517" s="6"/>
      <c r="C4517" s="6"/>
    </row>
    <row r="4518" s="1" customFormat="1" spans="1:3">
      <c r="A4518" s="6"/>
      <c r="B4518" s="6"/>
      <c r="C4518" s="6"/>
    </row>
    <row r="4519" s="1" customFormat="1" spans="1:3">
      <c r="A4519" s="6"/>
      <c r="B4519" s="6"/>
      <c r="C4519" s="6"/>
    </row>
    <row r="4520" s="1" customFormat="1" spans="1:3">
      <c r="A4520" s="6"/>
      <c r="B4520" s="6"/>
      <c r="C4520" s="6"/>
    </row>
    <row r="4521" s="1" customFormat="1" spans="1:3">
      <c r="A4521" s="6"/>
      <c r="B4521" s="6"/>
      <c r="C4521" s="6"/>
    </row>
    <row r="4522" s="1" customFormat="1" spans="1:3">
      <c r="A4522" s="6"/>
      <c r="B4522" s="6"/>
      <c r="C4522" s="6"/>
    </row>
    <row r="4523" s="1" customFormat="1" spans="1:3">
      <c r="A4523" s="6"/>
      <c r="B4523" s="6"/>
      <c r="C4523" s="6"/>
    </row>
    <row r="4524" s="1" customFormat="1" spans="1:3">
      <c r="A4524" s="6"/>
      <c r="B4524" s="6"/>
      <c r="C4524" s="6"/>
    </row>
    <row r="4525" s="1" customFormat="1" spans="1:3">
      <c r="A4525" s="6"/>
      <c r="B4525" s="6"/>
      <c r="C4525" s="6"/>
    </row>
    <row r="4526" s="1" customFormat="1" spans="1:3">
      <c r="A4526" s="6"/>
      <c r="B4526" s="6"/>
      <c r="C4526" s="6"/>
    </row>
    <row r="4527" s="1" customFormat="1" spans="1:3">
      <c r="A4527" s="6"/>
      <c r="B4527" s="6"/>
      <c r="C4527" s="6"/>
    </row>
    <row r="4528" s="1" customFormat="1" spans="1:3">
      <c r="A4528" s="6"/>
      <c r="B4528" s="6"/>
      <c r="C4528" s="6"/>
    </row>
    <row r="4529" s="1" customFormat="1" spans="1:3">
      <c r="A4529" s="6"/>
      <c r="B4529" s="6"/>
      <c r="C4529" s="6"/>
    </row>
    <row r="4530" s="1" customFormat="1" spans="1:3">
      <c r="A4530" s="6"/>
      <c r="B4530" s="6"/>
      <c r="C4530" s="6"/>
    </row>
    <row r="4531" s="1" customFormat="1" spans="1:3">
      <c r="A4531" s="6"/>
      <c r="B4531" s="6"/>
      <c r="C4531" s="6"/>
    </row>
    <row r="4532" s="1" customFormat="1" spans="1:3">
      <c r="A4532" s="6"/>
      <c r="B4532" s="6"/>
      <c r="C4532" s="6"/>
    </row>
    <row r="4533" s="1" customFormat="1" spans="1:3">
      <c r="A4533" s="6"/>
      <c r="B4533" s="6"/>
      <c r="C4533" s="6"/>
    </row>
    <row r="4534" s="1" customFormat="1" spans="1:3">
      <c r="A4534" s="6"/>
      <c r="B4534" s="6"/>
      <c r="C4534" s="6"/>
    </row>
    <row r="4535" s="1" customFormat="1" spans="1:3">
      <c r="A4535" s="6"/>
      <c r="B4535" s="6"/>
      <c r="C4535" s="6"/>
    </row>
    <row r="4536" s="1" customFormat="1" spans="1:3">
      <c r="A4536" s="6"/>
      <c r="B4536" s="6"/>
      <c r="C4536" s="6"/>
    </row>
    <row r="4537" s="1" customFormat="1" spans="1:3">
      <c r="A4537" s="6"/>
      <c r="B4537" s="6"/>
      <c r="C4537" s="6"/>
    </row>
    <row r="4538" s="1" customFormat="1" spans="1:3">
      <c r="A4538" s="6"/>
      <c r="B4538" s="6"/>
      <c r="C4538" s="6"/>
    </row>
    <row r="4539" s="1" customFormat="1" spans="1:3">
      <c r="A4539" s="6"/>
      <c r="B4539" s="6"/>
      <c r="C4539" s="6"/>
    </row>
    <row r="4540" s="1" customFormat="1" spans="1:3">
      <c r="A4540" s="6"/>
      <c r="B4540" s="6"/>
      <c r="C4540" s="6"/>
    </row>
    <row r="4541" s="1" customFormat="1" spans="1:3">
      <c r="A4541" s="6"/>
      <c r="B4541" s="6"/>
      <c r="C4541" s="6"/>
    </row>
    <row r="4542" s="1" customFormat="1" spans="1:3">
      <c r="A4542" s="6"/>
      <c r="B4542" s="6"/>
      <c r="C4542" s="6"/>
    </row>
    <row r="4543" s="1" customFormat="1" spans="1:3">
      <c r="A4543" s="6"/>
      <c r="B4543" s="6"/>
      <c r="C4543" s="6"/>
    </row>
    <row r="4544" s="1" customFormat="1" spans="1:3">
      <c r="A4544" s="6"/>
      <c r="B4544" s="6"/>
      <c r="C4544" s="6"/>
    </row>
    <row r="4545" s="1" customFormat="1" spans="1:3">
      <c r="A4545" s="6"/>
      <c r="B4545" s="6"/>
      <c r="C4545" s="6"/>
    </row>
    <row r="4546" s="1" customFormat="1" spans="1:3">
      <c r="A4546" s="6"/>
      <c r="B4546" s="6"/>
      <c r="C4546" s="6"/>
    </row>
    <row r="4547" s="1" customFormat="1" spans="1:3">
      <c r="A4547" s="6"/>
      <c r="B4547" s="6"/>
      <c r="C4547" s="6"/>
    </row>
    <row r="4548" s="1" customFormat="1" spans="1:3">
      <c r="A4548" s="6"/>
      <c r="B4548" s="6"/>
      <c r="C4548" s="6"/>
    </row>
    <row r="4549" s="1" customFormat="1" spans="1:3">
      <c r="A4549" s="6"/>
      <c r="B4549" s="6"/>
      <c r="C4549" s="6"/>
    </row>
    <row r="4550" s="1" customFormat="1" spans="1:3">
      <c r="A4550" s="6"/>
      <c r="B4550" s="6"/>
      <c r="C4550" s="6"/>
    </row>
    <row r="4551" s="1" customFormat="1" spans="1:3">
      <c r="A4551" s="6"/>
      <c r="B4551" s="6"/>
      <c r="C4551" s="6"/>
    </row>
    <row r="4552" s="1" customFormat="1" spans="1:3">
      <c r="A4552" s="6"/>
      <c r="B4552" s="6"/>
      <c r="C4552" s="6"/>
    </row>
    <row r="4553" s="1" customFormat="1" spans="1:3">
      <c r="A4553" s="6"/>
      <c r="B4553" s="6"/>
      <c r="C4553" s="6"/>
    </row>
    <row r="4554" s="1" customFormat="1" spans="1:3">
      <c r="A4554" s="6"/>
      <c r="B4554" s="6"/>
      <c r="C4554" s="6"/>
    </row>
    <row r="4555" s="1" customFormat="1" spans="1:3">
      <c r="A4555" s="6"/>
      <c r="B4555" s="6"/>
      <c r="C4555" s="6"/>
    </row>
    <row r="4556" s="1" customFormat="1" spans="1:3">
      <c r="A4556" s="6"/>
      <c r="B4556" s="6"/>
      <c r="C4556" s="6"/>
    </row>
    <row r="4557" s="1" customFormat="1" spans="1:3">
      <c r="A4557" s="6"/>
      <c r="B4557" s="6"/>
      <c r="C4557" s="6"/>
    </row>
    <row r="4558" s="1" customFormat="1" spans="1:3">
      <c r="A4558" s="6"/>
      <c r="B4558" s="6"/>
      <c r="C4558" s="6"/>
    </row>
    <row r="4559" s="1" customFormat="1" spans="1:3">
      <c r="A4559" s="6"/>
      <c r="B4559" s="6"/>
      <c r="C4559" s="6"/>
    </row>
    <row r="4560" s="1" customFormat="1" spans="1:3">
      <c r="A4560" s="6"/>
      <c r="B4560" s="6"/>
      <c r="C4560" s="6"/>
    </row>
    <row r="4561" s="1" customFormat="1" spans="1:3">
      <c r="A4561" s="6"/>
      <c r="B4561" s="6"/>
      <c r="C4561" s="6"/>
    </row>
    <row r="4562" s="1" customFormat="1" spans="1:3">
      <c r="A4562" s="6"/>
      <c r="B4562" s="6"/>
      <c r="C4562" s="6"/>
    </row>
    <row r="4563" s="1" customFormat="1" spans="1:3">
      <c r="A4563" s="6"/>
      <c r="B4563" s="6"/>
      <c r="C4563" s="6"/>
    </row>
    <row r="4564" s="1" customFormat="1" spans="1:3">
      <c r="A4564" s="6"/>
      <c r="B4564" s="6"/>
      <c r="C4564" s="6"/>
    </row>
    <row r="4565" s="1" customFormat="1" spans="1:3">
      <c r="A4565" s="6"/>
      <c r="B4565" s="6"/>
      <c r="C4565" s="6"/>
    </row>
    <row r="4566" s="1" customFormat="1" spans="1:3">
      <c r="A4566" s="6"/>
      <c r="B4566" s="6"/>
      <c r="C4566" s="6"/>
    </row>
    <row r="4567" s="1" customFormat="1" spans="1:3">
      <c r="A4567" s="6"/>
      <c r="B4567" s="6"/>
      <c r="C4567" s="6"/>
    </row>
    <row r="4568" s="1" customFormat="1" spans="1:3">
      <c r="A4568" s="6"/>
      <c r="B4568" s="6"/>
      <c r="C4568" s="6"/>
    </row>
    <row r="4569" s="1" customFormat="1" spans="1:3">
      <c r="A4569" s="6"/>
      <c r="B4569" s="6"/>
      <c r="C4569" s="6"/>
    </row>
    <row r="4570" s="1" customFormat="1" spans="1:3">
      <c r="A4570" s="6"/>
      <c r="B4570" s="6"/>
      <c r="C4570" s="6"/>
    </row>
    <row r="4571" s="1" customFormat="1" spans="1:3">
      <c r="A4571" s="6"/>
      <c r="B4571" s="6"/>
      <c r="C4571" s="6"/>
    </row>
    <row r="4572" s="1" customFormat="1" spans="1:3">
      <c r="A4572" s="6"/>
      <c r="B4572" s="6"/>
      <c r="C4572" s="6"/>
    </row>
    <row r="4573" s="1" customFormat="1" spans="1:3">
      <c r="A4573" s="6"/>
      <c r="B4573" s="6"/>
      <c r="C4573" s="6"/>
    </row>
    <row r="4574" s="1" customFormat="1" spans="1:3">
      <c r="A4574" s="6"/>
      <c r="B4574" s="6"/>
      <c r="C4574" s="6"/>
    </row>
    <row r="4575" s="1" customFormat="1" spans="1:3">
      <c r="A4575" s="6"/>
      <c r="B4575" s="6"/>
      <c r="C4575" s="6"/>
    </row>
    <row r="4576" s="1" customFormat="1" spans="1:3">
      <c r="A4576" s="6"/>
      <c r="B4576" s="6"/>
      <c r="C4576" s="6"/>
    </row>
    <row r="4577" s="1" customFormat="1" spans="1:3">
      <c r="A4577" s="6"/>
      <c r="B4577" s="6"/>
      <c r="C4577" s="6"/>
    </row>
    <row r="4578" s="1" customFormat="1" spans="1:3">
      <c r="A4578" s="6"/>
      <c r="B4578" s="6"/>
      <c r="C4578" s="6"/>
    </row>
    <row r="4579" s="1" customFormat="1" spans="1:3">
      <c r="A4579" s="6"/>
      <c r="B4579" s="6"/>
      <c r="C4579" s="6"/>
    </row>
    <row r="4580" s="1" customFormat="1" spans="1:3">
      <c r="A4580" s="6"/>
      <c r="B4580" s="6"/>
      <c r="C4580" s="6"/>
    </row>
    <row r="4581" s="1" customFormat="1" spans="1:3">
      <c r="A4581" s="6"/>
      <c r="B4581" s="6"/>
      <c r="C4581" s="6"/>
    </row>
    <row r="4582" s="1" customFormat="1" spans="1:3">
      <c r="A4582" s="6"/>
      <c r="B4582" s="6"/>
      <c r="C4582" s="6"/>
    </row>
    <row r="4583" s="1" customFormat="1" spans="1:3">
      <c r="A4583" s="6"/>
      <c r="B4583" s="6"/>
      <c r="C4583" s="6"/>
    </row>
    <row r="4584" s="1" customFormat="1" spans="1:3">
      <c r="A4584" s="6"/>
      <c r="B4584" s="6"/>
      <c r="C4584" s="6"/>
    </row>
    <row r="4585" s="1" customFormat="1" spans="1:3">
      <c r="A4585" s="6"/>
      <c r="B4585" s="6"/>
      <c r="C4585" s="6"/>
    </row>
    <row r="4586" s="1" customFormat="1" spans="1:3">
      <c r="A4586" s="6"/>
      <c r="B4586" s="6"/>
      <c r="C4586" s="6"/>
    </row>
    <row r="4587" s="1" customFormat="1" spans="1:3">
      <c r="A4587" s="6"/>
      <c r="B4587" s="6"/>
      <c r="C4587" s="6"/>
    </row>
    <row r="4588" s="1" customFormat="1" spans="1:3">
      <c r="A4588" s="6"/>
      <c r="B4588" s="6"/>
      <c r="C4588" s="6"/>
    </row>
    <row r="4589" s="1" customFormat="1" spans="1:3">
      <c r="A4589" s="6"/>
      <c r="B4589" s="6"/>
      <c r="C4589" s="6"/>
    </row>
    <row r="4590" s="1" customFormat="1" spans="1:3">
      <c r="A4590" s="6"/>
      <c r="B4590" s="6"/>
      <c r="C4590" s="6"/>
    </row>
    <row r="4591" s="1" customFormat="1" spans="1:3">
      <c r="A4591" s="6"/>
      <c r="B4591" s="6"/>
      <c r="C4591" s="6"/>
    </row>
    <row r="4592" s="1" customFormat="1" spans="1:3">
      <c r="A4592" s="6"/>
      <c r="B4592" s="6"/>
      <c r="C4592" s="6"/>
    </row>
    <row r="4593" s="1" customFormat="1" spans="1:3">
      <c r="A4593" s="6"/>
      <c r="B4593" s="6"/>
      <c r="C4593" s="6"/>
    </row>
    <row r="4594" s="1" customFormat="1" spans="1:3">
      <c r="A4594" s="6"/>
      <c r="B4594" s="6"/>
      <c r="C4594" s="6"/>
    </row>
    <row r="4595" s="1" customFormat="1" spans="1:3">
      <c r="A4595" s="6"/>
      <c r="B4595" s="6"/>
      <c r="C4595" s="6"/>
    </row>
    <row r="4596" s="1" customFormat="1" spans="1:3">
      <c r="A4596" s="6"/>
      <c r="B4596" s="6"/>
      <c r="C4596" s="6"/>
    </row>
    <row r="4597" s="1" customFormat="1" spans="1:3">
      <c r="A4597" s="6"/>
      <c r="B4597" s="6"/>
      <c r="C4597" s="6"/>
    </row>
    <row r="4598" s="1" customFormat="1" spans="1:3">
      <c r="A4598" s="6"/>
      <c r="B4598" s="6"/>
      <c r="C4598" s="6"/>
    </row>
    <row r="4599" s="1" customFormat="1" spans="1:3">
      <c r="A4599" s="6"/>
      <c r="B4599" s="6"/>
      <c r="C4599" s="6"/>
    </row>
    <row r="4600" s="1" customFormat="1" spans="1:3">
      <c r="A4600" s="6"/>
      <c r="B4600" s="6"/>
      <c r="C4600" s="6"/>
    </row>
    <row r="4601" s="1" customFormat="1" spans="1:3">
      <c r="A4601" s="6"/>
      <c r="B4601" s="6"/>
      <c r="C4601" s="6"/>
    </row>
    <row r="4602" s="1" customFormat="1" spans="1:3">
      <c r="A4602" s="6"/>
      <c r="B4602" s="6"/>
      <c r="C4602" s="6"/>
    </row>
    <row r="4603" s="1" customFormat="1" spans="1:3">
      <c r="A4603" s="6"/>
      <c r="B4603" s="6"/>
      <c r="C4603" s="6"/>
    </row>
    <row r="4604" s="1" customFormat="1" spans="1:3">
      <c r="A4604" s="6"/>
      <c r="B4604" s="6"/>
      <c r="C4604" s="6"/>
    </row>
    <row r="4605" s="1" customFormat="1" spans="1:3">
      <c r="A4605" s="6"/>
      <c r="B4605" s="6"/>
      <c r="C4605" s="6"/>
    </row>
    <row r="4606" s="1" customFormat="1" spans="1:3">
      <c r="A4606" s="6"/>
      <c r="B4606" s="6"/>
      <c r="C4606" s="6"/>
    </row>
    <row r="4607" s="1" customFormat="1" spans="1:3">
      <c r="A4607" s="6"/>
      <c r="B4607" s="6"/>
      <c r="C4607" s="6"/>
    </row>
    <row r="4608" s="1" customFormat="1" spans="1:3">
      <c r="A4608" s="6"/>
      <c r="B4608" s="6"/>
      <c r="C4608" s="6"/>
    </row>
    <row r="4609" s="1" customFormat="1" spans="1:3">
      <c r="A4609" s="6"/>
      <c r="B4609" s="6"/>
      <c r="C4609" s="6"/>
    </row>
    <row r="4610" s="1" customFormat="1" spans="1:3">
      <c r="A4610" s="6"/>
      <c r="B4610" s="6"/>
      <c r="C4610" s="6"/>
    </row>
    <row r="4611" s="1" customFormat="1" spans="1:3">
      <c r="A4611" s="6"/>
      <c r="B4611" s="6"/>
      <c r="C4611" s="6"/>
    </row>
    <row r="4612" s="1" customFormat="1" spans="1:3">
      <c r="A4612" s="6"/>
      <c r="B4612" s="6"/>
      <c r="C4612" s="6"/>
    </row>
    <row r="4613" s="1" customFormat="1" spans="1:3">
      <c r="A4613" s="6"/>
      <c r="B4613" s="6"/>
      <c r="C4613" s="6"/>
    </row>
    <row r="4614" s="1" customFormat="1" spans="1:3">
      <c r="A4614" s="6"/>
      <c r="B4614" s="6"/>
      <c r="C4614" s="6"/>
    </row>
    <row r="4615" s="1" customFormat="1" spans="1:3">
      <c r="A4615" s="6"/>
      <c r="B4615" s="6"/>
      <c r="C4615" s="6"/>
    </row>
    <row r="4616" s="1" customFormat="1" spans="1:3">
      <c r="A4616" s="6"/>
      <c r="B4616" s="6"/>
      <c r="C4616" s="6"/>
    </row>
    <row r="4617" s="1" customFormat="1" spans="1:3">
      <c r="A4617" s="6"/>
      <c r="B4617" s="6"/>
      <c r="C4617" s="6"/>
    </row>
    <row r="4618" s="1" customFormat="1" spans="1:3">
      <c r="A4618" s="6"/>
      <c r="B4618" s="6"/>
      <c r="C4618" s="6"/>
    </row>
    <row r="4619" s="1" customFormat="1" spans="1:3">
      <c r="A4619" s="6"/>
      <c r="B4619" s="6"/>
      <c r="C4619" s="6"/>
    </row>
    <row r="4620" s="1" customFormat="1" spans="1:3">
      <c r="A4620" s="6"/>
      <c r="B4620" s="6"/>
      <c r="C4620" s="6"/>
    </row>
    <row r="4621" s="1" customFormat="1" spans="1:3">
      <c r="A4621" s="6"/>
      <c r="B4621" s="6"/>
      <c r="C4621" s="6"/>
    </row>
    <row r="4622" s="1" customFormat="1" spans="1:3">
      <c r="A4622" s="6"/>
      <c r="B4622" s="6"/>
      <c r="C4622" s="6"/>
    </row>
    <row r="4623" s="1" customFormat="1" spans="1:3">
      <c r="A4623" s="6"/>
      <c r="B4623" s="6"/>
      <c r="C4623" s="6"/>
    </row>
    <row r="4624" s="1" customFormat="1" spans="1:3">
      <c r="A4624" s="6"/>
      <c r="B4624" s="6"/>
      <c r="C4624" s="6"/>
    </row>
    <row r="4625" s="1" customFormat="1" spans="1:3">
      <c r="A4625" s="6"/>
      <c r="B4625" s="6"/>
      <c r="C4625" s="6"/>
    </row>
    <row r="4626" s="1" customFormat="1" spans="1:3">
      <c r="A4626" s="6"/>
      <c r="B4626" s="6"/>
      <c r="C4626" s="6"/>
    </row>
    <row r="4627" s="1" customFormat="1" spans="1:3">
      <c r="A4627" s="6"/>
      <c r="B4627" s="6"/>
      <c r="C4627" s="6"/>
    </row>
    <row r="4628" s="1" customFormat="1" spans="1:3">
      <c r="A4628" s="6"/>
      <c r="B4628" s="6"/>
      <c r="C4628" s="6"/>
    </row>
    <row r="4629" s="1" customFormat="1" spans="1:3">
      <c r="A4629" s="6"/>
      <c r="B4629" s="6"/>
      <c r="C4629" s="6"/>
    </row>
    <row r="4630" s="1" customFormat="1" spans="1:3">
      <c r="A4630" s="6"/>
      <c r="B4630" s="6"/>
      <c r="C4630" s="6"/>
    </row>
    <row r="4631" s="1" customFormat="1" spans="1:3">
      <c r="A4631" s="6"/>
      <c r="B4631" s="6"/>
      <c r="C4631" s="6"/>
    </row>
    <row r="4632" s="1" customFormat="1" spans="1:3">
      <c r="A4632" s="6"/>
      <c r="B4632" s="6"/>
      <c r="C4632" s="6"/>
    </row>
    <row r="4633" s="1" customFormat="1" spans="1:3">
      <c r="A4633" s="6"/>
      <c r="B4633" s="6"/>
      <c r="C4633" s="6"/>
    </row>
    <row r="4634" s="1" customFormat="1" spans="1:3">
      <c r="A4634" s="6"/>
      <c r="B4634" s="6"/>
      <c r="C4634" s="6"/>
    </row>
    <row r="4635" s="1" customFormat="1" spans="1:3">
      <c r="A4635" s="6"/>
      <c r="B4635" s="6"/>
      <c r="C4635" s="6"/>
    </row>
    <row r="4636" s="1" customFormat="1" spans="1:3">
      <c r="A4636" s="6"/>
      <c r="B4636" s="6"/>
      <c r="C4636" s="6"/>
    </row>
    <row r="4637" s="1" customFormat="1" spans="1:3">
      <c r="A4637" s="6"/>
      <c r="B4637" s="6"/>
      <c r="C4637" s="6"/>
    </row>
    <row r="4638" s="1" customFormat="1" spans="1:3">
      <c r="A4638" s="6"/>
      <c r="B4638" s="6"/>
      <c r="C4638" s="6"/>
    </row>
    <row r="4639" s="1" customFormat="1" spans="1:3">
      <c r="A4639" s="6"/>
      <c r="B4639" s="6"/>
      <c r="C4639" s="6"/>
    </row>
    <row r="4640" s="1" customFormat="1" spans="1:3">
      <c r="A4640" s="6"/>
      <c r="B4640" s="6"/>
      <c r="C4640" s="6"/>
    </row>
    <row r="4641" s="1" customFormat="1" spans="1:3">
      <c r="A4641" s="6"/>
      <c r="B4641" s="6"/>
      <c r="C4641" s="6"/>
    </row>
    <row r="4642" s="1" customFormat="1" spans="1:3">
      <c r="A4642" s="6"/>
      <c r="B4642" s="6"/>
      <c r="C4642" s="6"/>
    </row>
    <row r="4643" s="1" customFormat="1" spans="1:3">
      <c r="A4643" s="6"/>
      <c r="B4643" s="6"/>
      <c r="C4643" s="6"/>
    </row>
    <row r="4644" s="1" customFormat="1" spans="1:3">
      <c r="A4644" s="6"/>
      <c r="B4644" s="6"/>
      <c r="C4644" s="6"/>
    </row>
    <row r="4645" s="1" customFormat="1" spans="1:3">
      <c r="A4645" s="6"/>
      <c r="B4645" s="6"/>
      <c r="C4645" s="6"/>
    </row>
    <row r="4646" s="1" customFormat="1" spans="1:3">
      <c r="A4646" s="6"/>
      <c r="B4646" s="6"/>
      <c r="C4646" s="6"/>
    </row>
    <row r="4647" s="1" customFormat="1" spans="1:3">
      <c r="A4647" s="6"/>
      <c r="B4647" s="6"/>
      <c r="C4647" s="6"/>
    </row>
    <row r="4648" s="1" customFormat="1" spans="1:3">
      <c r="A4648" s="6"/>
      <c r="B4648" s="6"/>
      <c r="C4648" s="6"/>
    </row>
    <row r="4649" s="1" customFormat="1" spans="1:3">
      <c r="A4649" s="6"/>
      <c r="B4649" s="6"/>
      <c r="C4649" s="6"/>
    </row>
    <row r="4650" s="1" customFormat="1" spans="1:3">
      <c r="A4650" s="6"/>
      <c r="B4650" s="6"/>
      <c r="C4650" s="6"/>
    </row>
    <row r="4651" s="1" customFormat="1" spans="1:3">
      <c r="A4651" s="6"/>
      <c r="B4651" s="6"/>
      <c r="C4651" s="6"/>
    </row>
    <row r="4652" s="1" customFormat="1" spans="1:3">
      <c r="A4652" s="6"/>
      <c r="B4652" s="6"/>
      <c r="C4652" s="6"/>
    </row>
    <row r="4653" s="1" customFormat="1" spans="1:3">
      <c r="A4653" s="6"/>
      <c r="B4653" s="6"/>
      <c r="C4653" s="6"/>
    </row>
    <row r="4654" s="1" customFormat="1" spans="1:3">
      <c r="A4654" s="6"/>
      <c r="B4654" s="6"/>
      <c r="C4654" s="6"/>
    </row>
    <row r="4655" s="1" customFormat="1" spans="1:3">
      <c r="A4655" s="6"/>
      <c r="B4655" s="6"/>
      <c r="C4655" s="6"/>
    </row>
    <row r="4656" s="1" customFormat="1" spans="1:3">
      <c r="A4656" s="6"/>
      <c r="B4656" s="6"/>
      <c r="C4656" s="6"/>
    </row>
    <row r="4657" s="1" customFormat="1" spans="1:3">
      <c r="A4657" s="6"/>
      <c r="B4657" s="6"/>
      <c r="C4657" s="6"/>
    </row>
    <row r="4658" s="1" customFormat="1" spans="1:3">
      <c r="A4658" s="6"/>
      <c r="B4658" s="6"/>
      <c r="C4658" s="6"/>
    </row>
    <row r="4659" s="1" customFormat="1" spans="1:3">
      <c r="A4659" s="6"/>
      <c r="B4659" s="6"/>
      <c r="C4659" s="6"/>
    </row>
    <row r="4660" s="1" customFormat="1" spans="1:3">
      <c r="A4660" s="6"/>
      <c r="B4660" s="6"/>
      <c r="C4660" s="6"/>
    </row>
    <row r="4661" s="1" customFormat="1" spans="1:3">
      <c r="A4661" s="6"/>
      <c r="B4661" s="6"/>
      <c r="C4661" s="6"/>
    </row>
    <row r="4662" s="1" customFormat="1" spans="1:3">
      <c r="A4662" s="6"/>
      <c r="B4662" s="6"/>
      <c r="C4662" s="6"/>
    </row>
    <row r="4663" s="1" customFormat="1" spans="1:3">
      <c r="A4663" s="6"/>
      <c r="B4663" s="6"/>
      <c r="C4663" s="6"/>
    </row>
    <row r="4664" s="1" customFormat="1" spans="1:3">
      <c r="A4664" s="6"/>
      <c r="B4664" s="6"/>
      <c r="C4664" s="6"/>
    </row>
    <row r="4665" s="1" customFormat="1" spans="1:3">
      <c r="A4665" s="6"/>
      <c r="B4665" s="6"/>
      <c r="C4665" s="6"/>
    </row>
    <row r="4666" s="1" customFormat="1" spans="1:3">
      <c r="A4666" s="6"/>
      <c r="B4666" s="6"/>
      <c r="C4666" s="6"/>
    </row>
    <row r="4667" s="1" customFormat="1" spans="1:3">
      <c r="A4667" s="6"/>
      <c r="B4667" s="6"/>
      <c r="C4667" s="6"/>
    </row>
    <row r="4668" s="1" customFormat="1" spans="1:3">
      <c r="A4668" s="6"/>
      <c r="B4668" s="6"/>
      <c r="C4668" s="6"/>
    </row>
    <row r="4669" s="1" customFormat="1" spans="1:3">
      <c r="A4669" s="6"/>
      <c r="B4669" s="6"/>
      <c r="C4669" s="6"/>
    </row>
    <row r="4670" s="1" customFormat="1" spans="1:3">
      <c r="A4670" s="6"/>
      <c r="B4670" s="6"/>
      <c r="C4670" s="6"/>
    </row>
    <row r="4671" s="1" customFormat="1" spans="1:3">
      <c r="A4671" s="6"/>
      <c r="B4671" s="6"/>
      <c r="C4671" s="6"/>
    </row>
    <row r="4672" s="1" customFormat="1" spans="1:3">
      <c r="A4672" s="6"/>
      <c r="B4672" s="6"/>
      <c r="C4672" s="6"/>
    </row>
    <row r="4673" s="1" customFormat="1" spans="1:3">
      <c r="A4673" s="6"/>
      <c r="B4673" s="6"/>
      <c r="C4673" s="6"/>
    </row>
    <row r="4674" s="1" customFormat="1" spans="1:3">
      <c r="A4674" s="6"/>
      <c r="B4674" s="6"/>
      <c r="C4674" s="6"/>
    </row>
    <row r="4675" s="1" customFormat="1" spans="1:3">
      <c r="A4675" s="6"/>
      <c r="B4675" s="6"/>
      <c r="C4675" s="6"/>
    </row>
    <row r="4676" s="1" customFormat="1" spans="1:3">
      <c r="A4676" s="6"/>
      <c r="B4676" s="6"/>
      <c r="C4676" s="6"/>
    </row>
    <row r="4677" s="1" customFormat="1" spans="1:3">
      <c r="A4677" s="6"/>
      <c r="B4677" s="6"/>
      <c r="C4677" s="6"/>
    </row>
    <row r="4678" s="1" customFormat="1" spans="1:3">
      <c r="A4678" s="6"/>
      <c r="B4678" s="6"/>
      <c r="C4678" s="6"/>
    </row>
    <row r="4679" s="1" customFormat="1" spans="1:3">
      <c r="A4679" s="6"/>
      <c r="B4679" s="6"/>
      <c r="C4679" s="6"/>
    </row>
    <row r="4680" s="1" customFormat="1" spans="1:3">
      <c r="A4680" s="6"/>
      <c r="B4680" s="6"/>
      <c r="C4680" s="6"/>
    </row>
    <row r="4681" s="1" customFormat="1" spans="1:3">
      <c r="A4681" s="6"/>
      <c r="B4681" s="6"/>
      <c r="C4681" s="6"/>
    </row>
    <row r="4682" s="1" customFormat="1" spans="1:3">
      <c r="A4682" s="6"/>
      <c r="B4682" s="6"/>
      <c r="C4682" s="6"/>
    </row>
    <row r="4683" s="1" customFormat="1" spans="1:3">
      <c r="A4683" s="6"/>
      <c r="B4683" s="6"/>
      <c r="C4683" s="6"/>
    </row>
    <row r="4684" s="1" customFormat="1" spans="1:3">
      <c r="A4684" s="6"/>
      <c r="B4684" s="6"/>
      <c r="C4684" s="6"/>
    </row>
    <row r="4685" s="1" customFormat="1" spans="1:3">
      <c r="A4685" s="6"/>
      <c r="B4685" s="6"/>
      <c r="C4685" s="6"/>
    </row>
    <row r="4686" s="1" customFormat="1" spans="1:3">
      <c r="A4686" s="6"/>
      <c r="B4686" s="6"/>
      <c r="C4686" s="6"/>
    </row>
    <row r="4687" s="1" customFormat="1" spans="1:3">
      <c r="A4687" s="6"/>
      <c r="B4687" s="6"/>
      <c r="C4687" s="6"/>
    </row>
    <row r="4688" s="1" customFormat="1" spans="1:3">
      <c r="A4688" s="6"/>
      <c r="B4688" s="6"/>
      <c r="C4688" s="6"/>
    </row>
    <row r="4689" s="1" customFormat="1" spans="1:3">
      <c r="A4689" s="6"/>
      <c r="B4689" s="6"/>
      <c r="C4689" s="6"/>
    </row>
    <row r="4690" s="1" customFormat="1" spans="1:3">
      <c r="A4690" s="6"/>
      <c r="B4690" s="6"/>
      <c r="C4690" s="6"/>
    </row>
    <row r="4691" s="1" customFormat="1" spans="1:3">
      <c r="A4691" s="6"/>
      <c r="B4691" s="6"/>
      <c r="C4691" s="6"/>
    </row>
    <row r="4692" s="1" customFormat="1" spans="1:3">
      <c r="A4692" s="6"/>
      <c r="B4692" s="6"/>
      <c r="C4692" s="6"/>
    </row>
    <row r="4693" s="1" customFormat="1" spans="1:3">
      <c r="A4693" s="6"/>
      <c r="B4693" s="6"/>
      <c r="C4693" s="6"/>
    </row>
    <row r="4694" s="1" customFormat="1" spans="1:3">
      <c r="A4694" s="6"/>
      <c r="B4694" s="6"/>
      <c r="C4694" s="6"/>
    </row>
    <row r="4695" s="1" customFormat="1" spans="1:3">
      <c r="A4695" s="6"/>
      <c r="B4695" s="6"/>
      <c r="C4695" s="6"/>
    </row>
    <row r="4696" s="1" customFormat="1" spans="1:3">
      <c r="A4696" s="6"/>
      <c r="B4696" s="6"/>
      <c r="C4696" s="6"/>
    </row>
    <row r="4697" s="1" customFormat="1" spans="1:3">
      <c r="A4697" s="6"/>
      <c r="B4697" s="6"/>
      <c r="C4697" s="6"/>
    </row>
    <row r="4698" s="1" customFormat="1" spans="1:3">
      <c r="A4698" s="6"/>
      <c r="B4698" s="6"/>
      <c r="C4698" s="6"/>
    </row>
    <row r="4699" s="1" customFormat="1" spans="1:3">
      <c r="A4699" s="6"/>
      <c r="B4699" s="6"/>
      <c r="C4699" s="6"/>
    </row>
    <row r="4700" s="1" customFormat="1" spans="1:3">
      <c r="A4700" s="6"/>
      <c r="B4700" s="6"/>
      <c r="C4700" s="6"/>
    </row>
    <row r="4701" s="1" customFormat="1" spans="1:3">
      <c r="A4701" s="6"/>
      <c r="B4701" s="6"/>
      <c r="C4701" s="6"/>
    </row>
    <row r="4702" s="1" customFormat="1" spans="1:3">
      <c r="A4702" s="6"/>
      <c r="B4702" s="6"/>
      <c r="C4702" s="6"/>
    </row>
    <row r="4703" s="1" customFormat="1" spans="1:3">
      <c r="A4703" s="6"/>
      <c r="B4703" s="6"/>
      <c r="C4703" s="6"/>
    </row>
    <row r="4704" s="1" customFormat="1" spans="1:3">
      <c r="A4704" s="6"/>
      <c r="B4704" s="6"/>
      <c r="C4704" s="6"/>
    </row>
    <row r="4705" s="1" customFormat="1" spans="1:3">
      <c r="A4705" s="6"/>
      <c r="B4705" s="6"/>
      <c r="C4705" s="6"/>
    </row>
    <row r="4706" s="1" customFormat="1" spans="1:3">
      <c r="A4706" s="6"/>
      <c r="B4706" s="6"/>
      <c r="C4706" s="6"/>
    </row>
    <row r="4707" s="1" customFormat="1" spans="1:3">
      <c r="A4707" s="6"/>
      <c r="B4707" s="6"/>
      <c r="C4707" s="6"/>
    </row>
    <row r="4708" s="1" customFormat="1" spans="1:3">
      <c r="A4708" s="6"/>
      <c r="B4708" s="6"/>
      <c r="C4708" s="6"/>
    </row>
    <row r="4709" s="1" customFormat="1" spans="1:3">
      <c r="A4709" s="6"/>
      <c r="B4709" s="6"/>
      <c r="C4709" s="6"/>
    </row>
    <row r="4710" s="1" customFormat="1" spans="1:3">
      <c r="A4710" s="6"/>
      <c r="B4710" s="6"/>
      <c r="C4710" s="6"/>
    </row>
    <row r="4711" s="1" customFormat="1" spans="1:3">
      <c r="A4711" s="6"/>
      <c r="B4711" s="6"/>
      <c r="C4711" s="6"/>
    </row>
    <row r="4712" s="1" customFormat="1" spans="1:3">
      <c r="A4712" s="6"/>
      <c r="B4712" s="6"/>
      <c r="C4712" s="6"/>
    </row>
    <row r="4713" s="1" customFormat="1" spans="1:3">
      <c r="A4713" s="6"/>
      <c r="B4713" s="6"/>
      <c r="C4713" s="6"/>
    </row>
    <row r="4714" s="1" customFormat="1" spans="1:3">
      <c r="A4714" s="6"/>
      <c r="B4714" s="6"/>
      <c r="C4714" s="6"/>
    </row>
    <row r="4715" s="1" customFormat="1" spans="1:3">
      <c r="A4715" s="6"/>
      <c r="B4715" s="6"/>
      <c r="C4715" s="6"/>
    </row>
    <row r="4716" s="1" customFormat="1" spans="1:3">
      <c r="A4716" s="6"/>
      <c r="B4716" s="6"/>
      <c r="C4716" s="6"/>
    </row>
    <row r="4717" s="1" customFormat="1" spans="1:3">
      <c r="A4717" s="6"/>
      <c r="B4717" s="6"/>
      <c r="C4717" s="6"/>
    </row>
    <row r="4718" s="1" customFormat="1" spans="1:3">
      <c r="A4718" s="6"/>
      <c r="B4718" s="6"/>
      <c r="C4718" s="6"/>
    </row>
    <row r="4719" s="1" customFormat="1" spans="1:3">
      <c r="A4719" s="6"/>
      <c r="B4719" s="6"/>
      <c r="C4719" s="6"/>
    </row>
    <row r="4720" s="1" customFormat="1" spans="1:3">
      <c r="A4720" s="6"/>
      <c r="B4720" s="6"/>
      <c r="C4720" s="6"/>
    </row>
    <row r="4721" s="1" customFormat="1" spans="1:3">
      <c r="A4721" s="6"/>
      <c r="B4721" s="6"/>
      <c r="C4721" s="6"/>
    </row>
    <row r="4722" s="1" customFormat="1" spans="1:3">
      <c r="A4722" s="6"/>
      <c r="B4722" s="6"/>
      <c r="C4722" s="6"/>
    </row>
    <row r="4723" s="1" customFormat="1" spans="1:3">
      <c r="A4723" s="6"/>
      <c r="B4723" s="6"/>
      <c r="C4723" s="6"/>
    </row>
    <row r="4724" s="1" customFormat="1" spans="1:3">
      <c r="A4724" s="6"/>
      <c r="B4724" s="6"/>
      <c r="C4724" s="6"/>
    </row>
    <row r="4725" s="1" customFormat="1" spans="1:3">
      <c r="A4725" s="6"/>
      <c r="B4725" s="6"/>
      <c r="C4725" s="6"/>
    </row>
    <row r="4726" s="1" customFormat="1" spans="1:3">
      <c r="A4726" s="6"/>
      <c r="B4726" s="6"/>
      <c r="C4726" s="6"/>
    </row>
    <row r="4727" s="1" customFormat="1" spans="1:3">
      <c r="A4727" s="6"/>
      <c r="B4727" s="6"/>
      <c r="C4727" s="6"/>
    </row>
    <row r="4728" s="1" customFormat="1" spans="1:3">
      <c r="A4728" s="6"/>
      <c r="B4728" s="6"/>
      <c r="C4728" s="6"/>
    </row>
    <row r="4729" s="1" customFormat="1" spans="1:3">
      <c r="A4729" s="6"/>
      <c r="B4729" s="6"/>
      <c r="C4729" s="6"/>
    </row>
    <row r="4730" s="1" customFormat="1" spans="1:3">
      <c r="A4730" s="6"/>
      <c r="B4730" s="6"/>
      <c r="C4730" s="6"/>
    </row>
    <row r="4731" s="1" customFormat="1" spans="1:3">
      <c r="A4731" s="6"/>
      <c r="B4731" s="6"/>
      <c r="C4731" s="6"/>
    </row>
    <row r="4732" s="1" customFormat="1" spans="1:3">
      <c r="A4732" s="6"/>
      <c r="B4732" s="6"/>
      <c r="C4732" s="6"/>
    </row>
    <row r="4733" s="1" customFormat="1" spans="1:3">
      <c r="A4733" s="6"/>
      <c r="B4733" s="6"/>
      <c r="C4733" s="6"/>
    </row>
    <row r="4734" s="1" customFormat="1" spans="1:3">
      <c r="A4734" s="6"/>
      <c r="B4734" s="6"/>
      <c r="C4734" s="6"/>
    </row>
    <row r="4735" s="1" customFormat="1" spans="1:3">
      <c r="A4735" s="6"/>
      <c r="B4735" s="6"/>
      <c r="C4735" s="6"/>
    </row>
    <row r="4736" s="1" customFormat="1" spans="1:3">
      <c r="A4736" s="6"/>
      <c r="B4736" s="6"/>
      <c r="C4736" s="6"/>
    </row>
    <row r="4737" s="1" customFormat="1" spans="1:3">
      <c r="A4737" s="6"/>
      <c r="B4737" s="6"/>
      <c r="C4737" s="6"/>
    </row>
    <row r="4738" s="1" customFormat="1" spans="1:3">
      <c r="A4738" s="6"/>
      <c r="B4738" s="6"/>
      <c r="C4738" s="6"/>
    </row>
    <row r="4739" s="1" customFormat="1" spans="1:3">
      <c r="A4739" s="6"/>
      <c r="B4739" s="6"/>
      <c r="C4739" s="6"/>
    </row>
    <row r="4740" s="1" customFormat="1" spans="1:3">
      <c r="A4740" s="6"/>
      <c r="B4740" s="6"/>
      <c r="C4740" s="6"/>
    </row>
    <row r="4741" s="1" customFormat="1" spans="1:3">
      <c r="A4741" s="6"/>
      <c r="B4741" s="6"/>
      <c r="C4741" s="6"/>
    </row>
    <row r="4742" s="1" customFormat="1" spans="1:3">
      <c r="A4742" s="6"/>
      <c r="B4742" s="6"/>
      <c r="C4742" s="6"/>
    </row>
    <row r="4743" s="1" customFormat="1" spans="1:3">
      <c r="A4743" s="6"/>
      <c r="B4743" s="6"/>
      <c r="C4743" s="6"/>
    </row>
    <row r="4744" s="1" customFormat="1" spans="1:3">
      <c r="A4744" s="6"/>
      <c r="B4744" s="6"/>
      <c r="C4744" s="6"/>
    </row>
    <row r="4745" s="1" customFormat="1" spans="1:3">
      <c r="A4745" s="6"/>
      <c r="B4745" s="6"/>
      <c r="C4745" s="6"/>
    </row>
    <row r="4746" s="1" customFormat="1" spans="1:3">
      <c r="A4746" s="6"/>
      <c r="B4746" s="6"/>
      <c r="C4746" s="6"/>
    </row>
    <row r="4747" s="1" customFormat="1" spans="1:3">
      <c r="A4747" s="6"/>
      <c r="B4747" s="6"/>
      <c r="C4747" s="6"/>
    </row>
    <row r="4748" s="1" customFormat="1" spans="1:3">
      <c r="A4748" s="6"/>
      <c r="B4748" s="6"/>
      <c r="C4748" s="6"/>
    </row>
    <row r="4749" s="1" customFormat="1" spans="1:3">
      <c r="A4749" s="6"/>
      <c r="B4749" s="6"/>
      <c r="C4749" s="6"/>
    </row>
    <row r="4750" s="1" customFormat="1" spans="1:3">
      <c r="A4750" s="6"/>
      <c r="B4750" s="6"/>
      <c r="C4750" s="6"/>
    </row>
    <row r="4751" s="1" customFormat="1" spans="1:3">
      <c r="A4751" s="6"/>
      <c r="B4751" s="6"/>
      <c r="C4751" s="6"/>
    </row>
    <row r="4752" s="1" customFormat="1" spans="1:3">
      <c r="A4752" s="6"/>
      <c r="B4752" s="6"/>
      <c r="C4752" s="6"/>
    </row>
    <row r="4753" s="1" customFormat="1" spans="1:3">
      <c r="A4753" s="6"/>
      <c r="B4753" s="6"/>
      <c r="C4753" s="6"/>
    </row>
    <row r="4754" s="1" customFormat="1" spans="1:3">
      <c r="A4754" s="6"/>
      <c r="B4754" s="6"/>
      <c r="C4754" s="6"/>
    </row>
    <row r="4755" s="1" customFormat="1" spans="1:3">
      <c r="A4755" s="6"/>
      <c r="B4755" s="6"/>
      <c r="C4755" s="6"/>
    </row>
    <row r="4756" s="1" customFormat="1" spans="1:3">
      <c r="A4756" s="6"/>
      <c r="B4756" s="6"/>
      <c r="C4756" s="6"/>
    </row>
    <row r="4757" s="1" customFormat="1" spans="1:3">
      <c r="A4757" s="6"/>
      <c r="B4757" s="6"/>
      <c r="C4757" s="6"/>
    </row>
    <row r="4758" s="1" customFormat="1" spans="1:3">
      <c r="A4758" s="6"/>
      <c r="B4758" s="6"/>
      <c r="C4758" s="6"/>
    </row>
    <row r="4759" s="1" customFormat="1" spans="1:3">
      <c r="A4759" s="6"/>
      <c r="B4759" s="6"/>
      <c r="C4759" s="6"/>
    </row>
    <row r="4760" s="1" customFormat="1" spans="1:3">
      <c r="A4760" s="6"/>
      <c r="B4760" s="6"/>
      <c r="C4760" s="6"/>
    </row>
    <row r="4761" s="1" customFormat="1" spans="1:3">
      <c r="A4761" s="6"/>
      <c r="B4761" s="6"/>
      <c r="C4761" s="6"/>
    </row>
    <row r="4762" s="1" customFormat="1" spans="1:3">
      <c r="A4762" s="6"/>
      <c r="B4762" s="6"/>
      <c r="C4762" s="6"/>
    </row>
    <row r="4763" s="1" customFormat="1" spans="1:3">
      <c r="A4763" s="6"/>
      <c r="B4763" s="6"/>
      <c r="C4763" s="6"/>
    </row>
    <row r="4764" s="1" customFormat="1" spans="1:3">
      <c r="A4764" s="6"/>
      <c r="B4764" s="6"/>
      <c r="C4764" s="6"/>
    </row>
    <row r="4765" s="1" customFormat="1" spans="1:3">
      <c r="A4765" s="6"/>
      <c r="B4765" s="6"/>
      <c r="C4765" s="6"/>
    </row>
    <row r="4766" s="1" customFormat="1" spans="1:3">
      <c r="A4766" s="6"/>
      <c r="B4766" s="6"/>
      <c r="C4766" s="6"/>
    </row>
    <row r="4767" s="1" customFormat="1" spans="1:3">
      <c r="A4767" s="6"/>
      <c r="B4767" s="6"/>
      <c r="C4767" s="6"/>
    </row>
    <row r="4768" s="1" customFormat="1" spans="1:3">
      <c r="A4768" s="6"/>
      <c r="B4768" s="6"/>
      <c r="C4768" s="6"/>
    </row>
    <row r="4769" s="1" customFormat="1" spans="1:3">
      <c r="A4769" s="6"/>
      <c r="B4769" s="6"/>
      <c r="C4769" s="6"/>
    </row>
    <row r="4770" s="1" customFormat="1" spans="1:3">
      <c r="A4770" s="6"/>
      <c r="B4770" s="6"/>
      <c r="C4770" s="6"/>
    </row>
    <row r="4771" s="1" customFormat="1" spans="1:3">
      <c r="A4771" s="6"/>
      <c r="B4771" s="6"/>
      <c r="C4771" s="6"/>
    </row>
    <row r="4772" s="1" customFormat="1" spans="1:3">
      <c r="A4772" s="6"/>
      <c r="B4772" s="6"/>
      <c r="C4772" s="6"/>
    </row>
    <row r="4773" s="1" customFormat="1" spans="1:3">
      <c r="A4773" s="6"/>
      <c r="B4773" s="6"/>
      <c r="C4773" s="6"/>
    </row>
    <row r="4774" s="1" customFormat="1" spans="1:3">
      <c r="A4774" s="6"/>
      <c r="B4774" s="6"/>
      <c r="C4774" s="6"/>
    </row>
    <row r="4775" s="1" customFormat="1" spans="1:3">
      <c r="A4775" s="6"/>
      <c r="B4775" s="6"/>
      <c r="C4775" s="6"/>
    </row>
    <row r="4776" s="1" customFormat="1" spans="1:3">
      <c r="A4776" s="6"/>
      <c r="B4776" s="6"/>
      <c r="C4776" s="6"/>
    </row>
    <row r="4777" s="1" customFormat="1" spans="1:3">
      <c r="A4777" s="6"/>
      <c r="B4777" s="6"/>
      <c r="C4777" s="6"/>
    </row>
    <row r="4778" s="1" customFormat="1" spans="1:3">
      <c r="A4778" s="6"/>
      <c r="B4778" s="6"/>
      <c r="C4778" s="6"/>
    </row>
    <row r="4779" s="1" customFormat="1" spans="1:3">
      <c r="A4779" s="6"/>
      <c r="B4779" s="6"/>
      <c r="C4779" s="6"/>
    </row>
    <row r="4780" s="1" customFormat="1" spans="1:3">
      <c r="A4780" s="6"/>
      <c r="B4780" s="6"/>
      <c r="C4780" s="6"/>
    </row>
    <row r="4781" s="1" customFormat="1" spans="1:3">
      <c r="A4781" s="6"/>
      <c r="B4781" s="6"/>
      <c r="C4781" s="6"/>
    </row>
    <row r="4782" s="1" customFormat="1" spans="1:3">
      <c r="A4782" s="6"/>
      <c r="B4782" s="6"/>
      <c r="C4782" s="6"/>
    </row>
    <row r="4783" s="1" customFormat="1" spans="1:3">
      <c r="A4783" s="6"/>
      <c r="B4783" s="6"/>
      <c r="C4783" s="6"/>
    </row>
    <row r="4784" s="1" customFormat="1" spans="1:3">
      <c r="A4784" s="6"/>
      <c r="B4784" s="6"/>
      <c r="C4784" s="6"/>
    </row>
    <row r="4785" s="1" customFormat="1" spans="1:3">
      <c r="A4785" s="6"/>
      <c r="B4785" s="6"/>
      <c r="C4785" s="6"/>
    </row>
    <row r="4786" s="1" customFormat="1" spans="1:3">
      <c r="A4786" s="6"/>
      <c r="B4786" s="6"/>
      <c r="C4786" s="6"/>
    </row>
    <row r="4787" s="1" customFormat="1" spans="1:3">
      <c r="A4787" s="6"/>
      <c r="B4787" s="6"/>
      <c r="C4787" s="6"/>
    </row>
    <row r="4788" s="1" customFormat="1" spans="1:3">
      <c r="A4788" s="6"/>
      <c r="B4788" s="6"/>
      <c r="C4788" s="6"/>
    </row>
    <row r="4789" s="1" customFormat="1" spans="1:3">
      <c r="A4789" s="6"/>
      <c r="B4789" s="6"/>
      <c r="C4789" s="6"/>
    </row>
    <row r="4790" s="1" customFormat="1" spans="1:3">
      <c r="A4790" s="6"/>
      <c r="B4790" s="6"/>
      <c r="C4790" s="6"/>
    </row>
    <row r="4791" s="1" customFormat="1" spans="1:3">
      <c r="A4791" s="6"/>
      <c r="B4791" s="6"/>
      <c r="C4791" s="6"/>
    </row>
    <row r="4792" s="1" customFormat="1" spans="1:3">
      <c r="A4792" s="6"/>
      <c r="B4792" s="6"/>
      <c r="C4792" s="6"/>
    </row>
    <row r="4793" s="1" customFormat="1" spans="1:3">
      <c r="A4793" s="6"/>
      <c r="B4793" s="6"/>
      <c r="C4793" s="6"/>
    </row>
    <row r="4794" s="1" customFormat="1" spans="1:3">
      <c r="A4794" s="6"/>
      <c r="B4794" s="6"/>
      <c r="C4794" s="6"/>
    </row>
    <row r="4795" s="1" customFormat="1" spans="1:3">
      <c r="A4795" s="6"/>
      <c r="B4795" s="6"/>
      <c r="C4795" s="6"/>
    </row>
    <row r="4796" s="1" customFormat="1" spans="1:3">
      <c r="A4796" s="6"/>
      <c r="B4796" s="6"/>
      <c r="C4796" s="6"/>
    </row>
    <row r="4797" s="1" customFormat="1" spans="1:3">
      <c r="A4797" s="6"/>
      <c r="B4797" s="6"/>
      <c r="C4797" s="6"/>
    </row>
    <row r="4798" s="1" customFormat="1" spans="1:3">
      <c r="A4798" s="6"/>
      <c r="B4798" s="6"/>
      <c r="C4798" s="6"/>
    </row>
    <row r="4799" s="1" customFormat="1" spans="1:3">
      <c r="A4799" s="6"/>
      <c r="B4799" s="6"/>
      <c r="C4799" s="6"/>
    </row>
    <row r="4800" s="1" customFormat="1" spans="1:3">
      <c r="A4800" s="6"/>
      <c r="B4800" s="6"/>
      <c r="C4800" s="6"/>
    </row>
    <row r="4801" s="1" customFormat="1" spans="1:3">
      <c r="A4801" s="6"/>
      <c r="B4801" s="6"/>
      <c r="C4801" s="6"/>
    </row>
    <row r="4802" s="1" customFormat="1" spans="1:3">
      <c r="A4802" s="6"/>
      <c r="B4802" s="6"/>
      <c r="C4802" s="6"/>
    </row>
    <row r="4803" s="1" customFormat="1" spans="1:3">
      <c r="A4803" s="6"/>
      <c r="B4803" s="6"/>
      <c r="C4803" s="6"/>
    </row>
    <row r="4804" s="1" customFormat="1" spans="1:3">
      <c r="A4804" s="6"/>
      <c r="B4804" s="6"/>
      <c r="C4804" s="6"/>
    </row>
    <row r="4805" s="1" customFormat="1" spans="1:3">
      <c r="A4805" s="6"/>
      <c r="B4805" s="6"/>
      <c r="C4805" s="6"/>
    </row>
    <row r="4806" s="1" customFormat="1" spans="1:3">
      <c r="A4806" s="6"/>
      <c r="B4806" s="6"/>
      <c r="C4806" s="6"/>
    </row>
    <row r="4807" s="1" customFormat="1" spans="1:3">
      <c r="A4807" s="6"/>
      <c r="B4807" s="6"/>
      <c r="C4807" s="6"/>
    </row>
    <row r="4808" s="1" customFormat="1" spans="1:3">
      <c r="A4808" s="6"/>
      <c r="B4808" s="6"/>
      <c r="C4808" s="6"/>
    </row>
    <row r="4809" s="1" customFormat="1" spans="1:3">
      <c r="A4809" s="6"/>
      <c r="B4809" s="6"/>
      <c r="C4809" s="6"/>
    </row>
    <row r="4810" s="1" customFormat="1" spans="1:3">
      <c r="A4810" s="6"/>
      <c r="B4810" s="6"/>
      <c r="C4810" s="6"/>
    </row>
    <row r="4811" s="1" customFormat="1" spans="1:3">
      <c r="A4811" s="6"/>
      <c r="B4811" s="6"/>
      <c r="C4811" s="6"/>
    </row>
    <row r="4812" s="1" customFormat="1" spans="1:3">
      <c r="A4812" s="6"/>
      <c r="B4812" s="6"/>
      <c r="C4812" s="6"/>
    </row>
    <row r="4813" s="1" customFormat="1" spans="1:3">
      <c r="A4813" s="6"/>
      <c r="B4813" s="6"/>
      <c r="C4813" s="6"/>
    </row>
    <row r="4814" s="1" customFormat="1" spans="1:3">
      <c r="A4814" s="6"/>
      <c r="B4814" s="6"/>
      <c r="C4814" s="6"/>
    </row>
    <row r="4815" s="1" customFormat="1" spans="1:3">
      <c r="A4815" s="6"/>
      <c r="B4815" s="6"/>
      <c r="C4815" s="6"/>
    </row>
    <row r="4816" s="1" customFormat="1" spans="1:3">
      <c r="A4816" s="6"/>
      <c r="B4816" s="6"/>
      <c r="C4816" s="6"/>
    </row>
    <row r="4817" s="1" customFormat="1" spans="1:3">
      <c r="A4817" s="6"/>
      <c r="B4817" s="6"/>
      <c r="C4817" s="6"/>
    </row>
    <row r="4818" s="1" customFormat="1" spans="1:3">
      <c r="A4818" s="6"/>
      <c r="B4818" s="6"/>
      <c r="C4818" s="6"/>
    </row>
    <row r="4819" s="1" customFormat="1" spans="1:3">
      <c r="A4819" s="6"/>
      <c r="B4819" s="6"/>
      <c r="C4819" s="6"/>
    </row>
    <row r="4820" s="1" customFormat="1" spans="1:3">
      <c r="A4820" s="6"/>
      <c r="B4820" s="6"/>
      <c r="C4820" s="6"/>
    </row>
    <row r="4821" s="1" customFormat="1" spans="1:3">
      <c r="A4821" s="6"/>
      <c r="B4821" s="6"/>
      <c r="C4821" s="6"/>
    </row>
    <row r="4822" s="1" customFormat="1" spans="1:3">
      <c r="A4822" s="6"/>
      <c r="B4822" s="6"/>
      <c r="C4822" s="6"/>
    </row>
    <row r="4823" s="1" customFormat="1" spans="1:3">
      <c r="A4823" s="6"/>
      <c r="B4823" s="6"/>
      <c r="C4823" s="6"/>
    </row>
    <row r="4824" s="1" customFormat="1" spans="1:3">
      <c r="A4824" s="6"/>
      <c r="B4824" s="6"/>
      <c r="C4824" s="6"/>
    </row>
    <row r="4825" s="1" customFormat="1" spans="1:3">
      <c r="A4825" s="6"/>
      <c r="B4825" s="6"/>
      <c r="C4825" s="6"/>
    </row>
    <row r="4826" s="1" customFormat="1" spans="1:3">
      <c r="A4826" s="6"/>
      <c r="B4826" s="6"/>
      <c r="C4826" s="6"/>
    </row>
    <row r="4827" s="1" customFormat="1" spans="1:3">
      <c r="A4827" s="6"/>
      <c r="B4827" s="6"/>
      <c r="C4827" s="6"/>
    </row>
    <row r="4828" s="1" customFormat="1" spans="1:3">
      <c r="A4828" s="6"/>
      <c r="B4828" s="6"/>
      <c r="C4828" s="6"/>
    </row>
    <row r="4829" s="1" customFormat="1" spans="1:3">
      <c r="A4829" s="6"/>
      <c r="B4829" s="6"/>
      <c r="C4829" s="6"/>
    </row>
    <row r="4830" s="1" customFormat="1" spans="1:3">
      <c r="A4830" s="6"/>
      <c r="B4830" s="6"/>
      <c r="C4830" s="6"/>
    </row>
    <row r="4831" s="1" customFormat="1" spans="1:3">
      <c r="A4831" s="6"/>
      <c r="B4831" s="6"/>
      <c r="C4831" s="6"/>
    </row>
    <row r="4832" s="1" customFormat="1" spans="1:3">
      <c r="A4832" s="6"/>
      <c r="B4832" s="6"/>
      <c r="C4832" s="6"/>
    </row>
    <row r="4833" s="1" customFormat="1" spans="1:3">
      <c r="A4833" s="6"/>
      <c r="B4833" s="6"/>
      <c r="C4833" s="6"/>
    </row>
    <row r="4834" s="1" customFormat="1" spans="1:3">
      <c r="A4834" s="6"/>
      <c r="B4834" s="6"/>
      <c r="C4834" s="6"/>
    </row>
    <row r="4835" s="1" customFormat="1" spans="1:3">
      <c r="A4835" s="6"/>
      <c r="B4835" s="6"/>
      <c r="C4835" s="6"/>
    </row>
    <row r="4836" s="1" customFormat="1" spans="1:3">
      <c r="A4836" s="6"/>
      <c r="B4836" s="6"/>
      <c r="C4836" s="6"/>
    </row>
    <row r="4837" s="1" customFormat="1" spans="1:3">
      <c r="A4837" s="6"/>
      <c r="B4837" s="6"/>
      <c r="C4837" s="6"/>
    </row>
    <row r="4838" s="1" customFormat="1" spans="1:3">
      <c r="A4838" s="6"/>
      <c r="B4838" s="6"/>
      <c r="C4838" s="6"/>
    </row>
    <row r="4839" s="1" customFormat="1" spans="1:3">
      <c r="A4839" s="6"/>
      <c r="B4839" s="6"/>
      <c r="C4839" s="6"/>
    </row>
    <row r="4840" s="1" customFormat="1" spans="1:3">
      <c r="A4840" s="6"/>
      <c r="B4840" s="6"/>
      <c r="C4840" s="6"/>
    </row>
    <row r="4841" s="1" customFormat="1" spans="1:3">
      <c r="A4841" s="6"/>
      <c r="B4841" s="6"/>
      <c r="C4841" s="6"/>
    </row>
    <row r="4842" s="1" customFormat="1" spans="1:3">
      <c r="A4842" s="6"/>
      <c r="B4842" s="6"/>
      <c r="C4842" s="6"/>
    </row>
    <row r="4843" s="1" customFormat="1" spans="1:3">
      <c r="A4843" s="6"/>
      <c r="B4843" s="6"/>
      <c r="C4843" s="6"/>
    </row>
    <row r="4844" s="1" customFormat="1" spans="1:3">
      <c r="A4844" s="6"/>
      <c r="B4844" s="6"/>
      <c r="C4844" s="6"/>
    </row>
    <row r="4845" s="1" customFormat="1" spans="1:3">
      <c r="A4845" s="6"/>
      <c r="B4845" s="6"/>
      <c r="C4845" s="6"/>
    </row>
    <row r="4846" s="1" customFormat="1" spans="1:3">
      <c r="A4846" s="6"/>
      <c r="B4846" s="6"/>
      <c r="C4846" s="6"/>
    </row>
    <row r="4847" s="1" customFormat="1" spans="1:3">
      <c r="A4847" s="6"/>
      <c r="B4847" s="6"/>
      <c r="C4847" s="6"/>
    </row>
    <row r="4848" s="1" customFormat="1" spans="1:3">
      <c r="A4848" s="6"/>
      <c r="B4848" s="6"/>
      <c r="C4848" s="6"/>
    </row>
    <row r="4849" s="1" customFormat="1" spans="1:3">
      <c r="A4849" s="6"/>
      <c r="B4849" s="6"/>
      <c r="C4849" s="6"/>
    </row>
    <row r="4850" s="1" customFormat="1" spans="1:3">
      <c r="A4850" s="6"/>
      <c r="B4850" s="6"/>
      <c r="C4850" s="6"/>
    </row>
    <row r="4851" s="1" customFormat="1" spans="1:3">
      <c r="A4851" s="6"/>
      <c r="B4851" s="6"/>
      <c r="C4851" s="6"/>
    </row>
    <row r="4852" s="1" customFormat="1" spans="1:3">
      <c r="A4852" s="6"/>
      <c r="B4852" s="6"/>
      <c r="C4852" s="6"/>
    </row>
    <row r="4853" s="1" customFormat="1" spans="1:3">
      <c r="A4853" s="6"/>
      <c r="B4853" s="6"/>
      <c r="C4853" s="6"/>
    </row>
    <row r="4854" s="1" customFormat="1" spans="1:3">
      <c r="A4854" s="6"/>
      <c r="B4854" s="6"/>
      <c r="C4854" s="6"/>
    </row>
    <row r="4855" s="1" customFormat="1" spans="1:3">
      <c r="A4855" s="6"/>
      <c r="B4855" s="6"/>
      <c r="C4855" s="6"/>
    </row>
    <row r="4856" s="1" customFormat="1" spans="1:3">
      <c r="A4856" s="6"/>
      <c r="B4856" s="6"/>
      <c r="C4856" s="6"/>
    </row>
    <row r="4857" s="1" customFormat="1" spans="1:3">
      <c r="A4857" s="6"/>
      <c r="B4857" s="6"/>
      <c r="C4857" s="6"/>
    </row>
    <row r="4858" s="1" customFormat="1" spans="1:3">
      <c r="A4858" s="6"/>
      <c r="B4858" s="6"/>
      <c r="C4858" s="6"/>
    </row>
    <row r="4859" s="1" customFormat="1" spans="1:3">
      <c r="A4859" s="6"/>
      <c r="B4859" s="6"/>
      <c r="C4859" s="6"/>
    </row>
    <row r="4860" s="1" customFormat="1" spans="1:3">
      <c r="A4860" s="6"/>
      <c r="B4860" s="6"/>
      <c r="C4860" s="6"/>
    </row>
    <row r="4861" s="1" customFormat="1" spans="1:3">
      <c r="A4861" s="6"/>
      <c r="B4861" s="6"/>
      <c r="C4861" s="6"/>
    </row>
    <row r="4862" s="1" customFormat="1" spans="1:3">
      <c r="A4862" s="6"/>
      <c r="B4862" s="6"/>
      <c r="C4862" s="6"/>
    </row>
    <row r="4863" s="1" customFormat="1" spans="1:3">
      <c r="A4863" s="6"/>
      <c r="B4863" s="6"/>
      <c r="C4863" s="6"/>
    </row>
    <row r="4864" s="1" customFormat="1" spans="1:3">
      <c r="A4864" s="6"/>
      <c r="B4864" s="6"/>
      <c r="C4864" s="6"/>
    </row>
    <row r="4865" s="1" customFormat="1" spans="1:3">
      <c r="A4865" s="6"/>
      <c r="B4865" s="6"/>
      <c r="C4865" s="6"/>
    </row>
    <row r="4866" s="1" customFormat="1" spans="1:3">
      <c r="A4866" s="6"/>
      <c r="B4866" s="6"/>
      <c r="C4866" s="6"/>
    </row>
    <row r="4867" s="1" customFormat="1" spans="1:3">
      <c r="A4867" s="6"/>
      <c r="B4867" s="6"/>
      <c r="C4867" s="6"/>
    </row>
    <row r="4868" s="1" customFormat="1" spans="1:3">
      <c r="A4868" s="6"/>
      <c r="B4868" s="6"/>
      <c r="C4868" s="6"/>
    </row>
    <row r="4869" s="1" customFormat="1" spans="1:3">
      <c r="A4869" s="6"/>
      <c r="B4869" s="6"/>
      <c r="C4869" s="6"/>
    </row>
    <row r="4870" s="1" customFormat="1" spans="1:3">
      <c r="A4870" s="6"/>
      <c r="B4870" s="6"/>
      <c r="C4870" s="6"/>
    </row>
    <row r="4871" s="1" customFormat="1" spans="1:3">
      <c r="A4871" s="6"/>
      <c r="B4871" s="6"/>
      <c r="C4871" s="6"/>
    </row>
    <row r="4872" s="1" customFormat="1" spans="1:3">
      <c r="A4872" s="6"/>
      <c r="B4872" s="6"/>
      <c r="C4872" s="6"/>
    </row>
    <row r="4873" s="1" customFormat="1" spans="1:3">
      <c r="A4873" s="6"/>
      <c r="B4873" s="6"/>
      <c r="C4873" s="6"/>
    </row>
    <row r="4874" s="1" customFormat="1" spans="1:3">
      <c r="A4874" s="6"/>
      <c r="B4874" s="6"/>
      <c r="C4874" s="6"/>
    </row>
    <row r="4875" s="1" customFormat="1" spans="1:3">
      <c r="A4875" s="6"/>
      <c r="B4875" s="6"/>
      <c r="C4875" s="6"/>
    </row>
    <row r="4876" s="1" customFormat="1" spans="1:3">
      <c r="A4876" s="6"/>
      <c r="B4876" s="6"/>
      <c r="C4876" s="6"/>
    </row>
    <row r="4877" s="1" customFormat="1" spans="1:3">
      <c r="A4877" s="6"/>
      <c r="B4877" s="6"/>
      <c r="C4877" s="6"/>
    </row>
    <row r="4878" s="1" customFormat="1" spans="1:3">
      <c r="A4878" s="6"/>
      <c r="B4878" s="6"/>
      <c r="C4878" s="6"/>
    </row>
    <row r="4879" s="1" customFormat="1" spans="1:3">
      <c r="A4879" s="6"/>
      <c r="B4879" s="6"/>
      <c r="C4879" s="6"/>
    </row>
    <row r="4880" s="1" customFormat="1" spans="1:3">
      <c r="A4880" s="6"/>
      <c r="B4880" s="6"/>
      <c r="C4880" s="6"/>
    </row>
    <row r="4881" s="1" customFormat="1" spans="1:3">
      <c r="A4881" s="6"/>
      <c r="B4881" s="6"/>
      <c r="C4881" s="6"/>
    </row>
    <row r="4882" s="1" customFormat="1" spans="1:3">
      <c r="A4882" s="6"/>
      <c r="B4882" s="6"/>
      <c r="C4882" s="6"/>
    </row>
    <row r="4883" s="1" customFormat="1" spans="1:3">
      <c r="A4883" s="6"/>
      <c r="B4883" s="6"/>
      <c r="C4883" s="6"/>
    </row>
    <row r="4884" s="1" customFormat="1" spans="1:3">
      <c r="A4884" s="6"/>
      <c r="B4884" s="6"/>
      <c r="C4884" s="6"/>
    </row>
    <row r="4885" s="1" customFormat="1" spans="1:3">
      <c r="A4885" s="6"/>
      <c r="B4885" s="6"/>
      <c r="C4885" s="6"/>
    </row>
    <row r="4886" s="1" customFormat="1" spans="1:3">
      <c r="A4886" s="6"/>
      <c r="B4886" s="6"/>
      <c r="C4886" s="6"/>
    </row>
    <row r="4887" s="1" customFormat="1" spans="1:3">
      <c r="A4887" s="6"/>
      <c r="B4887" s="6"/>
      <c r="C4887" s="6"/>
    </row>
    <row r="4888" s="1" customFormat="1" spans="1:3">
      <c r="A4888" s="6"/>
      <c r="B4888" s="6"/>
      <c r="C4888" s="6"/>
    </row>
    <row r="4889" s="1" customFormat="1" spans="1:3">
      <c r="A4889" s="6"/>
      <c r="B4889" s="6"/>
      <c r="C4889" s="6"/>
    </row>
    <row r="4890" s="1" customFormat="1" spans="1:3">
      <c r="A4890" s="6"/>
      <c r="B4890" s="6"/>
      <c r="C4890" s="6"/>
    </row>
    <row r="4891" s="1" customFormat="1" spans="1:3">
      <c r="A4891" s="6"/>
      <c r="B4891" s="6"/>
      <c r="C4891" s="6"/>
    </row>
    <row r="4892" s="1" customFormat="1" spans="1:3">
      <c r="A4892" s="6"/>
      <c r="B4892" s="6"/>
      <c r="C4892" s="6"/>
    </row>
    <row r="4893" s="1" customFormat="1" spans="1:3">
      <c r="A4893" s="6"/>
      <c r="B4893" s="6"/>
      <c r="C4893" s="6"/>
    </row>
    <row r="4894" s="1" customFormat="1" spans="1:3">
      <c r="A4894" s="6"/>
      <c r="B4894" s="6"/>
      <c r="C4894" s="6"/>
    </row>
    <row r="4895" s="1" customFormat="1" spans="1:3">
      <c r="A4895" s="6"/>
      <c r="B4895" s="6"/>
      <c r="C4895" s="6"/>
    </row>
    <row r="4896" s="1" customFormat="1" spans="1:3">
      <c r="A4896" s="6"/>
      <c r="B4896" s="6"/>
      <c r="C4896" s="6"/>
    </row>
    <row r="4897" s="1" customFormat="1" spans="1:3">
      <c r="A4897" s="6"/>
      <c r="B4897" s="6"/>
      <c r="C4897" s="6"/>
    </row>
    <row r="4898" s="1" customFormat="1" spans="1:3">
      <c r="A4898" s="6"/>
      <c r="B4898" s="6"/>
      <c r="C4898" s="6"/>
    </row>
    <row r="4899" s="1" customFormat="1" spans="1:3">
      <c r="A4899" s="6"/>
      <c r="B4899" s="6"/>
      <c r="C4899" s="6"/>
    </row>
    <row r="4900" s="1" customFormat="1" spans="1:3">
      <c r="A4900" s="6"/>
      <c r="B4900" s="6"/>
      <c r="C4900" s="6"/>
    </row>
    <row r="4901" s="1" customFormat="1" spans="1:3">
      <c r="A4901" s="6"/>
      <c r="B4901" s="6"/>
      <c r="C4901" s="6"/>
    </row>
    <row r="4902" s="1" customFormat="1" spans="1:3">
      <c r="A4902" s="6"/>
      <c r="B4902" s="6"/>
      <c r="C4902" s="6"/>
    </row>
    <row r="4903" s="1" customFormat="1" spans="1:3">
      <c r="A4903" s="6"/>
      <c r="B4903" s="6"/>
      <c r="C4903" s="6"/>
    </row>
    <row r="4904" s="1" customFormat="1" spans="1:3">
      <c r="A4904" s="6"/>
      <c r="B4904" s="6"/>
      <c r="C4904" s="6"/>
    </row>
    <row r="4905" s="1" customFormat="1" spans="1:3">
      <c r="A4905" s="6"/>
      <c r="B4905" s="6"/>
      <c r="C4905" s="6"/>
    </row>
    <row r="4906" s="1" customFormat="1" spans="1:3">
      <c r="A4906" s="6"/>
      <c r="B4906" s="6"/>
      <c r="C4906" s="6"/>
    </row>
    <row r="4907" s="1" customFormat="1" spans="1:3">
      <c r="A4907" s="6"/>
      <c r="B4907" s="6"/>
      <c r="C4907" s="6"/>
    </row>
    <row r="4908" s="1" customFormat="1" spans="1:3">
      <c r="A4908" s="6"/>
      <c r="B4908" s="6"/>
      <c r="C4908" s="6"/>
    </row>
    <row r="4909" s="1" customFormat="1" spans="1:3">
      <c r="A4909" s="6"/>
      <c r="B4909" s="6"/>
      <c r="C4909" s="6"/>
    </row>
    <row r="4910" s="1" customFormat="1" spans="1:3">
      <c r="A4910" s="6"/>
      <c r="B4910" s="6"/>
      <c r="C4910" s="6"/>
    </row>
    <row r="4911" s="1" customFormat="1" spans="1:3">
      <c r="A4911" s="6"/>
      <c r="B4911" s="6"/>
      <c r="C4911" s="6"/>
    </row>
    <row r="4912" s="1" customFormat="1" spans="1:3">
      <c r="A4912" s="6"/>
      <c r="B4912" s="6"/>
      <c r="C4912" s="6"/>
    </row>
    <row r="4913" s="1" customFormat="1" spans="1:3">
      <c r="A4913" s="6"/>
      <c r="B4913" s="6"/>
      <c r="C4913" s="6"/>
    </row>
    <row r="4914" s="1" customFormat="1" spans="1:3">
      <c r="A4914" s="6"/>
      <c r="B4914" s="6"/>
      <c r="C4914" s="6"/>
    </row>
    <row r="4915" s="1" customFormat="1" spans="1:3">
      <c r="A4915" s="6"/>
      <c r="B4915" s="6"/>
      <c r="C4915" s="6"/>
    </row>
    <row r="4916" s="1" customFormat="1" spans="1:3">
      <c r="A4916" s="6"/>
      <c r="B4916" s="6"/>
      <c r="C4916" s="6"/>
    </row>
    <row r="4917" s="1" customFormat="1" spans="1:3">
      <c r="A4917" s="6"/>
      <c r="B4917" s="6"/>
      <c r="C4917" s="6"/>
    </row>
    <row r="4918" s="1" customFormat="1" spans="1:3">
      <c r="A4918" s="6"/>
      <c r="B4918" s="6"/>
      <c r="C4918" s="6"/>
    </row>
    <row r="4919" s="1" customFormat="1" spans="1:3">
      <c r="A4919" s="6"/>
      <c r="B4919" s="6"/>
      <c r="C4919" s="6"/>
    </row>
    <row r="4920" s="1" customFormat="1" spans="1:3">
      <c r="A4920" s="6"/>
      <c r="B4920" s="6"/>
      <c r="C4920" s="6"/>
    </row>
    <row r="4921" s="1" customFormat="1" spans="1:3">
      <c r="A4921" s="6"/>
      <c r="B4921" s="6"/>
      <c r="C4921" s="6"/>
    </row>
    <row r="4922" s="1" customFormat="1" spans="1:3">
      <c r="A4922" s="6"/>
      <c r="B4922" s="6"/>
      <c r="C4922" s="6"/>
    </row>
    <row r="4923" s="1" customFormat="1" spans="1:3">
      <c r="A4923" s="6"/>
      <c r="B4923" s="6"/>
      <c r="C4923" s="6"/>
    </row>
    <row r="4924" s="1" customFormat="1" spans="1:3">
      <c r="A4924" s="6"/>
      <c r="B4924" s="6"/>
      <c r="C4924" s="6"/>
    </row>
    <row r="4925" s="1" customFormat="1" spans="1:3">
      <c r="A4925" s="6"/>
      <c r="B4925" s="6"/>
      <c r="C4925" s="6"/>
    </row>
    <row r="4926" s="1" customFormat="1" spans="1:3">
      <c r="A4926" s="6"/>
      <c r="B4926" s="6"/>
      <c r="C4926" s="6"/>
    </row>
    <row r="4927" s="1" customFormat="1" spans="1:3">
      <c r="A4927" s="6"/>
      <c r="B4927" s="6"/>
      <c r="C4927" s="6"/>
    </row>
    <row r="4928" s="1" customFormat="1" spans="1:3">
      <c r="A4928" s="6"/>
      <c r="B4928" s="6"/>
      <c r="C4928" s="6"/>
    </row>
    <row r="4929" s="1" customFormat="1" spans="1:3">
      <c r="A4929" s="6"/>
      <c r="B4929" s="6"/>
      <c r="C4929" s="6"/>
    </row>
    <row r="4930" s="1" customFormat="1" spans="1:3">
      <c r="A4930" s="6"/>
      <c r="B4930" s="6"/>
      <c r="C4930" s="6"/>
    </row>
    <row r="4931" s="1" customFormat="1" spans="1:3">
      <c r="A4931" s="6"/>
      <c r="B4931" s="6"/>
      <c r="C4931" s="6"/>
    </row>
    <row r="4932" s="1" customFormat="1" spans="1:3">
      <c r="A4932" s="6"/>
      <c r="B4932" s="6"/>
      <c r="C4932" s="6"/>
    </row>
    <row r="4933" s="1" customFormat="1" spans="1:3">
      <c r="A4933" s="6"/>
      <c r="B4933" s="6"/>
      <c r="C4933" s="6"/>
    </row>
    <row r="4934" s="1" customFormat="1" spans="1:3">
      <c r="A4934" s="6"/>
      <c r="B4934" s="6"/>
      <c r="C4934" s="6"/>
    </row>
    <row r="4935" s="1" customFormat="1" spans="1:3">
      <c r="A4935" s="6"/>
      <c r="B4935" s="6"/>
      <c r="C4935" s="6"/>
    </row>
    <row r="4936" s="1" customFormat="1" spans="1:3">
      <c r="A4936" s="6"/>
      <c r="B4936" s="6"/>
      <c r="C4936" s="6"/>
    </row>
    <row r="4937" s="1" customFormat="1" spans="1:3">
      <c r="A4937" s="6"/>
      <c r="B4937" s="6"/>
      <c r="C4937" s="6"/>
    </row>
    <row r="4938" s="1" customFormat="1" spans="1:3">
      <c r="A4938" s="6"/>
      <c r="B4938" s="6"/>
      <c r="C4938" s="6"/>
    </row>
    <row r="4939" s="1" customFormat="1" spans="1:3">
      <c r="A4939" s="6"/>
      <c r="B4939" s="6"/>
      <c r="C4939" s="6"/>
    </row>
    <row r="4940" s="1" customFormat="1" spans="1:3">
      <c r="A4940" s="6"/>
      <c r="B4940" s="6"/>
      <c r="C4940" s="6"/>
    </row>
    <row r="4941" s="1" customFormat="1" spans="1:3">
      <c r="A4941" s="6"/>
      <c r="B4941" s="6"/>
      <c r="C4941" s="6"/>
    </row>
    <row r="4942" s="1" customFormat="1" spans="1:3">
      <c r="A4942" s="6"/>
      <c r="B4942" s="6"/>
      <c r="C4942" s="6"/>
    </row>
    <row r="4943" s="1" customFormat="1" spans="1:3">
      <c r="A4943" s="6"/>
      <c r="B4943" s="6"/>
      <c r="C4943" s="6"/>
    </row>
    <row r="4944" s="1" customFormat="1" spans="1:3">
      <c r="A4944" s="6"/>
      <c r="B4944" s="6"/>
      <c r="C4944" s="6"/>
    </row>
    <row r="4945" s="1" customFormat="1" spans="1:3">
      <c r="A4945" s="6"/>
      <c r="B4945" s="6"/>
      <c r="C4945" s="6"/>
    </row>
    <row r="4946" s="1" customFormat="1" spans="1:3">
      <c r="A4946" s="6"/>
      <c r="B4946" s="6"/>
      <c r="C4946" s="6"/>
    </row>
    <row r="4947" s="1" customFormat="1" spans="1:3">
      <c r="A4947" s="6"/>
      <c r="B4947" s="6"/>
      <c r="C4947" s="6"/>
    </row>
    <row r="4948" s="1" customFormat="1" spans="1:3">
      <c r="A4948" s="6"/>
      <c r="B4948" s="6"/>
      <c r="C4948" s="6"/>
    </row>
    <row r="4949" s="1" customFormat="1" spans="1:3">
      <c r="A4949" s="6"/>
      <c r="B4949" s="6"/>
      <c r="C4949" s="6"/>
    </row>
    <row r="4950" s="1" customFormat="1" spans="1:3">
      <c r="A4950" s="6"/>
      <c r="B4950" s="6"/>
      <c r="C4950" s="6"/>
    </row>
    <row r="4951" s="1" customFormat="1" spans="1:3">
      <c r="A4951" s="6"/>
      <c r="B4951" s="6"/>
      <c r="C4951" s="6"/>
    </row>
    <row r="4952" s="1" customFormat="1" spans="1:3">
      <c r="A4952" s="6"/>
      <c r="B4952" s="6"/>
      <c r="C4952" s="6"/>
    </row>
    <row r="4953" s="1" customFormat="1" spans="1:3">
      <c r="A4953" s="6"/>
      <c r="B4953" s="6"/>
      <c r="C4953" s="6"/>
    </row>
    <row r="4954" s="1" customFormat="1" spans="1:3">
      <c r="A4954" s="6"/>
      <c r="B4954" s="6"/>
      <c r="C4954" s="6"/>
    </row>
    <row r="4955" s="1" customFormat="1" spans="1:3">
      <c r="A4955" s="6"/>
      <c r="B4955" s="6"/>
      <c r="C4955" s="6"/>
    </row>
    <row r="4956" s="1" customFormat="1" spans="1:3">
      <c r="A4956" s="6"/>
      <c r="B4956" s="6"/>
      <c r="C4956" s="6"/>
    </row>
    <row r="4957" s="1" customFormat="1" spans="1:3">
      <c r="A4957" s="6"/>
      <c r="B4957" s="6"/>
      <c r="C4957" s="6"/>
    </row>
    <row r="4958" s="1" customFormat="1" spans="1:3">
      <c r="A4958" s="6"/>
      <c r="B4958" s="6"/>
      <c r="C4958" s="6"/>
    </row>
    <row r="4959" s="1" customFormat="1" spans="1:3">
      <c r="A4959" s="6"/>
      <c r="B4959" s="6"/>
      <c r="C4959" s="6"/>
    </row>
    <row r="4960" s="1" customFormat="1" spans="1:3">
      <c r="A4960" s="6"/>
      <c r="B4960" s="6"/>
      <c r="C4960" s="6"/>
    </row>
    <row r="4961" s="1" customFormat="1" spans="1:3">
      <c r="A4961" s="6"/>
      <c r="B4961" s="6"/>
      <c r="C4961" s="6"/>
    </row>
    <row r="4962" s="1" customFormat="1" spans="1:3">
      <c r="A4962" s="6"/>
      <c r="B4962" s="6"/>
      <c r="C4962" s="6"/>
    </row>
    <row r="4963" s="1" customFormat="1" spans="1:3">
      <c r="A4963" s="6"/>
      <c r="B4963" s="6"/>
      <c r="C4963" s="6"/>
    </row>
    <row r="4964" s="1" customFormat="1" spans="1:3">
      <c r="A4964" s="6"/>
      <c r="B4964" s="6"/>
      <c r="C4964" s="6"/>
    </row>
    <row r="4965" s="1" customFormat="1" spans="1:3">
      <c r="A4965" s="6"/>
      <c r="B4965" s="6"/>
      <c r="C4965" s="6"/>
    </row>
    <row r="4966" s="1" customFormat="1" spans="1:3">
      <c r="A4966" s="6"/>
      <c r="B4966" s="6"/>
      <c r="C4966" s="6"/>
    </row>
    <row r="4967" s="1" customFormat="1" spans="1:3">
      <c r="A4967" s="6"/>
      <c r="B4967" s="6"/>
      <c r="C4967" s="6"/>
    </row>
    <row r="4968" s="1" customFormat="1" spans="1:3">
      <c r="A4968" s="6"/>
      <c r="B4968" s="6"/>
      <c r="C4968" s="6"/>
    </row>
    <row r="4969" s="1" customFormat="1" spans="1:3">
      <c r="A4969" s="6"/>
      <c r="B4969" s="6"/>
      <c r="C4969" s="6"/>
    </row>
    <row r="4970" s="1" customFormat="1" spans="1:3">
      <c r="A4970" s="6"/>
      <c r="B4970" s="6"/>
      <c r="C4970" s="6"/>
    </row>
    <row r="4971" s="1" customFormat="1" spans="1:3">
      <c r="A4971" s="6"/>
      <c r="B4971" s="6"/>
      <c r="C4971" s="6"/>
    </row>
    <row r="4972" s="1" customFormat="1" spans="1:3">
      <c r="A4972" s="6"/>
      <c r="B4972" s="6"/>
      <c r="C4972" s="6"/>
    </row>
    <row r="4973" s="1" customFormat="1" spans="1:3">
      <c r="A4973" s="6"/>
      <c r="B4973" s="6"/>
      <c r="C4973" s="6"/>
    </row>
    <row r="4974" s="1" customFormat="1" spans="1:3">
      <c r="A4974" s="6"/>
      <c r="B4974" s="6"/>
      <c r="C4974" s="6"/>
    </row>
    <row r="4975" s="1" customFormat="1" spans="1:3">
      <c r="A4975" s="6"/>
      <c r="B4975" s="6"/>
      <c r="C4975" s="6"/>
    </row>
    <row r="4976" s="1" customFormat="1" spans="1:3">
      <c r="A4976" s="6"/>
      <c r="B4976" s="6"/>
      <c r="C4976" s="6"/>
    </row>
    <row r="4977" s="1" customFormat="1" spans="1:3">
      <c r="A4977" s="6"/>
      <c r="B4977" s="6"/>
      <c r="C4977" s="6"/>
    </row>
    <row r="4978" s="1" customFormat="1" spans="1:3">
      <c r="A4978" s="6"/>
      <c r="B4978" s="6"/>
      <c r="C4978" s="6"/>
    </row>
    <row r="4979" s="1" customFormat="1" spans="1:3">
      <c r="A4979" s="6"/>
      <c r="B4979" s="6"/>
      <c r="C4979" s="6"/>
    </row>
    <row r="4980" s="1" customFormat="1" spans="1:3">
      <c r="A4980" s="6"/>
      <c r="B4980" s="6"/>
      <c r="C4980" s="6"/>
    </row>
    <row r="4981" s="1" customFormat="1" spans="1:3">
      <c r="A4981" s="6"/>
      <c r="B4981" s="6"/>
      <c r="C4981" s="6"/>
    </row>
    <row r="4982" s="1" customFormat="1" spans="1:3">
      <c r="A4982" s="6"/>
      <c r="B4982" s="6"/>
      <c r="C4982" s="6"/>
    </row>
    <row r="4983" s="1" customFormat="1" spans="1:3">
      <c r="A4983" s="6"/>
      <c r="B4983" s="6"/>
      <c r="C4983" s="6"/>
    </row>
    <row r="4984" s="1" customFormat="1" spans="1:3">
      <c r="A4984" s="6"/>
      <c r="B4984" s="6"/>
      <c r="C4984" s="6"/>
    </row>
    <row r="4985" s="1" customFormat="1" spans="1:3">
      <c r="A4985" s="6"/>
      <c r="B4985" s="6"/>
      <c r="C4985" s="6"/>
    </row>
    <row r="4986" s="1" customFormat="1" spans="1:3">
      <c r="A4986" s="6"/>
      <c r="B4986" s="6"/>
      <c r="C4986" s="6"/>
    </row>
    <row r="4987" s="1" customFormat="1" spans="1:3">
      <c r="A4987" s="6"/>
      <c r="B4987" s="6"/>
      <c r="C4987" s="6"/>
    </row>
    <row r="4988" s="1" customFormat="1" spans="1:3">
      <c r="A4988" s="6"/>
      <c r="B4988" s="6"/>
      <c r="C4988" s="6"/>
    </row>
    <row r="4989" s="1" customFormat="1" spans="1:3">
      <c r="A4989" s="6"/>
      <c r="B4989" s="6"/>
      <c r="C4989" s="6"/>
    </row>
    <row r="4990" s="1" customFormat="1" spans="1:3">
      <c r="A4990" s="6"/>
      <c r="B4990" s="6"/>
      <c r="C4990" s="6"/>
    </row>
    <row r="4991" s="1" customFormat="1" spans="1:3">
      <c r="A4991" s="6"/>
      <c r="B4991" s="6"/>
      <c r="C4991" s="6"/>
    </row>
    <row r="4992" s="1" customFormat="1" spans="1:3">
      <c r="A4992" s="6"/>
      <c r="B4992" s="6"/>
      <c r="C4992" s="6"/>
    </row>
    <row r="4993" s="1" customFormat="1" spans="1:3">
      <c r="A4993" s="6"/>
      <c r="B4993" s="6"/>
      <c r="C4993" s="6"/>
    </row>
    <row r="4994" s="1" customFormat="1" spans="1:3">
      <c r="A4994" s="6"/>
      <c r="B4994" s="6"/>
      <c r="C4994" s="6"/>
    </row>
    <row r="4995" s="1" customFormat="1" spans="1:3">
      <c r="A4995" s="6"/>
      <c r="B4995" s="6"/>
      <c r="C4995" s="6"/>
    </row>
    <row r="4996" s="1" customFormat="1" spans="1:3">
      <c r="A4996" s="6"/>
      <c r="B4996" s="6"/>
      <c r="C4996" s="6"/>
    </row>
    <row r="4997" s="1" customFormat="1" spans="1:3">
      <c r="A4997" s="6"/>
      <c r="B4997" s="6"/>
      <c r="C4997" s="6"/>
    </row>
    <row r="4998" s="1" customFormat="1" spans="1:3">
      <c r="A4998" s="6"/>
      <c r="B4998" s="6"/>
      <c r="C4998" s="6"/>
    </row>
    <row r="4999" s="1" customFormat="1" spans="1:3">
      <c r="A4999" s="6"/>
      <c r="B4999" s="6"/>
      <c r="C4999" s="6"/>
    </row>
    <row r="5000" s="1" customFormat="1" spans="1:3">
      <c r="A5000" s="6"/>
      <c r="B5000" s="6"/>
      <c r="C5000" s="6"/>
    </row>
    <row r="5001" s="1" customFormat="1" spans="1:3">
      <c r="A5001" s="6"/>
      <c r="B5001" s="6"/>
      <c r="C5001" s="6"/>
    </row>
    <row r="5002" s="1" customFormat="1" spans="1:3">
      <c r="A5002" s="6"/>
      <c r="B5002" s="6"/>
      <c r="C5002" s="6"/>
    </row>
    <row r="5003" s="1" customFormat="1" spans="1:3">
      <c r="A5003" s="6"/>
      <c r="B5003" s="6"/>
      <c r="C5003" s="6"/>
    </row>
    <row r="5004" s="1" customFormat="1" spans="1:3">
      <c r="A5004" s="6"/>
      <c r="B5004" s="6"/>
      <c r="C5004" s="6"/>
    </row>
    <row r="5005" s="1" customFormat="1" spans="1:3">
      <c r="A5005" s="6"/>
      <c r="B5005" s="6"/>
      <c r="C5005" s="6"/>
    </row>
    <row r="5006" s="1" customFormat="1" spans="1:3">
      <c r="A5006" s="6"/>
      <c r="B5006" s="6"/>
      <c r="C5006" s="6"/>
    </row>
    <row r="5007" s="1" customFormat="1" spans="1:3">
      <c r="A5007" s="6"/>
      <c r="B5007" s="6"/>
      <c r="C5007" s="6"/>
    </row>
    <row r="5008" s="1" customFormat="1" spans="1:3">
      <c r="A5008" s="6"/>
      <c r="B5008" s="6"/>
      <c r="C5008" s="6"/>
    </row>
    <row r="5009" s="1" customFormat="1" spans="1:3">
      <c r="A5009" s="6"/>
      <c r="B5009" s="6"/>
      <c r="C5009" s="6"/>
    </row>
    <row r="5010" s="1" customFormat="1" spans="1:3">
      <c r="A5010" s="6"/>
      <c r="B5010" s="6"/>
      <c r="C5010" s="6"/>
    </row>
    <row r="5011" s="1" customFormat="1" spans="1:3">
      <c r="A5011" s="6"/>
      <c r="B5011" s="6"/>
      <c r="C5011" s="6"/>
    </row>
    <row r="5012" s="1" customFormat="1" spans="1:3">
      <c r="A5012" s="6"/>
      <c r="B5012" s="6"/>
      <c r="C5012" s="6"/>
    </row>
    <row r="5013" s="1" customFormat="1" spans="1:3">
      <c r="A5013" s="6"/>
      <c r="B5013" s="6"/>
      <c r="C5013" s="6"/>
    </row>
    <row r="5014" s="1" customFormat="1" spans="1:3">
      <c r="A5014" s="6"/>
      <c r="B5014" s="6"/>
      <c r="C5014" s="6"/>
    </row>
    <row r="5015" s="1" customFormat="1" spans="1:3">
      <c r="A5015" s="6"/>
      <c r="B5015" s="6"/>
      <c r="C5015" s="6"/>
    </row>
    <row r="5016" s="1" customFormat="1" spans="1:3">
      <c r="A5016" s="6"/>
      <c r="B5016" s="6"/>
      <c r="C5016" s="6"/>
    </row>
    <row r="5017" s="1" customFormat="1" spans="1:3">
      <c r="A5017" s="6"/>
      <c r="B5017" s="6"/>
      <c r="C5017" s="6"/>
    </row>
    <row r="5018" s="1" customFormat="1" spans="1:3">
      <c r="A5018" s="6"/>
      <c r="B5018" s="6"/>
      <c r="C5018" s="6"/>
    </row>
    <row r="5019" s="1" customFormat="1" spans="1:3">
      <c r="A5019" s="6"/>
      <c r="B5019" s="6"/>
      <c r="C5019" s="6"/>
    </row>
    <row r="5020" s="1" customFormat="1" spans="1:3">
      <c r="A5020" s="6"/>
      <c r="B5020" s="6"/>
      <c r="C5020" s="6"/>
    </row>
    <row r="5021" s="1" customFormat="1" spans="1:3">
      <c r="A5021" s="6"/>
      <c r="B5021" s="6"/>
      <c r="C5021" s="6"/>
    </row>
    <row r="5022" s="1" customFormat="1" spans="1:3">
      <c r="A5022" s="6"/>
      <c r="B5022" s="6"/>
      <c r="C5022" s="6"/>
    </row>
    <row r="5023" s="1" customFormat="1" spans="1:3">
      <c r="A5023" s="6"/>
      <c r="B5023" s="6"/>
      <c r="C5023" s="6"/>
    </row>
    <row r="5024" s="1" customFormat="1" spans="1:3">
      <c r="A5024" s="6"/>
      <c r="B5024" s="6"/>
      <c r="C5024" s="6"/>
    </row>
    <row r="5025" s="1" customFormat="1" spans="1:3">
      <c r="A5025" s="6"/>
      <c r="B5025" s="6"/>
      <c r="C5025" s="6"/>
    </row>
    <row r="5026" s="1" customFormat="1" spans="1:3">
      <c r="A5026" s="6"/>
      <c r="B5026" s="6"/>
      <c r="C5026" s="6"/>
    </row>
    <row r="5027" s="1" customFormat="1" spans="1:3">
      <c r="A5027" s="6"/>
      <c r="B5027" s="6"/>
      <c r="C5027" s="6"/>
    </row>
    <row r="5028" s="1" customFormat="1" spans="1:3">
      <c r="A5028" s="6"/>
      <c r="B5028" s="6"/>
      <c r="C5028" s="6"/>
    </row>
    <row r="5029" s="1" customFormat="1" spans="1:3">
      <c r="A5029" s="6"/>
      <c r="B5029" s="6"/>
      <c r="C5029" s="6"/>
    </row>
    <row r="5030" s="1" customFormat="1" spans="1:3">
      <c r="A5030" s="6"/>
      <c r="B5030" s="6"/>
      <c r="C5030" s="6"/>
    </row>
    <row r="5031" s="1" customFormat="1" spans="1:3">
      <c r="A5031" s="6"/>
      <c r="B5031" s="6"/>
      <c r="C5031" s="6"/>
    </row>
    <row r="5032" s="1" customFormat="1" spans="1:3">
      <c r="A5032" s="6"/>
      <c r="B5032" s="6"/>
      <c r="C5032" s="6"/>
    </row>
    <row r="5033" s="1" customFormat="1" spans="1:3">
      <c r="A5033" s="6"/>
      <c r="B5033" s="6"/>
      <c r="C5033" s="6"/>
    </row>
    <row r="5034" s="1" customFormat="1" spans="1:3">
      <c r="A5034" s="6"/>
      <c r="B5034" s="6"/>
      <c r="C5034" s="6"/>
    </row>
    <row r="5035" s="1" customFormat="1" spans="1:3">
      <c r="A5035" s="6"/>
      <c r="B5035" s="6"/>
      <c r="C5035" s="6"/>
    </row>
    <row r="5036" s="1" customFormat="1" spans="1:3">
      <c r="A5036" s="6"/>
      <c r="B5036" s="6"/>
      <c r="C5036" s="6"/>
    </row>
    <row r="5037" s="1" customFormat="1" spans="1:3">
      <c r="A5037" s="6"/>
      <c r="B5037" s="6"/>
      <c r="C5037" s="6"/>
    </row>
    <row r="5038" s="1" customFormat="1" spans="1:3">
      <c r="A5038" s="6"/>
      <c r="B5038" s="6"/>
      <c r="C5038" s="6"/>
    </row>
    <row r="5039" s="1" customFormat="1" spans="1:3">
      <c r="A5039" s="6"/>
      <c r="B5039" s="6"/>
      <c r="C5039" s="6"/>
    </row>
    <row r="5040" s="1" customFormat="1" spans="1:3">
      <c r="A5040" s="6"/>
      <c r="B5040" s="6"/>
      <c r="C5040" s="6"/>
    </row>
    <row r="5041" s="1" customFormat="1" spans="1:3">
      <c r="A5041" s="6"/>
      <c r="B5041" s="6"/>
      <c r="C5041" s="6"/>
    </row>
    <row r="5042" s="1" customFormat="1" spans="1:3">
      <c r="A5042" s="6"/>
      <c r="B5042" s="6"/>
      <c r="C5042" s="6"/>
    </row>
    <row r="5043" s="1" customFormat="1" spans="1:3">
      <c r="A5043" s="6"/>
      <c r="B5043" s="6"/>
      <c r="C5043" s="6"/>
    </row>
    <row r="5044" s="1" customFormat="1" spans="1:3">
      <c r="A5044" s="6"/>
      <c r="B5044" s="6"/>
      <c r="C5044" s="6"/>
    </row>
    <row r="5045" s="1" customFormat="1" spans="1:3">
      <c r="A5045" s="6"/>
      <c r="B5045" s="6"/>
      <c r="C5045" s="6"/>
    </row>
    <row r="5046" s="1" customFormat="1" spans="1:3">
      <c r="A5046" s="6"/>
      <c r="B5046" s="6"/>
      <c r="C5046" s="6"/>
    </row>
    <row r="5047" s="1" customFormat="1" spans="1:3">
      <c r="A5047" s="6"/>
      <c r="B5047" s="6"/>
      <c r="C5047" s="6"/>
    </row>
    <row r="5048" s="1" customFormat="1" spans="1:3">
      <c r="A5048" s="6"/>
      <c r="B5048" s="6"/>
      <c r="C5048" s="6"/>
    </row>
    <row r="5049" s="1" customFormat="1" spans="1:3">
      <c r="A5049" s="6"/>
      <c r="B5049" s="6"/>
      <c r="C5049" s="6"/>
    </row>
    <row r="5050" s="1" customFormat="1" spans="1:3">
      <c r="A5050" s="6"/>
      <c r="B5050" s="6"/>
      <c r="C5050" s="6"/>
    </row>
    <row r="5051" s="1" customFormat="1" spans="1:3">
      <c r="A5051" s="6"/>
      <c r="B5051" s="6"/>
      <c r="C5051" s="6"/>
    </row>
    <row r="5052" s="1" customFormat="1" spans="1:3">
      <c r="A5052" s="6"/>
      <c r="B5052" s="6"/>
      <c r="C5052" s="6"/>
    </row>
    <row r="5053" s="1" customFormat="1" spans="1:3">
      <c r="A5053" s="6"/>
      <c r="B5053" s="6"/>
      <c r="C5053" s="6"/>
    </row>
    <row r="5054" s="1" customFormat="1" spans="1:3">
      <c r="A5054" s="6"/>
      <c r="B5054" s="6"/>
      <c r="C5054" s="6"/>
    </row>
    <row r="5055" s="1" customFormat="1" spans="1:3">
      <c r="A5055" s="6"/>
      <c r="B5055" s="6"/>
      <c r="C5055" s="6"/>
    </row>
    <row r="5056" s="1" customFormat="1" spans="1:3">
      <c r="A5056" s="6"/>
      <c r="B5056" s="6"/>
      <c r="C5056" s="6"/>
    </row>
    <row r="5057" s="1" customFormat="1" spans="1:3">
      <c r="A5057" s="6"/>
      <c r="B5057" s="6"/>
      <c r="C5057" s="6"/>
    </row>
    <row r="5058" s="1" customFormat="1" spans="1:3">
      <c r="A5058" s="6"/>
      <c r="B5058" s="6"/>
      <c r="C5058" s="6"/>
    </row>
    <row r="5059" s="1" customFormat="1" spans="1:3">
      <c r="A5059" s="6"/>
      <c r="B5059" s="6"/>
      <c r="C5059" s="6"/>
    </row>
    <row r="5060" s="1" customFormat="1" spans="1:3">
      <c r="A5060" s="6"/>
      <c r="B5060" s="6"/>
      <c r="C5060" s="6"/>
    </row>
    <row r="5061" s="1" customFormat="1" spans="1:3">
      <c r="A5061" s="6"/>
      <c r="B5061" s="6"/>
      <c r="C5061" s="6"/>
    </row>
    <row r="5062" s="1" customFormat="1" spans="1:3">
      <c r="A5062" s="6"/>
      <c r="B5062" s="6"/>
      <c r="C5062" s="6"/>
    </row>
    <row r="5063" s="1" customFormat="1" spans="1:3">
      <c r="A5063" s="6"/>
      <c r="B5063" s="6"/>
      <c r="C5063" s="6"/>
    </row>
    <row r="5064" s="1" customFormat="1" spans="1:3">
      <c r="A5064" s="6"/>
      <c r="B5064" s="6"/>
      <c r="C5064" s="6"/>
    </row>
    <row r="5065" s="1" customFormat="1" spans="1:3">
      <c r="A5065" s="6"/>
      <c r="B5065" s="6"/>
      <c r="C5065" s="6"/>
    </row>
    <row r="5066" s="1" customFormat="1" spans="1:3">
      <c r="A5066" s="6"/>
      <c r="B5066" s="6"/>
      <c r="C5066" s="6"/>
    </row>
    <row r="5067" s="1" customFormat="1" spans="1:3">
      <c r="A5067" s="6"/>
      <c r="B5067" s="6"/>
      <c r="C5067" s="6"/>
    </row>
    <row r="5068" s="1" customFormat="1" spans="1:3">
      <c r="A5068" s="6"/>
      <c r="B5068" s="6"/>
      <c r="C5068" s="6"/>
    </row>
    <row r="5069" s="1" customFormat="1" spans="1:3">
      <c r="A5069" s="6"/>
      <c r="B5069" s="6"/>
      <c r="C5069" s="6"/>
    </row>
    <row r="5070" s="1" customFormat="1" spans="1:3">
      <c r="A5070" s="6"/>
      <c r="B5070" s="6"/>
      <c r="C5070" s="6"/>
    </row>
    <row r="5071" s="1" customFormat="1" spans="1:3">
      <c r="A5071" s="6"/>
      <c r="B5071" s="6"/>
      <c r="C5071" s="6"/>
    </row>
    <row r="5072" s="1" customFormat="1" spans="1:3">
      <c r="A5072" s="6"/>
      <c r="B5072" s="6"/>
      <c r="C5072" s="6"/>
    </row>
    <row r="5073" s="1" customFormat="1" spans="1:3">
      <c r="A5073" s="6"/>
      <c r="B5073" s="6"/>
      <c r="C5073" s="6"/>
    </row>
    <row r="5074" s="1" customFormat="1" spans="1:3">
      <c r="A5074" s="6"/>
      <c r="B5074" s="6"/>
      <c r="C5074" s="6"/>
    </row>
    <row r="5075" s="1" customFormat="1" spans="1:3">
      <c r="A5075" s="6"/>
      <c r="B5075" s="6"/>
      <c r="C5075" s="6"/>
    </row>
    <row r="5076" s="1" customFormat="1" spans="1:3">
      <c r="A5076" s="6"/>
      <c r="B5076" s="6"/>
      <c r="C5076" s="6"/>
    </row>
    <row r="5077" s="1" customFormat="1" spans="1:3">
      <c r="A5077" s="6"/>
      <c r="B5077" s="6"/>
      <c r="C5077" s="6"/>
    </row>
    <row r="5078" s="1" customFormat="1" spans="1:3">
      <c r="A5078" s="6"/>
      <c r="B5078" s="6"/>
      <c r="C5078" s="6"/>
    </row>
    <row r="5079" s="1" customFormat="1" spans="1:3">
      <c r="A5079" s="6"/>
      <c r="B5079" s="6"/>
      <c r="C5079" s="6"/>
    </row>
    <row r="5080" s="1" customFormat="1" spans="1:3">
      <c r="A5080" s="6"/>
      <c r="B5080" s="6"/>
      <c r="C5080" s="6"/>
    </row>
    <row r="5081" s="1" customFormat="1" spans="1:3">
      <c r="A5081" s="6"/>
      <c r="B5081" s="6"/>
      <c r="C5081" s="6"/>
    </row>
    <row r="5082" s="1" customFormat="1" spans="1:3">
      <c r="A5082" s="6"/>
      <c r="B5082" s="6"/>
      <c r="C5082" s="6"/>
    </row>
    <row r="5083" s="1" customFormat="1" spans="1:3">
      <c r="A5083" s="6"/>
      <c r="B5083" s="6"/>
      <c r="C5083" s="6"/>
    </row>
    <row r="5084" s="1" customFormat="1" spans="1:3">
      <c r="A5084" s="6"/>
      <c r="B5084" s="6"/>
      <c r="C5084" s="6"/>
    </row>
    <row r="5085" s="1" customFormat="1" spans="1:3">
      <c r="A5085" s="6"/>
      <c r="B5085" s="6"/>
      <c r="C5085" s="6"/>
    </row>
    <row r="5086" s="1" customFormat="1" spans="1:3">
      <c r="A5086" s="6"/>
      <c r="B5086" s="6"/>
      <c r="C5086" s="6"/>
    </row>
    <row r="5087" s="1" customFormat="1" spans="1:3">
      <c r="A5087" s="6"/>
      <c r="B5087" s="6"/>
      <c r="C5087" s="6"/>
    </row>
    <row r="5088" s="1" customFormat="1" spans="1:3">
      <c r="A5088" s="6"/>
      <c r="B5088" s="6"/>
      <c r="C5088" s="6"/>
    </row>
    <row r="5089" s="1" customFormat="1" spans="1:3">
      <c r="A5089" s="6"/>
      <c r="B5089" s="6"/>
      <c r="C5089" s="6"/>
    </row>
    <row r="5090" s="1" customFormat="1" spans="1:3">
      <c r="A5090" s="6"/>
      <c r="B5090" s="6"/>
      <c r="C5090" s="6"/>
    </row>
    <row r="5091" s="1" customFormat="1" spans="1:3">
      <c r="A5091" s="6"/>
      <c r="B5091" s="6"/>
      <c r="C5091" s="6"/>
    </row>
    <row r="5092" s="1" customFormat="1" spans="1:3">
      <c r="A5092" s="6"/>
      <c r="B5092" s="6"/>
      <c r="C5092" s="6"/>
    </row>
    <row r="5093" s="1" customFormat="1" spans="1:3">
      <c r="A5093" s="6"/>
      <c r="B5093" s="6"/>
      <c r="C5093" s="6"/>
    </row>
    <row r="5094" s="1" customFormat="1" spans="1:3">
      <c r="A5094" s="6"/>
      <c r="B5094" s="6"/>
      <c r="C5094" s="6"/>
    </row>
    <row r="5095" s="1" customFormat="1" spans="1:3">
      <c r="A5095" s="6"/>
      <c r="B5095" s="6"/>
      <c r="C5095" s="6"/>
    </row>
    <row r="5096" s="1" customFormat="1" spans="1:3">
      <c r="A5096" s="6"/>
      <c r="B5096" s="6"/>
      <c r="C5096" s="6"/>
    </row>
    <row r="5097" s="1" customFormat="1" spans="1:3">
      <c r="A5097" s="6"/>
      <c r="B5097" s="6"/>
      <c r="C5097" s="6"/>
    </row>
    <row r="5098" s="1" customFormat="1" spans="1:3">
      <c r="A5098" s="6"/>
      <c r="B5098" s="6"/>
      <c r="C5098" s="6"/>
    </row>
    <row r="5099" s="1" customFormat="1" spans="1:3">
      <c r="A5099" s="6"/>
      <c r="B5099" s="6"/>
      <c r="C5099" s="6"/>
    </row>
    <row r="5100" s="1" customFormat="1" spans="1:3">
      <c r="A5100" s="6"/>
      <c r="B5100" s="6"/>
      <c r="C5100" s="6"/>
    </row>
    <row r="5101" s="1" customFormat="1" spans="1:3">
      <c r="A5101" s="6"/>
      <c r="B5101" s="6"/>
      <c r="C5101" s="6"/>
    </row>
    <row r="5102" s="1" customFormat="1" spans="1:3">
      <c r="A5102" s="6"/>
      <c r="B5102" s="6"/>
      <c r="C5102" s="6"/>
    </row>
    <row r="5103" s="1" customFormat="1" spans="1:3">
      <c r="A5103" s="6"/>
      <c r="B5103" s="6"/>
      <c r="C5103" s="6"/>
    </row>
    <row r="5104" s="1" customFormat="1" spans="1:3">
      <c r="A5104" s="6"/>
      <c r="B5104" s="6"/>
      <c r="C5104" s="6"/>
    </row>
    <row r="5105" s="1" customFormat="1" spans="1:3">
      <c r="A5105" s="6"/>
      <c r="B5105" s="6"/>
      <c r="C5105" s="6"/>
    </row>
    <row r="5106" s="1" customFormat="1" spans="1:3">
      <c r="A5106" s="6"/>
      <c r="B5106" s="6"/>
      <c r="C5106" s="6"/>
    </row>
    <row r="5107" s="1" customFormat="1" spans="1:3">
      <c r="A5107" s="6"/>
      <c r="B5107" s="6"/>
      <c r="C5107" s="6"/>
    </row>
    <row r="5108" s="1" customFormat="1" spans="1:3">
      <c r="A5108" s="6"/>
      <c r="B5108" s="6"/>
      <c r="C5108" s="6"/>
    </row>
    <row r="5109" s="1" customFormat="1" spans="1:3">
      <c r="A5109" s="6"/>
      <c r="B5109" s="6"/>
      <c r="C5109" s="6"/>
    </row>
    <row r="5110" s="1" customFormat="1" spans="1:3">
      <c r="A5110" s="6"/>
      <c r="B5110" s="6"/>
      <c r="C5110" s="6"/>
    </row>
    <row r="5111" s="1" customFormat="1" spans="1:3">
      <c r="A5111" s="6"/>
      <c r="B5111" s="6"/>
      <c r="C5111" s="6"/>
    </row>
    <row r="5112" s="1" customFormat="1" spans="1:3">
      <c r="A5112" s="6"/>
      <c r="B5112" s="6"/>
      <c r="C5112" s="6"/>
    </row>
    <row r="5113" s="1" customFormat="1" spans="1:3">
      <c r="A5113" s="6"/>
      <c r="B5113" s="6"/>
      <c r="C5113" s="6"/>
    </row>
    <row r="5114" s="1" customFormat="1" spans="1:3">
      <c r="A5114" s="6"/>
      <c r="B5114" s="6"/>
      <c r="C5114" s="6"/>
    </row>
    <row r="5115" s="1" customFormat="1" spans="1:3">
      <c r="A5115" s="6"/>
      <c r="B5115" s="6"/>
      <c r="C5115" s="6"/>
    </row>
    <row r="5116" s="1" customFormat="1" spans="1:3">
      <c r="A5116" s="6"/>
      <c r="B5116" s="6"/>
      <c r="C5116" s="6"/>
    </row>
    <row r="5117" s="1" customFormat="1" spans="1:3">
      <c r="A5117" s="6"/>
      <c r="B5117" s="6"/>
      <c r="C5117" s="6"/>
    </row>
    <row r="5118" s="1" customFormat="1" spans="1:3">
      <c r="A5118" s="6"/>
      <c r="B5118" s="6"/>
      <c r="C5118" s="6"/>
    </row>
    <row r="5119" s="1" customFormat="1" spans="1:3">
      <c r="A5119" s="6"/>
      <c r="B5119" s="6"/>
      <c r="C5119" s="6"/>
    </row>
    <row r="5120" s="1" customFormat="1" spans="1:3">
      <c r="A5120" s="6"/>
      <c r="B5120" s="6"/>
      <c r="C5120" s="6"/>
    </row>
    <row r="5121" s="1" customFormat="1" spans="1:3">
      <c r="A5121" s="6"/>
      <c r="B5121" s="6"/>
      <c r="C5121" s="6"/>
    </row>
    <row r="5122" s="1" customFormat="1" spans="1:3">
      <c r="A5122" s="6"/>
      <c r="B5122" s="6"/>
      <c r="C5122" s="6"/>
    </row>
    <row r="5123" s="1" customFormat="1" spans="1:3">
      <c r="A5123" s="6"/>
      <c r="B5123" s="6"/>
      <c r="C5123" s="6"/>
    </row>
    <row r="5124" s="1" customFormat="1" spans="1:3">
      <c r="A5124" s="6"/>
      <c r="B5124" s="6"/>
      <c r="C5124" s="6"/>
    </row>
    <row r="5125" s="1" customFormat="1" spans="1:3">
      <c r="A5125" s="6"/>
      <c r="B5125" s="6"/>
      <c r="C5125" s="6"/>
    </row>
    <row r="5126" s="1" customFormat="1" spans="1:3">
      <c r="A5126" s="6"/>
      <c r="B5126" s="6"/>
      <c r="C5126" s="6"/>
    </row>
    <row r="5127" s="1" customFormat="1" spans="1:3">
      <c r="A5127" s="6"/>
      <c r="B5127" s="6"/>
      <c r="C5127" s="6"/>
    </row>
    <row r="5128" s="1" customFormat="1" spans="1:3">
      <c r="A5128" s="6"/>
      <c r="B5128" s="6"/>
      <c r="C5128" s="6"/>
    </row>
    <row r="5129" s="1" customFormat="1" spans="1:3">
      <c r="A5129" s="6"/>
      <c r="B5129" s="6"/>
      <c r="C5129" s="6"/>
    </row>
    <row r="5130" s="1" customFormat="1" spans="1:3">
      <c r="A5130" s="6"/>
      <c r="B5130" s="6"/>
      <c r="C5130" s="6"/>
    </row>
    <row r="5131" s="1" customFormat="1" spans="1:3">
      <c r="A5131" s="6"/>
      <c r="B5131" s="6"/>
      <c r="C5131" s="6"/>
    </row>
    <row r="5132" s="1" customFormat="1" spans="1:3">
      <c r="A5132" s="6"/>
      <c r="B5132" s="6"/>
      <c r="C5132" s="6"/>
    </row>
    <row r="5133" s="1" customFormat="1" spans="1:3">
      <c r="A5133" s="6"/>
      <c r="B5133" s="6"/>
      <c r="C5133" s="6"/>
    </row>
    <row r="5134" s="1" customFormat="1" spans="1:3">
      <c r="A5134" s="6"/>
      <c r="B5134" s="6"/>
      <c r="C5134" s="6"/>
    </row>
    <row r="5135" s="1" customFormat="1" spans="1:3">
      <c r="A5135" s="6"/>
      <c r="B5135" s="6"/>
      <c r="C5135" s="6"/>
    </row>
    <row r="5136" s="1" customFormat="1" spans="1:3">
      <c r="A5136" s="6"/>
      <c r="B5136" s="6"/>
      <c r="C5136" s="6"/>
    </row>
    <row r="5137" s="1" customFormat="1" spans="1:3">
      <c r="A5137" s="6"/>
      <c r="B5137" s="6"/>
      <c r="C5137" s="6"/>
    </row>
    <row r="5138" s="1" customFormat="1" spans="1:3">
      <c r="A5138" s="6"/>
      <c r="B5138" s="6"/>
      <c r="C5138" s="6"/>
    </row>
    <row r="5139" s="1" customFormat="1" spans="1:3">
      <c r="A5139" s="6"/>
      <c r="B5139" s="6"/>
      <c r="C5139" s="6"/>
    </row>
    <row r="5140" s="1" customFormat="1" spans="1:3">
      <c r="A5140" s="6"/>
      <c r="B5140" s="6"/>
      <c r="C5140" s="6"/>
    </row>
    <row r="5141" s="1" customFormat="1" spans="1:3">
      <c r="A5141" s="6"/>
      <c r="B5141" s="6"/>
      <c r="C5141" s="6"/>
    </row>
    <row r="5142" s="1" customFormat="1" spans="1:3">
      <c r="A5142" s="6"/>
      <c r="B5142" s="6"/>
      <c r="C5142" s="6"/>
    </row>
    <row r="5143" s="1" customFormat="1" spans="1:3">
      <c r="A5143" s="6"/>
      <c r="B5143" s="6"/>
      <c r="C5143" s="6"/>
    </row>
    <row r="5144" s="1" customFormat="1" spans="1:3">
      <c r="A5144" s="6"/>
      <c r="B5144" s="6"/>
      <c r="C5144" s="6"/>
    </row>
    <row r="5145" s="1" customFormat="1" spans="1:3">
      <c r="A5145" s="6"/>
      <c r="B5145" s="6"/>
      <c r="C5145" s="6"/>
    </row>
    <row r="5146" s="1" customFormat="1" spans="1:3">
      <c r="A5146" s="6"/>
      <c r="B5146" s="6"/>
      <c r="C5146" s="6"/>
    </row>
    <row r="5147" s="1" customFormat="1" spans="1:3">
      <c r="A5147" s="6"/>
      <c r="B5147" s="6"/>
      <c r="C5147" s="6"/>
    </row>
    <row r="5148" s="1" customFormat="1" spans="1:3">
      <c r="A5148" s="6"/>
      <c r="B5148" s="6"/>
      <c r="C5148" s="6"/>
    </row>
    <row r="5149" s="1" customFormat="1" spans="1:3">
      <c r="A5149" s="6"/>
      <c r="B5149" s="6"/>
      <c r="C5149" s="6"/>
    </row>
    <row r="5150" s="1" customFormat="1" spans="1:3">
      <c r="A5150" s="6"/>
      <c r="B5150" s="6"/>
      <c r="C5150" s="6"/>
    </row>
    <row r="5151" s="1" customFormat="1" spans="1:3">
      <c r="A5151" s="6"/>
      <c r="B5151" s="6"/>
      <c r="C5151" s="6"/>
    </row>
    <row r="5152" s="1" customFormat="1" spans="1:3">
      <c r="A5152" s="6"/>
      <c r="B5152" s="6"/>
      <c r="C5152" s="6"/>
    </row>
    <row r="5153" s="1" customFormat="1" spans="1:3">
      <c r="A5153" s="6"/>
      <c r="B5153" s="6"/>
      <c r="C5153" s="6"/>
    </row>
    <row r="5154" s="1" customFormat="1" spans="1:3">
      <c r="A5154" s="6"/>
      <c r="B5154" s="6"/>
      <c r="C5154" s="6"/>
    </row>
    <row r="5155" s="1" customFormat="1" spans="1:3">
      <c r="A5155" s="6"/>
      <c r="B5155" s="6"/>
      <c r="C5155" s="6"/>
    </row>
    <row r="5156" s="1" customFormat="1" spans="1:3">
      <c r="A5156" s="6"/>
      <c r="B5156" s="6"/>
      <c r="C5156" s="6"/>
    </row>
    <row r="5157" s="1" customFormat="1" spans="1:3">
      <c r="A5157" s="6"/>
      <c r="B5157" s="6"/>
      <c r="C5157" s="6"/>
    </row>
    <row r="5158" s="1" customFormat="1" spans="1:3">
      <c r="A5158" s="6"/>
      <c r="B5158" s="6"/>
      <c r="C5158" s="6"/>
    </row>
    <row r="5159" s="1" customFormat="1" spans="1:3">
      <c r="A5159" s="6"/>
      <c r="B5159" s="6"/>
      <c r="C5159" s="6"/>
    </row>
    <row r="5160" s="1" customFormat="1" spans="1:3">
      <c r="A5160" s="6"/>
      <c r="B5160" s="6"/>
      <c r="C5160" s="6"/>
    </row>
    <row r="5161" s="1" customFormat="1" spans="1:3">
      <c r="A5161" s="6"/>
      <c r="B5161" s="6"/>
      <c r="C5161" s="6"/>
    </row>
    <row r="5162" s="1" customFormat="1" spans="1:3">
      <c r="A5162" s="6"/>
      <c r="B5162" s="6"/>
      <c r="C5162" s="6"/>
    </row>
    <row r="5163" s="1" customFormat="1" spans="1:3">
      <c r="A5163" s="6"/>
      <c r="B5163" s="6"/>
      <c r="C5163" s="6"/>
    </row>
    <row r="5164" s="1" customFormat="1" spans="1:3">
      <c r="A5164" s="6"/>
      <c r="B5164" s="6"/>
      <c r="C5164" s="6"/>
    </row>
    <row r="5165" s="1" customFormat="1" spans="1:3">
      <c r="A5165" s="6"/>
      <c r="B5165" s="6"/>
      <c r="C5165" s="6"/>
    </row>
    <row r="5166" s="1" customFormat="1" spans="1:3">
      <c r="A5166" s="6"/>
      <c r="B5166" s="6"/>
      <c r="C5166" s="6"/>
    </row>
    <row r="5167" s="1" customFormat="1" spans="1:3">
      <c r="A5167" s="6"/>
      <c r="B5167" s="6"/>
      <c r="C5167" s="6"/>
    </row>
    <row r="5168" s="1" customFormat="1" spans="1:3">
      <c r="A5168" s="6"/>
      <c r="B5168" s="6"/>
      <c r="C5168" s="6"/>
    </row>
    <row r="5169" s="1" customFormat="1" spans="1:3">
      <c r="A5169" s="6"/>
      <c r="B5169" s="6"/>
      <c r="C5169" s="6"/>
    </row>
    <row r="5170" s="1" customFormat="1" spans="1:3">
      <c r="A5170" s="6"/>
      <c r="B5170" s="6"/>
      <c r="C5170" s="6"/>
    </row>
    <row r="5171" s="1" customFormat="1" spans="1:3">
      <c r="A5171" s="6"/>
      <c r="B5171" s="6"/>
      <c r="C5171" s="6"/>
    </row>
    <row r="5172" s="1" customFormat="1" spans="1:3">
      <c r="A5172" s="6"/>
      <c r="B5172" s="6"/>
      <c r="C5172" s="6"/>
    </row>
    <row r="5173" s="1" customFormat="1" spans="1:3">
      <c r="A5173" s="6"/>
      <c r="B5173" s="6"/>
      <c r="C5173" s="6"/>
    </row>
    <row r="5174" s="1" customFormat="1" spans="1:3">
      <c r="A5174" s="6"/>
      <c r="B5174" s="6"/>
      <c r="C5174" s="6"/>
    </row>
    <row r="5175" s="1" customFormat="1" spans="1:3">
      <c r="A5175" s="6"/>
      <c r="B5175" s="6"/>
      <c r="C5175" s="6"/>
    </row>
    <row r="5176" s="1" customFormat="1" spans="1:3">
      <c r="A5176" s="6"/>
      <c r="B5176" s="6"/>
      <c r="C5176" s="6"/>
    </row>
    <row r="5177" s="1" customFormat="1" spans="1:3">
      <c r="A5177" s="6"/>
      <c r="B5177" s="6"/>
      <c r="C5177" s="6"/>
    </row>
    <row r="5178" s="1" customFormat="1" spans="1:3">
      <c r="A5178" s="6"/>
      <c r="B5178" s="6"/>
      <c r="C5178" s="6"/>
    </row>
    <row r="5179" s="1" customFormat="1" spans="1:3">
      <c r="A5179" s="6"/>
      <c r="B5179" s="6"/>
      <c r="C5179" s="6"/>
    </row>
    <row r="5180" s="1" customFormat="1" spans="1:3">
      <c r="A5180" s="6"/>
      <c r="B5180" s="6"/>
      <c r="C5180" s="6"/>
    </row>
    <row r="5181" s="1" customFormat="1" spans="1:3">
      <c r="A5181" s="6"/>
      <c r="B5181" s="6"/>
      <c r="C5181" s="6"/>
    </row>
    <row r="5182" s="1" customFormat="1" spans="1:3">
      <c r="A5182" s="6"/>
      <c r="B5182" s="6"/>
      <c r="C5182" s="6"/>
    </row>
    <row r="5183" s="1" customFormat="1" spans="1:3">
      <c r="A5183" s="6"/>
      <c r="B5183" s="6"/>
      <c r="C5183" s="6"/>
    </row>
    <row r="5184" s="1" customFormat="1" spans="1:3">
      <c r="A5184" s="6"/>
      <c r="B5184" s="6"/>
      <c r="C5184" s="6"/>
    </row>
    <row r="5185" s="1" customFormat="1" spans="1:3">
      <c r="A5185" s="6"/>
      <c r="B5185" s="6"/>
      <c r="C5185" s="6"/>
    </row>
    <row r="5186" s="1" customFormat="1" spans="1:3">
      <c r="A5186" s="6"/>
      <c r="B5186" s="6"/>
      <c r="C5186" s="6"/>
    </row>
    <row r="5187" s="1" customFormat="1" spans="1:3">
      <c r="A5187" s="6"/>
      <c r="B5187" s="6"/>
      <c r="C5187" s="6"/>
    </row>
    <row r="5188" s="1" customFormat="1" spans="1:3">
      <c r="A5188" s="6"/>
      <c r="B5188" s="6"/>
      <c r="C5188" s="6"/>
    </row>
    <row r="5189" s="1" customFormat="1" spans="1:3">
      <c r="A5189" s="6"/>
      <c r="B5189" s="6"/>
      <c r="C5189" s="6"/>
    </row>
    <row r="5190" s="1" customFormat="1" spans="1:3">
      <c r="A5190" s="6"/>
      <c r="B5190" s="6"/>
      <c r="C5190" s="6"/>
    </row>
    <row r="5191" s="1" customFormat="1" spans="1:3">
      <c r="A5191" s="6"/>
      <c r="B5191" s="6"/>
      <c r="C5191" s="6"/>
    </row>
    <row r="5192" s="1" customFormat="1" spans="1:3">
      <c r="A5192" s="6"/>
      <c r="B5192" s="6"/>
      <c r="C5192" s="6"/>
    </row>
    <row r="5193" s="1" customFormat="1" spans="1:3">
      <c r="A5193" s="6"/>
      <c r="B5193" s="6"/>
      <c r="C5193" s="6"/>
    </row>
    <row r="5194" s="1" customFormat="1" spans="1:3">
      <c r="A5194" s="6"/>
      <c r="B5194" s="6"/>
      <c r="C5194" s="6"/>
    </row>
    <row r="5195" s="1" customFormat="1" spans="1:3">
      <c r="A5195" s="6"/>
      <c r="B5195" s="6"/>
      <c r="C5195" s="6"/>
    </row>
    <row r="5196" s="1" customFormat="1" spans="1:3">
      <c r="A5196" s="6"/>
      <c r="B5196" s="6"/>
      <c r="C5196" s="6"/>
    </row>
    <row r="5197" s="1" customFormat="1" spans="1:3">
      <c r="A5197" s="6"/>
      <c r="B5197" s="6"/>
      <c r="C5197" s="6"/>
    </row>
    <row r="5198" s="1" customFormat="1" spans="1:3">
      <c r="A5198" s="6"/>
      <c r="B5198" s="6"/>
      <c r="C5198" s="6"/>
    </row>
    <row r="5199" s="1" customFormat="1" spans="1:3">
      <c r="A5199" s="6"/>
      <c r="B5199" s="6"/>
      <c r="C5199" s="6"/>
    </row>
    <row r="5200" s="1" customFormat="1" spans="1:3">
      <c r="A5200" s="6"/>
      <c r="B5200" s="6"/>
      <c r="C5200" s="6"/>
    </row>
    <row r="5201" s="1" customFormat="1" spans="1:3">
      <c r="A5201" s="6"/>
      <c r="B5201" s="6"/>
      <c r="C5201" s="6"/>
    </row>
    <row r="5202" s="1" customFormat="1" spans="1:3">
      <c r="A5202" s="6"/>
      <c r="B5202" s="6"/>
      <c r="C5202" s="6"/>
    </row>
    <row r="5203" s="1" customFormat="1" spans="1:3">
      <c r="A5203" s="6"/>
      <c r="B5203" s="6"/>
      <c r="C5203" s="6"/>
    </row>
    <row r="5204" s="1" customFormat="1" spans="1:3">
      <c r="A5204" s="6"/>
      <c r="B5204" s="6"/>
      <c r="C5204" s="6"/>
    </row>
    <row r="5205" s="1" customFormat="1" spans="1:3">
      <c r="A5205" s="6"/>
      <c r="B5205" s="6"/>
      <c r="C5205" s="6"/>
    </row>
    <row r="5206" s="1" customFormat="1" spans="1:3">
      <c r="A5206" s="6"/>
      <c r="B5206" s="6"/>
      <c r="C5206" s="6"/>
    </row>
    <row r="5207" s="1" customFormat="1" spans="1:3">
      <c r="A5207" s="6"/>
      <c r="B5207" s="6"/>
      <c r="C5207" s="6"/>
    </row>
    <row r="5208" s="1" customFormat="1" spans="1:3">
      <c r="A5208" s="6"/>
      <c r="B5208" s="6"/>
      <c r="C5208" s="6"/>
    </row>
    <row r="5209" s="1" customFormat="1" spans="1:3">
      <c r="A5209" s="6"/>
      <c r="B5209" s="6"/>
      <c r="C5209" s="6"/>
    </row>
    <row r="5210" s="1" customFormat="1" spans="1:3">
      <c r="A5210" s="6"/>
      <c r="B5210" s="6"/>
      <c r="C5210" s="6"/>
    </row>
    <row r="5211" s="1" customFormat="1" spans="1:3">
      <c r="A5211" s="6"/>
      <c r="B5211" s="6"/>
      <c r="C5211" s="6"/>
    </row>
    <row r="5212" s="1" customFormat="1" spans="1:3">
      <c r="A5212" s="6"/>
      <c r="B5212" s="6"/>
      <c r="C5212" s="6"/>
    </row>
    <row r="5213" s="1" customFormat="1" spans="1:3">
      <c r="A5213" s="6"/>
      <c r="B5213" s="6"/>
      <c r="C5213" s="6"/>
    </row>
    <row r="5214" s="1" customFormat="1" spans="1:3">
      <c r="A5214" s="6"/>
      <c r="B5214" s="6"/>
      <c r="C5214" s="6"/>
    </row>
    <row r="5215" s="1" customFormat="1" spans="1:3">
      <c r="A5215" s="6"/>
      <c r="B5215" s="6"/>
      <c r="C5215" s="6"/>
    </row>
    <row r="5216" s="1" customFormat="1" spans="1:3">
      <c r="A5216" s="6"/>
      <c r="B5216" s="6"/>
      <c r="C5216" s="6"/>
    </row>
    <row r="5217" s="1" customFormat="1" spans="1:3">
      <c r="A5217" s="6"/>
      <c r="B5217" s="6"/>
      <c r="C5217" s="6"/>
    </row>
    <row r="5218" s="1" customFormat="1" spans="1:3">
      <c r="A5218" s="6"/>
      <c r="B5218" s="6"/>
      <c r="C5218" s="6"/>
    </row>
    <row r="5219" s="1" customFormat="1" spans="1:3">
      <c r="A5219" s="6"/>
      <c r="B5219" s="6"/>
      <c r="C5219" s="6"/>
    </row>
    <row r="5220" s="1" customFormat="1" spans="1:3">
      <c r="A5220" s="6"/>
      <c r="B5220" s="6"/>
      <c r="C5220" s="6"/>
    </row>
    <row r="5221" s="1" customFormat="1" spans="1:3">
      <c r="A5221" s="6"/>
      <c r="B5221" s="6"/>
      <c r="C5221" s="6"/>
    </row>
    <row r="5222" s="1" customFormat="1" spans="1:3">
      <c r="A5222" s="6"/>
      <c r="B5222" s="6"/>
      <c r="C5222" s="6"/>
    </row>
    <row r="5223" s="1" customFormat="1" spans="1:3">
      <c r="A5223" s="6"/>
      <c r="B5223" s="6"/>
      <c r="C5223" s="6"/>
    </row>
    <row r="5224" s="1" customFormat="1" spans="1:3">
      <c r="A5224" s="6"/>
      <c r="B5224" s="6"/>
      <c r="C5224" s="6"/>
    </row>
    <row r="5225" s="1" customFormat="1" spans="1:3">
      <c r="A5225" s="6"/>
      <c r="B5225" s="6"/>
      <c r="C5225" s="6"/>
    </row>
    <row r="5226" s="1" customFormat="1" spans="1:3">
      <c r="A5226" s="6"/>
      <c r="B5226" s="6"/>
      <c r="C5226" s="6"/>
    </row>
    <row r="5227" s="1" customFormat="1" spans="1:3">
      <c r="A5227" s="6"/>
      <c r="B5227" s="6"/>
      <c r="C5227" s="6"/>
    </row>
    <row r="5228" s="1" customFormat="1" spans="1:3">
      <c r="A5228" s="6"/>
      <c r="B5228" s="6"/>
      <c r="C5228" s="6"/>
    </row>
    <row r="5229" s="1" customFormat="1" spans="1:3">
      <c r="A5229" s="6"/>
      <c r="B5229" s="6"/>
      <c r="C5229" s="6"/>
    </row>
    <row r="5230" s="1" customFormat="1" spans="1:3">
      <c r="A5230" s="6"/>
      <c r="B5230" s="6"/>
      <c r="C5230" s="6"/>
    </row>
    <row r="5231" s="1" customFormat="1" spans="1:3">
      <c r="A5231" s="6"/>
      <c r="B5231" s="6"/>
      <c r="C5231" s="6"/>
    </row>
    <row r="5232" s="1" customFormat="1" spans="1:3">
      <c r="A5232" s="6"/>
      <c r="B5232" s="6"/>
      <c r="C5232" s="6"/>
    </row>
    <row r="5233" s="1" customFormat="1" spans="1:3">
      <c r="A5233" s="6"/>
      <c r="B5233" s="6"/>
      <c r="C5233" s="6"/>
    </row>
    <row r="5234" s="1" customFormat="1" spans="1:3">
      <c r="A5234" s="6"/>
      <c r="B5234" s="6"/>
      <c r="C5234" s="6"/>
    </row>
    <row r="5235" s="1" customFormat="1" spans="1:3">
      <c r="A5235" s="6"/>
      <c r="B5235" s="6"/>
      <c r="C5235" s="6"/>
    </row>
    <row r="5236" s="1" customFormat="1" spans="1:3">
      <c r="A5236" s="6"/>
      <c r="B5236" s="6"/>
      <c r="C5236" s="6"/>
    </row>
    <row r="5237" s="1" customFormat="1" spans="1:3">
      <c r="A5237" s="6"/>
      <c r="B5237" s="6"/>
      <c r="C5237" s="6"/>
    </row>
    <row r="5238" s="1" customFormat="1" spans="1:3">
      <c r="A5238" s="6"/>
      <c r="B5238" s="6"/>
      <c r="C5238" s="6"/>
    </row>
    <row r="5239" s="1" customFormat="1" spans="1:3">
      <c r="A5239" s="6"/>
      <c r="B5239" s="6"/>
      <c r="C5239" s="6"/>
    </row>
    <row r="5240" s="1" customFormat="1" spans="1:3">
      <c r="A5240" s="6"/>
      <c r="B5240" s="6"/>
      <c r="C5240" s="6"/>
    </row>
    <row r="5241" s="1" customFormat="1" spans="1:3">
      <c r="A5241" s="6"/>
      <c r="B5241" s="6"/>
      <c r="C5241" s="6"/>
    </row>
    <row r="5242" s="1" customFormat="1" spans="1:3">
      <c r="A5242" s="6"/>
      <c r="B5242" s="6"/>
      <c r="C5242" s="6"/>
    </row>
    <row r="5243" s="1" customFormat="1" spans="1:3">
      <c r="A5243" s="6"/>
      <c r="B5243" s="6"/>
      <c r="C5243" s="6"/>
    </row>
    <row r="5244" s="1" customFormat="1" spans="1:3">
      <c r="A5244" s="6"/>
      <c r="B5244" s="6"/>
      <c r="C5244" s="6"/>
    </row>
    <row r="5245" s="1" customFormat="1" spans="1:3">
      <c r="A5245" s="6"/>
      <c r="B5245" s="6"/>
      <c r="C5245" s="6"/>
    </row>
    <row r="5246" s="1" customFormat="1" spans="1:3">
      <c r="A5246" s="6"/>
      <c r="B5246" s="6"/>
      <c r="C5246" s="6"/>
    </row>
    <row r="5247" s="1" customFormat="1" spans="1:3">
      <c r="A5247" s="6"/>
      <c r="B5247" s="6"/>
      <c r="C5247" s="6"/>
    </row>
    <row r="5248" s="1" customFormat="1" spans="1:3">
      <c r="A5248" s="6"/>
      <c r="B5248" s="6"/>
      <c r="C5248" s="6"/>
    </row>
    <row r="5249" s="1" customFormat="1" spans="1:3">
      <c r="A5249" s="6"/>
      <c r="B5249" s="6"/>
      <c r="C5249" s="6"/>
    </row>
    <row r="5250" s="1" customFormat="1" spans="1:3">
      <c r="A5250" s="6"/>
      <c r="B5250" s="6"/>
      <c r="C5250" s="6"/>
    </row>
    <row r="5251" s="1" customFormat="1" spans="1:3">
      <c r="A5251" s="6"/>
      <c r="B5251" s="6"/>
      <c r="C5251" s="6"/>
    </row>
    <row r="5252" s="1" customFormat="1" spans="1:3">
      <c r="A5252" s="6"/>
      <c r="B5252" s="6"/>
      <c r="C5252" s="6"/>
    </row>
    <row r="5253" s="1" customFormat="1" spans="1:3">
      <c r="A5253" s="6"/>
      <c r="B5253" s="6"/>
      <c r="C5253" s="6"/>
    </row>
    <row r="5254" s="1" customFormat="1" spans="1:3">
      <c r="A5254" s="6"/>
      <c r="B5254" s="6"/>
      <c r="C5254" s="6"/>
    </row>
    <row r="5255" s="1" customFormat="1" spans="1:3">
      <c r="A5255" s="6"/>
      <c r="B5255" s="6"/>
      <c r="C5255" s="6"/>
    </row>
    <row r="5256" s="1" customFormat="1" spans="1:3">
      <c r="A5256" s="6"/>
      <c r="B5256" s="6"/>
      <c r="C5256" s="6"/>
    </row>
    <row r="5257" s="1" customFormat="1" spans="1:3">
      <c r="A5257" s="6"/>
      <c r="B5257" s="6"/>
      <c r="C5257" s="6"/>
    </row>
    <row r="5258" s="1" customFormat="1" spans="1:3">
      <c r="A5258" s="6"/>
      <c r="B5258" s="6"/>
      <c r="C5258" s="6"/>
    </row>
    <row r="5259" s="1" customFormat="1" spans="1:3">
      <c r="A5259" s="6"/>
      <c r="B5259" s="6"/>
      <c r="C5259" s="6"/>
    </row>
    <row r="5260" s="1" customFormat="1" spans="1:3">
      <c r="A5260" s="6"/>
      <c r="B5260" s="6"/>
      <c r="C5260" s="6"/>
    </row>
    <row r="5261" s="1" customFormat="1" spans="1:3">
      <c r="A5261" s="6"/>
      <c r="B5261" s="6"/>
      <c r="C5261" s="6"/>
    </row>
    <row r="5262" s="1" customFormat="1" spans="1:3">
      <c r="A5262" s="6"/>
      <c r="B5262" s="6"/>
      <c r="C5262" s="6"/>
    </row>
    <row r="5263" s="1" customFormat="1" spans="1:3">
      <c r="A5263" s="6"/>
      <c r="B5263" s="6"/>
      <c r="C5263" s="6"/>
    </row>
    <row r="5264" s="1" customFormat="1" spans="1:3">
      <c r="A5264" s="6"/>
      <c r="B5264" s="6"/>
      <c r="C5264" s="6"/>
    </row>
    <row r="5265" s="1" customFormat="1" spans="1:3">
      <c r="A5265" s="6"/>
      <c r="B5265" s="6"/>
      <c r="C5265" s="6"/>
    </row>
    <row r="5266" s="1" customFormat="1" spans="1:3">
      <c r="A5266" s="6"/>
      <c r="B5266" s="6"/>
      <c r="C5266" s="6"/>
    </row>
    <row r="5267" s="1" customFormat="1" spans="1:3">
      <c r="A5267" s="6"/>
      <c r="B5267" s="6"/>
      <c r="C5267" s="6"/>
    </row>
    <row r="5268" s="1" customFormat="1" spans="1:3">
      <c r="A5268" s="6"/>
      <c r="B5268" s="6"/>
      <c r="C5268" s="6"/>
    </row>
    <row r="5269" s="1" customFormat="1" spans="1:3">
      <c r="A5269" s="6"/>
      <c r="B5269" s="6"/>
      <c r="C5269" s="6"/>
    </row>
    <row r="5270" s="1" customFormat="1" spans="1:3">
      <c r="A5270" s="6"/>
      <c r="B5270" s="6"/>
      <c r="C5270" s="6"/>
    </row>
    <row r="5271" s="1" customFormat="1" spans="1:3">
      <c r="A5271" s="6"/>
      <c r="B5271" s="6"/>
      <c r="C5271" s="6"/>
    </row>
    <row r="5272" s="1" customFormat="1" spans="1:3">
      <c r="A5272" s="6"/>
      <c r="B5272" s="6"/>
      <c r="C5272" s="6"/>
    </row>
    <row r="5273" s="1" customFormat="1" spans="1:3">
      <c r="A5273" s="6"/>
      <c r="B5273" s="6"/>
      <c r="C5273" s="6"/>
    </row>
    <row r="5274" s="1" customFormat="1" spans="1:3">
      <c r="A5274" s="6"/>
      <c r="B5274" s="6"/>
      <c r="C5274" s="6"/>
    </row>
    <row r="5275" s="1" customFormat="1" spans="1:3">
      <c r="A5275" s="6"/>
      <c r="B5275" s="6"/>
      <c r="C5275" s="6"/>
    </row>
    <row r="5276" s="1" customFormat="1" spans="1:3">
      <c r="A5276" s="6"/>
      <c r="B5276" s="6"/>
      <c r="C5276" s="6"/>
    </row>
    <row r="5277" s="1" customFormat="1" spans="1:3">
      <c r="A5277" s="6"/>
      <c r="B5277" s="6"/>
      <c r="C5277" s="6"/>
    </row>
    <row r="5278" s="1" customFormat="1" spans="1:3">
      <c r="A5278" s="6"/>
      <c r="B5278" s="6"/>
      <c r="C5278" s="6"/>
    </row>
    <row r="5279" s="1" customFormat="1" spans="1:3">
      <c r="A5279" s="6"/>
      <c r="B5279" s="6"/>
      <c r="C5279" s="6"/>
    </row>
    <row r="5280" s="1" customFormat="1" spans="1:3">
      <c r="A5280" s="6"/>
      <c r="B5280" s="6"/>
      <c r="C5280" s="6"/>
    </row>
    <row r="5281" s="1" customFormat="1" spans="1:3">
      <c r="A5281" s="6"/>
      <c r="B5281" s="6"/>
      <c r="C5281" s="6"/>
    </row>
    <row r="5282" s="1" customFormat="1" spans="1:3">
      <c r="A5282" s="6"/>
      <c r="B5282" s="6"/>
      <c r="C5282" s="6"/>
    </row>
    <row r="5283" s="1" customFormat="1" spans="1:3">
      <c r="A5283" s="6"/>
      <c r="B5283" s="6"/>
      <c r="C5283" s="6"/>
    </row>
    <row r="5284" s="1" customFormat="1" spans="1:3">
      <c r="A5284" s="6"/>
      <c r="B5284" s="6"/>
      <c r="C5284" s="6"/>
    </row>
    <row r="5285" s="1" customFormat="1" spans="1:3">
      <c r="A5285" s="6"/>
      <c r="B5285" s="6"/>
      <c r="C5285" s="6"/>
    </row>
    <row r="5286" s="1" customFormat="1" spans="1:3">
      <c r="A5286" s="6"/>
      <c r="B5286" s="6"/>
      <c r="C5286" s="6"/>
    </row>
    <row r="5287" s="1" customFormat="1" spans="1:3">
      <c r="A5287" s="6"/>
      <c r="B5287" s="6"/>
      <c r="C5287" s="6"/>
    </row>
    <row r="5288" s="1" customFormat="1" spans="1:3">
      <c r="A5288" s="6"/>
      <c r="B5288" s="6"/>
      <c r="C5288" s="6"/>
    </row>
    <row r="5289" s="1" customFormat="1" spans="1:3">
      <c r="A5289" s="6"/>
      <c r="B5289" s="6"/>
      <c r="C5289" s="6"/>
    </row>
    <row r="5290" s="1" customFormat="1" spans="1:3">
      <c r="A5290" s="6"/>
      <c r="B5290" s="6"/>
      <c r="C5290" s="6"/>
    </row>
    <row r="5291" s="1" customFormat="1" spans="1:3">
      <c r="A5291" s="6"/>
      <c r="B5291" s="6"/>
      <c r="C5291" s="6"/>
    </row>
    <row r="5292" s="1" customFormat="1" spans="1:3">
      <c r="A5292" s="6"/>
      <c r="B5292" s="6"/>
      <c r="C5292" s="6"/>
    </row>
    <row r="5293" s="1" customFormat="1" spans="1:3">
      <c r="A5293" s="6"/>
      <c r="B5293" s="6"/>
      <c r="C5293" s="6"/>
    </row>
    <row r="5294" s="1" customFormat="1" spans="1:3">
      <c r="A5294" s="6"/>
      <c r="B5294" s="6"/>
      <c r="C5294" s="6"/>
    </row>
    <row r="5295" s="1" customFormat="1" spans="1:3">
      <c r="A5295" s="6"/>
      <c r="B5295" s="6"/>
      <c r="C5295" s="6"/>
    </row>
    <row r="5296" s="1" customFormat="1" spans="1:3">
      <c r="A5296" s="6"/>
      <c r="B5296" s="6"/>
      <c r="C5296" s="6"/>
    </row>
    <row r="5297" s="1" customFormat="1" spans="1:3">
      <c r="A5297" s="6"/>
      <c r="B5297" s="6"/>
      <c r="C5297" s="6"/>
    </row>
    <row r="5298" s="1" customFormat="1" spans="1:3">
      <c r="A5298" s="6"/>
      <c r="B5298" s="6"/>
      <c r="C5298" s="6"/>
    </row>
    <row r="5299" s="1" customFormat="1" spans="1:3">
      <c r="A5299" s="6"/>
      <c r="B5299" s="6"/>
      <c r="C5299" s="6"/>
    </row>
    <row r="5300" s="1" customFormat="1" spans="1:3">
      <c r="A5300" s="6"/>
      <c r="B5300" s="6"/>
      <c r="C5300" s="6"/>
    </row>
    <row r="5301" s="1" customFormat="1" spans="1:3">
      <c r="A5301" s="6"/>
      <c r="B5301" s="6"/>
      <c r="C5301" s="6"/>
    </row>
    <row r="5302" s="1" customFormat="1" spans="1:3">
      <c r="A5302" s="6"/>
      <c r="B5302" s="6"/>
      <c r="C5302" s="6"/>
    </row>
    <row r="5303" s="1" customFormat="1" spans="1:3">
      <c r="A5303" s="6"/>
      <c r="B5303" s="6"/>
      <c r="C5303" s="6"/>
    </row>
    <row r="5304" s="1" customFormat="1" spans="1:3">
      <c r="A5304" s="6"/>
      <c r="B5304" s="6"/>
      <c r="C5304" s="6"/>
    </row>
    <row r="5305" s="1" customFormat="1" spans="1:3">
      <c r="A5305" s="6"/>
      <c r="B5305" s="6"/>
      <c r="C5305" s="6"/>
    </row>
    <row r="5306" s="1" customFormat="1" spans="1:3">
      <c r="A5306" s="6"/>
      <c r="B5306" s="6"/>
      <c r="C5306" s="6"/>
    </row>
    <row r="5307" s="1" customFormat="1" spans="1:3">
      <c r="A5307" s="6"/>
      <c r="B5307" s="6"/>
      <c r="C5307" s="6"/>
    </row>
    <row r="5308" s="1" customFormat="1" spans="1:3">
      <c r="A5308" s="6"/>
      <c r="B5308" s="6"/>
      <c r="C5308" s="6"/>
    </row>
    <row r="5309" s="1" customFormat="1" spans="1:3">
      <c r="A5309" s="6"/>
      <c r="B5309" s="6"/>
      <c r="C5309" s="6"/>
    </row>
    <row r="5310" s="1" customFormat="1" spans="1:3">
      <c r="A5310" s="6"/>
      <c r="B5310" s="6"/>
      <c r="C5310" s="6"/>
    </row>
    <row r="5311" s="1" customFormat="1" spans="1:3">
      <c r="A5311" s="6"/>
      <c r="B5311" s="6"/>
      <c r="C5311" s="6"/>
    </row>
    <row r="5312" s="1" customFormat="1" spans="1:3">
      <c r="A5312" s="6"/>
      <c r="B5312" s="6"/>
      <c r="C5312" s="6"/>
    </row>
    <row r="5313" s="1" customFormat="1" spans="1:3">
      <c r="A5313" s="6"/>
      <c r="B5313" s="6"/>
      <c r="C5313" s="6"/>
    </row>
    <row r="5314" s="1" customFormat="1" spans="1:3">
      <c r="A5314" s="6"/>
      <c r="B5314" s="6"/>
      <c r="C5314" s="6"/>
    </row>
    <row r="5315" s="1" customFormat="1" spans="1:3">
      <c r="A5315" s="6"/>
      <c r="B5315" s="6"/>
      <c r="C5315" s="6"/>
    </row>
    <row r="5316" s="1" customFormat="1" spans="1:3">
      <c r="A5316" s="6"/>
      <c r="B5316" s="6"/>
      <c r="C5316" s="6"/>
    </row>
    <row r="5317" s="1" customFormat="1" spans="1:3">
      <c r="A5317" s="6"/>
      <c r="B5317" s="6"/>
      <c r="C5317" s="6"/>
    </row>
    <row r="5318" s="1" customFormat="1" spans="1:3">
      <c r="A5318" s="6"/>
      <c r="B5318" s="6"/>
      <c r="C5318" s="6"/>
    </row>
    <row r="5319" s="1" customFormat="1" spans="1:3">
      <c r="A5319" s="6"/>
      <c r="B5319" s="6"/>
      <c r="C5319" s="6"/>
    </row>
    <row r="5320" s="1" customFormat="1" spans="1:3">
      <c r="A5320" s="6"/>
      <c r="B5320" s="6"/>
      <c r="C5320" s="6"/>
    </row>
    <row r="5321" s="1" customFormat="1" spans="1:3">
      <c r="A5321" s="6"/>
      <c r="B5321" s="6"/>
      <c r="C5321" s="6"/>
    </row>
    <row r="5322" s="1" customFormat="1" spans="1:3">
      <c r="A5322" s="6"/>
      <c r="B5322" s="6"/>
      <c r="C5322" s="6"/>
    </row>
    <row r="5323" s="1" customFormat="1" spans="1:3">
      <c r="A5323" s="6"/>
      <c r="B5323" s="6"/>
      <c r="C5323" s="6"/>
    </row>
    <row r="5324" s="1" customFormat="1" spans="1:3">
      <c r="A5324" s="6"/>
      <c r="B5324" s="6"/>
      <c r="C5324" s="6"/>
    </row>
    <row r="5325" s="1" customFormat="1" spans="1:3">
      <c r="A5325" s="6"/>
      <c r="B5325" s="6"/>
      <c r="C5325" s="6"/>
    </row>
    <row r="5326" s="1" customFormat="1" spans="1:3">
      <c r="A5326" s="6"/>
      <c r="B5326" s="6"/>
      <c r="C5326" s="6"/>
    </row>
    <row r="5327" s="1" customFormat="1" spans="1:3">
      <c r="A5327" s="6"/>
      <c r="B5327" s="6"/>
      <c r="C5327" s="6"/>
    </row>
    <row r="5328" s="1" customFormat="1" spans="1:3">
      <c r="A5328" s="6"/>
      <c r="B5328" s="6"/>
      <c r="C5328" s="6"/>
    </row>
    <row r="5329" s="1" customFormat="1" spans="1:3">
      <c r="A5329" s="6"/>
      <c r="B5329" s="6"/>
      <c r="C5329" s="6"/>
    </row>
    <row r="5330" s="1" customFormat="1" spans="1:3">
      <c r="A5330" s="6"/>
      <c r="B5330" s="6"/>
      <c r="C5330" s="6"/>
    </row>
    <row r="5331" s="1" customFormat="1" spans="1:3">
      <c r="A5331" s="6"/>
      <c r="B5331" s="6"/>
      <c r="C5331" s="6"/>
    </row>
    <row r="5332" s="1" customFormat="1" spans="1:3">
      <c r="A5332" s="6"/>
      <c r="B5332" s="6"/>
      <c r="C5332" s="6"/>
    </row>
    <row r="5333" s="1" customFormat="1" spans="1:3">
      <c r="A5333" s="6"/>
      <c r="B5333" s="6"/>
      <c r="C5333" s="6"/>
    </row>
    <row r="5334" s="1" customFormat="1" spans="1:3">
      <c r="A5334" s="6"/>
      <c r="B5334" s="6"/>
      <c r="C5334" s="6"/>
    </row>
    <row r="5335" s="1" customFormat="1" spans="1:3">
      <c r="A5335" s="6"/>
      <c r="B5335" s="6"/>
      <c r="C5335" s="6"/>
    </row>
    <row r="5336" s="1" customFormat="1" spans="1:3">
      <c r="A5336" s="6"/>
      <c r="B5336" s="6"/>
      <c r="C5336" s="6"/>
    </row>
    <row r="5337" s="1" customFormat="1" spans="1:3">
      <c r="A5337" s="6"/>
      <c r="B5337" s="6"/>
      <c r="C5337" s="6"/>
    </row>
    <row r="5338" s="1" customFormat="1" spans="1:3">
      <c r="A5338" s="6"/>
      <c r="B5338" s="6"/>
      <c r="C5338" s="6"/>
    </row>
    <row r="5339" s="1" customFormat="1" spans="1:3">
      <c r="A5339" s="6"/>
      <c r="B5339" s="6"/>
      <c r="C5339" s="6"/>
    </row>
    <row r="5340" s="1" customFormat="1" spans="1:3">
      <c r="A5340" s="6"/>
      <c r="B5340" s="6"/>
      <c r="C5340" s="6"/>
    </row>
    <row r="5341" s="1" customFormat="1" spans="1:3">
      <c r="A5341" s="6"/>
      <c r="B5341" s="6"/>
      <c r="C5341" s="6"/>
    </row>
    <row r="5342" s="1" customFormat="1" spans="1:3">
      <c r="A5342" s="6"/>
      <c r="B5342" s="6"/>
      <c r="C5342" s="6"/>
    </row>
    <row r="5343" s="1" customFormat="1" spans="1:3">
      <c r="A5343" s="6"/>
      <c r="B5343" s="6"/>
      <c r="C5343" s="6"/>
    </row>
    <row r="5344" s="1" customFormat="1" spans="1:3">
      <c r="A5344" s="6"/>
      <c r="B5344" s="6"/>
      <c r="C5344" s="6"/>
    </row>
    <row r="5345" s="1" customFormat="1" spans="1:3">
      <c r="A5345" s="6"/>
      <c r="B5345" s="6"/>
      <c r="C5345" s="6"/>
    </row>
    <row r="5346" s="1" customFormat="1" spans="1:3">
      <c r="A5346" s="6"/>
      <c r="B5346" s="6"/>
      <c r="C5346" s="6"/>
    </row>
    <row r="5347" s="1" customFormat="1" spans="1:3">
      <c r="A5347" s="6"/>
      <c r="B5347" s="6"/>
      <c r="C5347" s="6"/>
    </row>
    <row r="5348" s="1" customFormat="1" spans="1:3">
      <c r="A5348" s="6"/>
      <c r="B5348" s="6"/>
      <c r="C5348" s="6"/>
    </row>
    <row r="5349" s="1" customFormat="1" spans="1:3">
      <c r="A5349" s="6"/>
      <c r="B5349" s="6"/>
      <c r="C5349" s="6"/>
    </row>
    <row r="5350" s="1" customFormat="1" spans="1:3">
      <c r="A5350" s="6"/>
      <c r="B5350" s="6"/>
      <c r="C5350" s="6"/>
    </row>
    <row r="5351" s="1" customFormat="1" spans="1:3">
      <c r="A5351" s="6"/>
      <c r="B5351" s="6"/>
      <c r="C5351" s="6"/>
    </row>
    <row r="5352" s="1" customFormat="1" spans="1:3">
      <c r="A5352" s="6"/>
      <c r="B5352" s="6"/>
      <c r="C5352" s="6"/>
    </row>
    <row r="5353" s="1" customFormat="1" spans="1:3">
      <c r="A5353" s="6"/>
      <c r="B5353" s="6"/>
      <c r="C5353" s="6"/>
    </row>
    <row r="5354" s="1" customFormat="1" spans="1:3">
      <c r="A5354" s="6"/>
      <c r="B5354" s="6"/>
      <c r="C5354" s="6"/>
    </row>
    <row r="5355" s="1" customFormat="1" spans="1:3">
      <c r="A5355" s="6"/>
      <c r="B5355" s="6"/>
      <c r="C5355" s="6"/>
    </row>
    <row r="5356" s="1" customFormat="1" spans="1:3">
      <c r="A5356" s="6"/>
      <c r="B5356" s="6"/>
      <c r="C5356" s="6"/>
    </row>
    <row r="5357" s="1" customFormat="1" spans="1:3">
      <c r="A5357" s="6"/>
      <c r="B5357" s="6"/>
      <c r="C5357" s="6"/>
    </row>
    <row r="5358" s="1" customFormat="1" spans="1:3">
      <c r="A5358" s="6"/>
      <c r="B5358" s="6"/>
      <c r="C5358" s="6"/>
    </row>
    <row r="5359" s="1" customFormat="1" spans="1:3">
      <c r="A5359" s="6"/>
      <c r="B5359" s="6"/>
      <c r="C5359" s="6"/>
    </row>
    <row r="5360" s="1" customFormat="1" spans="1:3">
      <c r="A5360" s="6"/>
      <c r="B5360" s="6"/>
      <c r="C5360" s="6"/>
    </row>
    <row r="5361" s="1" customFormat="1" spans="1:3">
      <c r="A5361" s="6"/>
      <c r="B5361" s="6"/>
      <c r="C5361" s="6"/>
    </row>
    <row r="5362" s="1" customFormat="1" spans="1:3">
      <c r="A5362" s="6"/>
      <c r="B5362" s="6"/>
      <c r="C5362" s="6"/>
    </row>
    <row r="5363" s="1" customFormat="1" spans="1:3">
      <c r="A5363" s="6"/>
      <c r="B5363" s="6"/>
      <c r="C5363" s="6"/>
    </row>
    <row r="5364" s="1" customFormat="1" spans="1:3">
      <c r="A5364" s="6"/>
      <c r="B5364" s="6"/>
      <c r="C5364" s="6"/>
    </row>
    <row r="5365" s="1" customFormat="1" spans="1:3">
      <c r="A5365" s="6"/>
      <c r="B5365" s="6"/>
      <c r="C5365" s="6"/>
    </row>
    <row r="5366" s="1" customFormat="1" spans="1:3">
      <c r="A5366" s="6"/>
      <c r="B5366" s="6"/>
      <c r="C5366" s="6"/>
    </row>
    <row r="5367" s="1" customFormat="1" spans="1:3">
      <c r="A5367" s="6"/>
      <c r="B5367" s="6"/>
      <c r="C5367" s="6"/>
    </row>
    <row r="5368" s="1" customFormat="1" spans="1:3">
      <c r="A5368" s="6"/>
      <c r="B5368" s="6"/>
      <c r="C5368" s="6"/>
    </row>
    <row r="5369" s="1" customFormat="1" spans="1:3">
      <c r="A5369" s="6"/>
      <c r="B5369" s="6"/>
      <c r="C5369" s="6"/>
    </row>
    <row r="5370" s="1" customFormat="1" spans="1:3">
      <c r="A5370" s="6"/>
      <c r="B5370" s="6"/>
      <c r="C5370" s="6"/>
    </row>
    <row r="5371" s="1" customFormat="1" spans="1:3">
      <c r="A5371" s="6"/>
      <c r="B5371" s="6"/>
      <c r="C5371" s="6"/>
    </row>
    <row r="5372" s="1" customFormat="1" spans="1:3">
      <c r="A5372" s="6"/>
      <c r="B5372" s="6"/>
      <c r="C5372" s="6"/>
    </row>
    <row r="5373" s="1" customFormat="1" spans="1:3">
      <c r="A5373" s="6"/>
      <c r="B5373" s="6"/>
      <c r="C5373" s="6"/>
    </row>
    <row r="5374" s="1" customFormat="1" spans="1:3">
      <c r="A5374" s="6"/>
      <c r="B5374" s="6"/>
      <c r="C5374" s="6"/>
    </row>
    <row r="5375" s="1" customFormat="1" spans="1:3">
      <c r="A5375" s="6"/>
      <c r="B5375" s="6"/>
      <c r="C5375" s="6"/>
    </row>
    <row r="5376" s="1" customFormat="1" spans="1:3">
      <c r="A5376" s="6"/>
      <c r="B5376" s="6"/>
      <c r="C5376" s="6"/>
    </row>
    <row r="5377" s="1" customFormat="1" spans="1:3">
      <c r="A5377" s="6"/>
      <c r="B5377" s="6"/>
      <c r="C5377" s="6"/>
    </row>
    <row r="5378" s="1" customFormat="1" spans="1:3">
      <c r="A5378" s="6"/>
      <c r="B5378" s="6"/>
      <c r="C5378" s="6"/>
    </row>
    <row r="5379" s="1" customFormat="1" spans="1:3">
      <c r="A5379" s="6"/>
      <c r="B5379" s="6"/>
      <c r="C5379" s="6"/>
    </row>
    <row r="5380" s="1" customFormat="1" spans="1:3">
      <c r="A5380" s="6"/>
      <c r="B5380" s="6"/>
      <c r="C5380" s="6"/>
    </row>
    <row r="5381" s="1" customFormat="1" spans="1:3">
      <c r="A5381" s="6"/>
      <c r="B5381" s="6"/>
      <c r="C5381" s="6"/>
    </row>
    <row r="5382" s="1" customFormat="1" spans="1:3">
      <c r="A5382" s="6"/>
      <c r="B5382" s="6"/>
      <c r="C5382" s="6"/>
    </row>
    <row r="5383" s="1" customFormat="1" spans="1:3">
      <c r="A5383" s="6"/>
      <c r="B5383" s="6"/>
      <c r="C5383" s="6"/>
    </row>
    <row r="5384" s="1" customFormat="1" spans="1:3">
      <c r="A5384" s="6"/>
      <c r="B5384" s="6"/>
      <c r="C5384" s="6"/>
    </row>
    <row r="5385" s="1" customFormat="1" spans="1:3">
      <c r="A5385" s="6"/>
      <c r="B5385" s="6"/>
      <c r="C5385" s="6"/>
    </row>
    <row r="5386" s="1" customFormat="1" spans="1:3">
      <c r="A5386" s="6"/>
      <c r="B5386" s="6"/>
      <c r="C5386" s="6"/>
    </row>
    <row r="5387" s="1" customFormat="1" spans="1:3">
      <c r="A5387" s="6"/>
      <c r="B5387" s="6"/>
      <c r="C5387" s="6"/>
    </row>
    <row r="5388" s="1" customFormat="1" spans="1:3">
      <c r="A5388" s="6"/>
      <c r="B5388" s="6"/>
      <c r="C5388" s="6"/>
    </row>
    <row r="5389" s="1" customFormat="1" spans="1:3">
      <c r="A5389" s="6"/>
      <c r="B5389" s="6"/>
      <c r="C5389" s="6"/>
    </row>
    <row r="5390" s="1" customFormat="1" spans="1:3">
      <c r="A5390" s="6"/>
      <c r="B5390" s="6"/>
      <c r="C5390" s="6"/>
    </row>
    <row r="5391" s="1" customFormat="1" spans="1:3">
      <c r="A5391" s="6"/>
      <c r="B5391" s="6"/>
      <c r="C5391" s="6"/>
    </row>
    <row r="5392" s="1" customFormat="1" spans="1:3">
      <c r="A5392" s="6"/>
      <c r="B5392" s="6"/>
      <c r="C5392" s="6"/>
    </row>
    <row r="5393" s="1" customFormat="1" spans="1:3">
      <c r="A5393" s="6"/>
      <c r="B5393" s="6"/>
      <c r="C5393" s="6"/>
    </row>
    <row r="5394" s="1" customFormat="1" spans="1:3">
      <c r="A5394" s="6"/>
      <c r="B5394" s="6"/>
      <c r="C5394" s="6"/>
    </row>
    <row r="5395" s="1" customFormat="1" spans="1:3">
      <c r="A5395" s="6"/>
      <c r="B5395" s="6"/>
      <c r="C5395" s="6"/>
    </row>
    <row r="5396" s="1" customFormat="1" spans="1:3">
      <c r="A5396" s="6"/>
      <c r="B5396" s="6"/>
      <c r="C5396" s="6"/>
    </row>
    <row r="5397" s="1" customFormat="1" spans="1:3">
      <c r="A5397" s="6"/>
      <c r="B5397" s="6"/>
      <c r="C5397" s="6"/>
    </row>
    <row r="5398" s="1" customFormat="1" spans="1:3">
      <c r="A5398" s="6"/>
      <c r="B5398" s="6"/>
      <c r="C5398" s="6"/>
    </row>
    <row r="5399" s="1" customFormat="1" spans="1:3">
      <c r="A5399" s="6"/>
      <c r="B5399" s="6"/>
      <c r="C5399" s="6"/>
    </row>
    <row r="5400" s="1" customFormat="1" spans="1:3">
      <c r="A5400" s="6"/>
      <c r="B5400" s="6"/>
      <c r="C5400" s="6"/>
    </row>
    <row r="5401" s="1" customFormat="1" spans="1:3">
      <c r="A5401" s="6"/>
      <c r="B5401" s="6"/>
      <c r="C5401" s="6"/>
    </row>
    <row r="5402" s="1" customFormat="1" spans="1:3">
      <c r="A5402" s="6"/>
      <c r="B5402" s="6"/>
      <c r="C5402" s="6"/>
    </row>
    <row r="5403" s="1" customFormat="1" spans="1:3">
      <c r="A5403" s="6"/>
      <c r="B5403" s="6"/>
      <c r="C5403" s="6"/>
    </row>
    <row r="5404" s="1" customFormat="1" spans="1:3">
      <c r="A5404" s="6"/>
      <c r="B5404" s="6"/>
      <c r="C5404" s="6"/>
    </row>
    <row r="5405" s="1" customFormat="1" spans="1:3">
      <c r="A5405" s="6"/>
      <c r="B5405" s="6"/>
      <c r="C5405" s="6"/>
    </row>
    <row r="5406" s="1" customFormat="1" spans="1:3">
      <c r="A5406" s="6"/>
      <c r="B5406" s="6"/>
      <c r="C5406" s="6"/>
    </row>
    <row r="5407" s="1" customFormat="1" spans="1:3">
      <c r="A5407" s="6"/>
      <c r="B5407" s="6"/>
      <c r="C5407" s="6"/>
    </row>
    <row r="5408" s="1" customFormat="1" spans="1:3">
      <c r="A5408" s="6"/>
      <c r="B5408" s="6"/>
      <c r="C5408" s="6"/>
    </row>
    <row r="5409" s="1" customFormat="1" spans="1:3">
      <c r="A5409" s="6"/>
      <c r="B5409" s="6"/>
      <c r="C5409" s="6"/>
    </row>
    <row r="5410" s="1" customFormat="1" spans="1:3">
      <c r="A5410" s="6"/>
      <c r="B5410" s="6"/>
      <c r="C5410" s="6"/>
    </row>
    <row r="5411" s="1" customFormat="1" spans="1:3">
      <c r="A5411" s="6"/>
      <c r="B5411" s="6"/>
      <c r="C5411" s="6"/>
    </row>
    <row r="5412" s="1" customFormat="1" spans="1:3">
      <c r="A5412" s="6"/>
      <c r="B5412" s="6"/>
      <c r="C5412" s="6"/>
    </row>
    <row r="5413" s="1" customFormat="1" spans="1:3">
      <c r="A5413" s="6"/>
      <c r="B5413" s="6"/>
      <c r="C5413" s="6"/>
    </row>
    <row r="5414" s="1" customFormat="1" spans="1:3">
      <c r="A5414" s="6"/>
      <c r="B5414" s="6"/>
      <c r="C5414" s="6"/>
    </row>
    <row r="5415" s="1" customFormat="1" spans="1:3">
      <c r="A5415" s="6"/>
      <c r="B5415" s="6"/>
      <c r="C5415" s="6"/>
    </row>
    <row r="5416" s="1" customFormat="1" spans="1:3">
      <c r="A5416" s="6"/>
      <c r="B5416" s="6"/>
      <c r="C5416" s="6"/>
    </row>
    <row r="5417" s="1" customFormat="1" spans="1:3">
      <c r="A5417" s="6"/>
      <c r="B5417" s="6"/>
      <c r="C5417" s="6"/>
    </row>
    <row r="5418" s="1" customFormat="1" spans="1:3">
      <c r="A5418" s="6"/>
      <c r="B5418" s="6"/>
      <c r="C5418" s="6"/>
    </row>
    <row r="5419" s="1" customFormat="1" spans="1:3">
      <c r="A5419" s="6"/>
      <c r="B5419" s="6"/>
      <c r="C5419" s="6"/>
    </row>
    <row r="5420" s="1" customFormat="1" spans="1:3">
      <c r="A5420" s="6"/>
      <c r="B5420" s="6"/>
      <c r="C5420" s="6"/>
    </row>
    <row r="5421" s="1" customFormat="1" spans="1:3">
      <c r="A5421" s="6"/>
      <c r="B5421" s="6"/>
      <c r="C5421" s="6"/>
    </row>
    <row r="5422" s="1" customFormat="1" spans="1:3">
      <c r="A5422" s="6"/>
      <c r="B5422" s="6"/>
      <c r="C5422" s="6"/>
    </row>
    <row r="5423" s="1" customFormat="1" spans="1:3">
      <c r="A5423" s="6"/>
      <c r="B5423" s="6"/>
      <c r="C5423" s="6"/>
    </row>
    <row r="5424" s="1" customFormat="1" spans="1:3">
      <c r="A5424" s="6"/>
      <c r="B5424" s="6"/>
      <c r="C5424" s="6"/>
    </row>
    <row r="5425" s="1" customFormat="1" spans="1:3">
      <c r="A5425" s="6"/>
      <c r="B5425" s="6"/>
      <c r="C5425" s="6"/>
    </row>
    <row r="5426" s="1" customFormat="1" spans="1:3">
      <c r="A5426" s="6"/>
      <c r="B5426" s="6"/>
      <c r="C5426" s="6"/>
    </row>
    <row r="5427" s="1" customFormat="1" spans="1:3">
      <c r="A5427" s="6"/>
      <c r="B5427" s="6"/>
      <c r="C5427" s="6"/>
    </row>
    <row r="5428" s="1" customFormat="1" spans="1:3">
      <c r="A5428" s="6"/>
      <c r="B5428" s="6"/>
      <c r="C5428" s="6"/>
    </row>
    <row r="5429" s="1" customFormat="1" spans="1:3">
      <c r="A5429" s="6"/>
      <c r="B5429" s="6"/>
      <c r="C5429" s="6"/>
    </row>
    <row r="5430" s="1" customFormat="1" spans="1:3">
      <c r="A5430" s="6"/>
      <c r="B5430" s="6"/>
      <c r="C5430" s="6"/>
    </row>
    <row r="5431" s="1" customFormat="1" spans="1:3">
      <c r="A5431" s="6"/>
      <c r="B5431" s="6"/>
      <c r="C5431" s="6"/>
    </row>
    <row r="5432" s="1" customFormat="1" spans="1:3">
      <c r="A5432" s="6"/>
      <c r="B5432" s="6"/>
      <c r="C5432" s="6"/>
    </row>
    <row r="5433" s="1" customFormat="1" spans="1:3">
      <c r="A5433" s="6"/>
      <c r="B5433" s="6"/>
      <c r="C5433" s="6"/>
    </row>
    <row r="5434" s="1" customFormat="1" spans="1:3">
      <c r="A5434" s="6"/>
      <c r="B5434" s="6"/>
      <c r="C5434" s="6"/>
    </row>
    <row r="5435" s="1" customFormat="1" spans="1:3">
      <c r="A5435" s="6"/>
      <c r="B5435" s="6"/>
      <c r="C5435" s="6"/>
    </row>
    <row r="5436" s="1" customFormat="1" spans="1:3">
      <c r="A5436" s="6"/>
      <c r="B5436" s="6"/>
      <c r="C5436" s="6"/>
    </row>
    <row r="5437" s="1" customFormat="1" spans="1:3">
      <c r="A5437" s="6"/>
      <c r="B5437" s="6"/>
      <c r="C5437" s="6"/>
    </row>
    <row r="5438" s="1" customFormat="1" spans="1:3">
      <c r="A5438" s="6"/>
      <c r="B5438" s="6"/>
      <c r="C5438" s="6"/>
    </row>
    <row r="5439" s="1" customFormat="1" spans="1:3">
      <c r="A5439" s="6"/>
      <c r="B5439" s="6"/>
      <c r="C5439" s="6"/>
    </row>
    <row r="5440" s="1" customFormat="1" spans="1:3">
      <c r="A5440" s="6"/>
      <c r="B5440" s="6"/>
      <c r="C5440" s="6"/>
    </row>
    <row r="5441" s="1" customFormat="1" spans="1:3">
      <c r="A5441" s="6"/>
      <c r="B5441" s="6"/>
      <c r="C5441" s="6"/>
    </row>
    <row r="5442" s="1" customFormat="1" spans="1:3">
      <c r="A5442" s="6"/>
      <c r="B5442" s="6"/>
      <c r="C5442" s="6"/>
    </row>
    <row r="5443" s="1" customFormat="1" spans="1:3">
      <c r="A5443" s="6"/>
      <c r="B5443" s="6"/>
      <c r="C5443" s="6"/>
    </row>
    <row r="5444" s="1" customFormat="1" spans="1:3">
      <c r="A5444" s="6"/>
      <c r="B5444" s="6"/>
      <c r="C5444" s="6"/>
    </row>
    <row r="5445" s="1" customFormat="1" spans="1:3">
      <c r="A5445" s="6"/>
      <c r="B5445" s="6"/>
      <c r="C5445" s="6"/>
    </row>
    <row r="5446" s="1" customFormat="1" spans="1:3">
      <c r="A5446" s="6"/>
      <c r="B5446" s="6"/>
      <c r="C5446" s="6"/>
    </row>
    <row r="5447" s="1" customFormat="1" spans="1:3">
      <c r="A5447" s="6"/>
      <c r="B5447" s="6"/>
      <c r="C5447" s="6"/>
    </row>
    <row r="5448" s="1" customFormat="1" spans="1:3">
      <c r="A5448" s="6"/>
      <c r="B5448" s="6"/>
      <c r="C5448" s="6"/>
    </row>
    <row r="5449" s="1" customFormat="1" spans="1:3">
      <c r="A5449" s="6"/>
      <c r="B5449" s="6"/>
      <c r="C5449" s="6"/>
    </row>
    <row r="5450" s="1" customFormat="1" spans="1:3">
      <c r="A5450" s="6"/>
      <c r="B5450" s="6"/>
      <c r="C5450" s="6"/>
    </row>
    <row r="5451" s="1" customFormat="1" spans="1:3">
      <c r="A5451" s="6"/>
      <c r="B5451" s="6"/>
      <c r="C5451" s="6"/>
    </row>
    <row r="5452" s="1" customFormat="1" spans="1:3">
      <c r="A5452" s="6"/>
      <c r="B5452" s="6"/>
      <c r="C5452" s="6"/>
    </row>
    <row r="5453" s="1" customFormat="1" spans="1:3">
      <c r="A5453" s="6"/>
      <c r="B5453" s="6"/>
      <c r="C5453" s="6"/>
    </row>
    <row r="5454" s="1" customFormat="1" spans="1:3">
      <c r="A5454" s="6"/>
      <c r="B5454" s="6"/>
      <c r="C5454" s="6"/>
    </row>
    <row r="5455" s="1" customFormat="1" spans="1:3">
      <c r="A5455" s="6"/>
      <c r="B5455" s="6"/>
      <c r="C5455" s="6"/>
    </row>
    <row r="5456" s="1" customFormat="1" spans="1:3">
      <c r="A5456" s="6"/>
      <c r="B5456" s="6"/>
      <c r="C5456" s="6"/>
    </row>
    <row r="5457" s="1" customFormat="1" spans="1:3">
      <c r="A5457" s="6"/>
      <c r="B5457" s="6"/>
      <c r="C5457" s="6"/>
    </row>
    <row r="5458" s="1" customFormat="1" spans="1:3">
      <c r="A5458" s="6"/>
      <c r="B5458" s="6"/>
      <c r="C5458" s="6"/>
    </row>
    <row r="5459" s="1" customFormat="1" spans="1:3">
      <c r="A5459" s="6"/>
      <c r="B5459" s="6"/>
      <c r="C5459" s="6"/>
    </row>
    <row r="5460" s="1" customFormat="1" spans="1:3">
      <c r="A5460" s="6"/>
      <c r="B5460" s="6"/>
      <c r="C5460" s="6"/>
    </row>
    <row r="5461" s="1" customFormat="1" spans="1:3">
      <c r="A5461" s="6"/>
      <c r="B5461" s="6"/>
      <c r="C5461" s="6"/>
    </row>
    <row r="5462" s="1" customFormat="1" spans="1:3">
      <c r="A5462" s="6"/>
      <c r="B5462" s="6"/>
      <c r="C5462" s="6"/>
    </row>
    <row r="5463" s="1" customFormat="1" spans="1:3">
      <c r="A5463" s="6"/>
      <c r="B5463" s="6"/>
      <c r="C5463" s="6"/>
    </row>
    <row r="5464" s="1" customFormat="1" spans="1:3">
      <c r="A5464" s="6"/>
      <c r="B5464" s="6"/>
      <c r="C5464" s="6"/>
    </row>
    <row r="5465" s="1" customFormat="1" spans="1:3">
      <c r="A5465" s="6"/>
      <c r="B5465" s="6"/>
      <c r="C5465" s="6"/>
    </row>
    <row r="5466" s="1" customFormat="1" spans="1:3">
      <c r="A5466" s="6"/>
      <c r="B5466" s="6"/>
      <c r="C5466" s="6"/>
    </row>
    <row r="5467" s="1" customFormat="1" spans="1:3">
      <c r="A5467" s="6"/>
      <c r="B5467" s="6"/>
      <c r="C5467" s="6"/>
    </row>
    <row r="5468" s="1" customFormat="1" spans="1:3">
      <c r="A5468" s="6"/>
      <c r="B5468" s="6"/>
      <c r="C5468" s="6"/>
    </row>
    <row r="5469" s="1" customFormat="1" spans="1:3">
      <c r="A5469" s="6"/>
      <c r="B5469" s="6"/>
      <c r="C5469" s="6"/>
    </row>
    <row r="5470" s="1" customFormat="1" spans="1:3">
      <c r="A5470" s="6"/>
      <c r="B5470" s="6"/>
      <c r="C5470" s="6"/>
    </row>
    <row r="5471" s="1" customFormat="1" spans="1:3">
      <c r="A5471" s="6"/>
      <c r="B5471" s="6"/>
      <c r="C5471" s="6"/>
    </row>
    <row r="5472" s="1" customFormat="1" spans="1:3">
      <c r="A5472" s="6"/>
      <c r="B5472" s="6"/>
      <c r="C5472" s="6"/>
    </row>
    <row r="5473" s="1" customFormat="1" spans="1:3">
      <c r="A5473" s="6"/>
      <c r="B5473" s="6"/>
      <c r="C5473" s="6"/>
    </row>
    <row r="5474" s="1" customFormat="1" spans="1:3">
      <c r="A5474" s="6"/>
      <c r="B5474" s="6"/>
      <c r="C5474" s="6"/>
    </row>
    <row r="5475" s="1" customFormat="1" spans="1:3">
      <c r="A5475" s="6"/>
      <c r="B5475" s="6"/>
      <c r="C5475" s="6"/>
    </row>
    <row r="5476" s="1" customFormat="1" spans="1:3">
      <c r="A5476" s="6"/>
      <c r="B5476" s="6"/>
      <c r="C5476" s="6"/>
    </row>
    <row r="5477" s="1" customFormat="1" spans="1:3">
      <c r="A5477" s="6"/>
      <c r="B5477" s="6"/>
      <c r="C5477" s="6"/>
    </row>
    <row r="5478" s="1" customFormat="1" spans="1:3">
      <c r="A5478" s="6"/>
      <c r="B5478" s="6"/>
      <c r="C5478" s="6"/>
    </row>
    <row r="5479" s="1" customFormat="1" spans="1:3">
      <c r="A5479" s="6"/>
      <c r="B5479" s="6"/>
      <c r="C5479" s="6"/>
    </row>
    <row r="5480" s="1" customFormat="1" spans="1:3">
      <c r="A5480" s="6"/>
      <c r="B5480" s="6"/>
      <c r="C5480" s="6"/>
    </row>
    <row r="5481" s="1" customFormat="1" spans="1:3">
      <c r="A5481" s="6"/>
      <c r="B5481" s="6"/>
      <c r="C5481" s="6"/>
    </row>
    <row r="5482" s="1" customFormat="1" spans="1:3">
      <c r="A5482" s="6"/>
      <c r="B5482" s="6"/>
      <c r="C5482" s="6"/>
    </row>
    <row r="5483" s="1" customFormat="1" spans="1:3">
      <c r="A5483" s="6"/>
      <c r="B5483" s="6"/>
      <c r="C5483" s="6"/>
    </row>
    <row r="5484" s="1" customFormat="1" spans="1:3">
      <c r="A5484" s="6"/>
      <c r="B5484" s="6"/>
      <c r="C5484" s="6"/>
    </row>
    <row r="5485" s="1" customFormat="1" spans="1:3">
      <c r="A5485" s="6"/>
      <c r="B5485" s="6"/>
      <c r="C5485" s="6"/>
    </row>
    <row r="5486" s="1" customFormat="1" spans="1:3">
      <c r="A5486" s="6"/>
      <c r="B5486" s="6"/>
      <c r="C5486" s="6"/>
    </row>
    <row r="5487" s="1" customFormat="1" spans="1:3">
      <c r="A5487" s="6"/>
      <c r="B5487" s="6"/>
      <c r="C5487" s="6"/>
    </row>
    <row r="5488" s="1" customFormat="1" spans="1:3">
      <c r="A5488" s="6"/>
      <c r="B5488" s="6"/>
      <c r="C5488" s="6"/>
    </row>
    <row r="5489" s="1" customFormat="1" spans="1:3">
      <c r="A5489" s="6"/>
      <c r="B5489" s="6"/>
      <c r="C5489" s="6"/>
    </row>
    <row r="5490" s="1" customFormat="1" spans="1:3">
      <c r="A5490" s="6"/>
      <c r="B5490" s="6"/>
      <c r="C5490" s="6"/>
    </row>
    <row r="5491" s="1" customFormat="1" spans="1:3">
      <c r="A5491" s="6"/>
      <c r="B5491" s="6"/>
      <c r="C5491" s="6"/>
    </row>
    <row r="5492" s="1" customFormat="1" spans="1:3">
      <c r="A5492" s="6"/>
      <c r="B5492" s="6"/>
      <c r="C5492" s="6"/>
    </row>
    <row r="5493" s="1" customFormat="1" spans="1:3">
      <c r="A5493" s="6"/>
      <c r="B5493" s="6"/>
      <c r="C5493" s="6"/>
    </row>
    <row r="5494" s="1" customFormat="1" spans="1:3">
      <c r="A5494" s="6"/>
      <c r="B5494" s="6"/>
      <c r="C5494" s="6"/>
    </row>
    <row r="5495" s="1" customFormat="1" spans="1:3">
      <c r="A5495" s="6"/>
      <c r="B5495" s="6"/>
      <c r="C5495" s="6"/>
    </row>
    <row r="5496" s="1" customFormat="1" spans="1:3">
      <c r="A5496" s="6"/>
      <c r="B5496" s="6"/>
      <c r="C5496" s="6"/>
    </row>
    <row r="5497" s="1" customFormat="1" spans="1:3">
      <c r="A5497" s="6"/>
      <c r="B5497" s="6"/>
      <c r="C5497" s="6"/>
    </row>
    <row r="5498" s="1" customFormat="1" spans="1:3">
      <c r="A5498" s="6"/>
      <c r="B5498" s="6"/>
      <c r="C5498" s="6"/>
    </row>
    <row r="5499" s="1" customFormat="1" spans="1:3">
      <c r="A5499" s="6"/>
      <c r="B5499" s="6"/>
      <c r="C5499" s="6"/>
    </row>
    <row r="5500" s="1" customFormat="1" spans="1:3">
      <c r="A5500" s="6"/>
      <c r="B5500" s="6"/>
      <c r="C5500" s="6"/>
    </row>
    <row r="5501" s="1" customFormat="1" spans="1:3">
      <c r="A5501" s="6"/>
      <c r="B5501" s="6"/>
      <c r="C5501" s="6"/>
    </row>
    <row r="5502" s="1" customFormat="1" spans="1:3">
      <c r="A5502" s="6"/>
      <c r="B5502" s="6"/>
      <c r="C5502" s="6"/>
    </row>
    <row r="5503" s="1" customFormat="1" spans="1:3">
      <c r="A5503" s="6"/>
      <c r="B5503" s="6"/>
      <c r="C5503" s="6"/>
    </row>
    <row r="5504" s="1" customFormat="1" spans="1:3">
      <c r="A5504" s="6"/>
      <c r="B5504" s="6"/>
      <c r="C5504" s="6"/>
    </row>
    <row r="5505" s="1" customFormat="1" spans="1:3">
      <c r="A5505" s="6"/>
      <c r="B5505" s="6"/>
      <c r="C5505" s="6"/>
    </row>
    <row r="5506" s="1" customFormat="1" spans="1:3">
      <c r="A5506" s="6"/>
      <c r="B5506" s="6"/>
      <c r="C5506" s="6"/>
    </row>
    <row r="5507" s="1" customFormat="1" spans="1:3">
      <c r="A5507" s="6"/>
      <c r="B5507" s="6"/>
      <c r="C5507" s="6"/>
    </row>
    <row r="5508" s="1" customFormat="1" spans="1:3">
      <c r="A5508" s="6"/>
      <c r="B5508" s="6"/>
      <c r="C5508" s="6"/>
    </row>
    <row r="5509" s="1" customFormat="1" spans="1:3">
      <c r="A5509" s="6"/>
      <c r="B5509" s="6"/>
      <c r="C5509" s="6"/>
    </row>
    <row r="5510" s="1" customFormat="1" spans="1:3">
      <c r="A5510" s="6"/>
      <c r="B5510" s="6"/>
      <c r="C5510" s="6"/>
    </row>
    <row r="5511" s="1" customFormat="1" spans="1:3">
      <c r="A5511" s="6"/>
      <c r="B5511" s="6"/>
      <c r="C5511" s="6"/>
    </row>
    <row r="5512" s="1" customFormat="1" spans="1:3">
      <c r="A5512" s="6"/>
      <c r="B5512" s="6"/>
      <c r="C5512" s="6"/>
    </row>
    <row r="5513" s="1" customFormat="1" spans="1:3">
      <c r="A5513" s="6"/>
      <c r="B5513" s="6"/>
      <c r="C5513" s="6"/>
    </row>
    <row r="5514" s="1" customFormat="1" spans="1:3">
      <c r="A5514" s="6"/>
      <c r="B5514" s="6"/>
      <c r="C5514" s="6"/>
    </row>
    <row r="5515" s="1" customFormat="1" spans="1:3">
      <c r="A5515" s="6"/>
      <c r="B5515" s="6"/>
      <c r="C5515" s="6"/>
    </row>
    <row r="5516" s="1" customFormat="1" spans="1:3">
      <c r="A5516" s="6"/>
      <c r="B5516" s="6"/>
      <c r="C5516" s="6"/>
    </row>
    <row r="5517" s="1" customFormat="1" spans="1:3">
      <c r="A5517" s="6"/>
      <c r="B5517" s="6"/>
      <c r="C5517" s="6"/>
    </row>
    <row r="5518" s="1" customFormat="1" spans="1:3">
      <c r="A5518" s="6"/>
      <c r="B5518" s="6"/>
      <c r="C5518" s="6"/>
    </row>
    <row r="5519" s="1" customFormat="1" spans="1:3">
      <c r="A5519" s="6"/>
      <c r="B5519" s="6"/>
      <c r="C5519" s="6"/>
    </row>
    <row r="5520" s="1" customFormat="1" spans="1:3">
      <c r="A5520" s="6"/>
      <c r="B5520" s="6"/>
      <c r="C5520" s="6"/>
    </row>
    <row r="5521" s="1" customFormat="1" spans="1:3">
      <c r="A5521" s="6"/>
      <c r="B5521" s="6"/>
      <c r="C5521" s="6"/>
    </row>
    <row r="5522" s="1" customFormat="1" spans="1:3">
      <c r="A5522" s="6"/>
      <c r="B5522" s="6"/>
      <c r="C5522" s="6"/>
    </row>
    <row r="5523" s="1" customFormat="1" spans="1:3">
      <c r="A5523" s="6"/>
      <c r="B5523" s="6"/>
      <c r="C5523" s="6"/>
    </row>
    <row r="5524" s="1" customFormat="1" spans="1:3">
      <c r="A5524" s="6"/>
      <c r="B5524" s="6"/>
      <c r="C5524" s="6"/>
    </row>
    <row r="5525" s="1" customFormat="1" spans="1:3">
      <c r="A5525" s="6"/>
      <c r="B5525" s="6"/>
      <c r="C5525" s="6"/>
    </row>
    <row r="5526" s="1" customFormat="1" spans="1:3">
      <c r="A5526" s="6"/>
      <c r="B5526" s="6"/>
      <c r="C5526" s="6"/>
    </row>
    <row r="5527" s="1" customFormat="1" spans="1:3">
      <c r="A5527" s="6"/>
      <c r="B5527" s="6"/>
      <c r="C5527" s="6"/>
    </row>
    <row r="5528" s="1" customFormat="1" spans="1:3">
      <c r="A5528" s="6"/>
      <c r="B5528" s="6"/>
      <c r="C5528" s="6"/>
    </row>
    <row r="5529" s="1" customFormat="1" spans="1:3">
      <c r="A5529" s="6"/>
      <c r="B5529" s="6"/>
      <c r="C5529" s="6"/>
    </row>
    <row r="5530" s="1" customFormat="1" spans="1:3">
      <c r="A5530" s="6"/>
      <c r="B5530" s="6"/>
      <c r="C5530" s="6"/>
    </row>
    <row r="5531" s="1" customFormat="1" spans="1:3">
      <c r="A5531" s="6"/>
      <c r="B5531" s="6"/>
      <c r="C5531" s="6"/>
    </row>
    <row r="5532" s="1" customFormat="1" spans="1:3">
      <c r="A5532" s="6"/>
      <c r="B5532" s="6"/>
      <c r="C5532" s="6"/>
    </row>
    <row r="5533" s="1" customFormat="1" spans="1:3">
      <c r="A5533" s="6"/>
      <c r="B5533" s="6"/>
      <c r="C5533" s="6"/>
    </row>
    <row r="5534" s="1" customFormat="1" spans="1:3">
      <c r="A5534" s="6"/>
      <c r="B5534" s="6"/>
      <c r="C5534" s="6"/>
    </row>
    <row r="5535" s="1" customFormat="1" spans="1:3">
      <c r="A5535" s="6"/>
      <c r="B5535" s="6"/>
      <c r="C5535" s="6"/>
    </row>
    <row r="5536" s="1" customFormat="1" spans="1:3">
      <c r="A5536" s="6"/>
      <c r="B5536" s="6"/>
      <c r="C5536" s="6"/>
    </row>
    <row r="5537" s="1" customFormat="1" spans="1:3">
      <c r="A5537" s="6"/>
      <c r="B5537" s="6"/>
      <c r="C5537" s="6"/>
    </row>
    <row r="5538" s="1" customFormat="1" spans="1:3">
      <c r="A5538" s="6"/>
      <c r="B5538" s="6"/>
      <c r="C5538" s="6"/>
    </row>
    <row r="5539" s="1" customFormat="1" spans="1:3">
      <c r="A5539" s="6"/>
      <c r="B5539" s="6"/>
      <c r="C5539" s="6"/>
    </row>
    <row r="5540" s="1" customFormat="1" spans="1:3">
      <c r="A5540" s="6"/>
      <c r="B5540" s="6"/>
      <c r="C5540" s="6"/>
    </row>
    <row r="5541" s="1" customFormat="1" spans="1:3">
      <c r="A5541" s="6"/>
      <c r="B5541" s="6"/>
      <c r="C5541" s="6"/>
    </row>
    <row r="5542" s="1" customFormat="1" spans="1:3">
      <c r="A5542" s="6"/>
      <c r="B5542" s="6"/>
      <c r="C5542" s="6"/>
    </row>
    <row r="5543" s="1" customFormat="1" spans="1:3">
      <c r="A5543" s="6"/>
      <c r="B5543" s="6"/>
      <c r="C5543" s="6"/>
    </row>
    <row r="5544" s="1" customFormat="1" spans="1:3">
      <c r="A5544" s="6"/>
      <c r="B5544" s="6"/>
      <c r="C5544" s="6"/>
    </row>
    <row r="5545" s="1" customFormat="1" spans="1:3">
      <c r="A5545" s="6"/>
      <c r="B5545" s="6"/>
      <c r="C5545" s="6"/>
    </row>
    <row r="5546" s="1" customFormat="1" spans="1:3">
      <c r="A5546" s="6"/>
      <c r="B5546" s="6"/>
      <c r="C5546" s="6"/>
    </row>
    <row r="5547" s="1" customFormat="1" spans="1:3">
      <c r="A5547" s="6"/>
      <c r="B5547" s="6"/>
      <c r="C5547" s="6"/>
    </row>
    <row r="5548" s="1" customFormat="1" spans="1:3">
      <c r="A5548" s="6"/>
      <c r="B5548" s="6"/>
      <c r="C5548" s="6"/>
    </row>
    <row r="5549" s="1" customFormat="1" spans="1:3">
      <c r="A5549" s="6"/>
      <c r="B5549" s="6"/>
      <c r="C5549" s="6"/>
    </row>
    <row r="5550" s="1" customFormat="1" spans="1:3">
      <c r="A5550" s="6"/>
      <c r="B5550" s="6"/>
      <c r="C5550" s="6"/>
    </row>
    <row r="5551" s="1" customFormat="1" spans="1:3">
      <c r="A5551" s="6"/>
      <c r="B5551" s="6"/>
      <c r="C5551" s="6"/>
    </row>
    <row r="5552" s="1" customFormat="1" spans="1:3">
      <c r="A5552" s="6"/>
      <c r="B5552" s="6"/>
      <c r="C5552" s="6"/>
    </row>
    <row r="5553" s="1" customFormat="1" spans="1:3">
      <c r="A5553" s="6"/>
      <c r="B5553" s="6"/>
      <c r="C5553" s="6"/>
    </row>
    <row r="5554" s="1" customFormat="1" spans="1:3">
      <c r="A5554" s="6"/>
      <c r="B5554" s="6"/>
      <c r="C5554" s="6"/>
    </row>
    <row r="5555" s="1" customFormat="1" spans="1:3">
      <c r="A5555" s="6"/>
      <c r="B5555" s="6"/>
      <c r="C5555" s="6"/>
    </row>
    <row r="5556" s="1" customFormat="1" spans="1:3">
      <c r="A5556" s="6"/>
      <c r="B5556" s="6"/>
      <c r="C5556" s="6"/>
    </row>
    <row r="5557" s="1" customFormat="1" spans="1:3">
      <c r="A5557" s="6"/>
      <c r="B5557" s="6"/>
      <c r="C5557" s="6"/>
    </row>
    <row r="5558" s="1" customFormat="1" spans="1:3">
      <c r="A5558" s="6"/>
      <c r="B5558" s="6"/>
      <c r="C5558" s="6"/>
    </row>
    <row r="5559" s="1" customFormat="1" spans="1:3">
      <c r="A5559" s="6"/>
      <c r="B5559" s="6"/>
      <c r="C5559" s="6"/>
    </row>
    <row r="5560" s="1" customFormat="1" spans="1:3">
      <c r="A5560" s="6"/>
      <c r="B5560" s="6"/>
      <c r="C5560" s="6"/>
    </row>
    <row r="5561" s="1" customFormat="1" spans="1:3">
      <c r="A5561" s="6"/>
      <c r="B5561" s="6"/>
      <c r="C5561" s="6"/>
    </row>
    <row r="5562" s="1" customFormat="1" spans="1:3">
      <c r="A5562" s="6"/>
      <c r="B5562" s="6"/>
      <c r="C5562" s="6"/>
    </row>
    <row r="5563" s="1" customFormat="1" spans="1:3">
      <c r="A5563" s="6"/>
      <c r="B5563" s="6"/>
      <c r="C5563" s="6"/>
    </row>
    <row r="5564" s="1" customFormat="1" spans="1:3">
      <c r="A5564" s="6"/>
      <c r="B5564" s="6"/>
      <c r="C5564" s="6"/>
    </row>
    <row r="5565" s="1" customFormat="1" spans="1:3">
      <c r="A5565" s="6"/>
      <c r="B5565" s="6"/>
      <c r="C5565" s="6"/>
    </row>
    <row r="5566" s="1" customFormat="1" spans="1:3">
      <c r="A5566" s="6"/>
      <c r="B5566" s="6"/>
      <c r="C5566" s="6"/>
    </row>
    <row r="5567" s="1" customFormat="1" spans="1:3">
      <c r="A5567" s="6"/>
      <c r="B5567" s="6"/>
      <c r="C5567" s="6"/>
    </row>
    <row r="5568" s="1" customFormat="1" spans="1:3">
      <c r="A5568" s="6"/>
      <c r="B5568" s="6"/>
      <c r="C5568" s="6"/>
    </row>
    <row r="5569" s="1" customFormat="1" spans="1:3">
      <c r="A5569" s="6"/>
      <c r="B5569" s="6"/>
      <c r="C5569" s="6"/>
    </row>
    <row r="5570" s="1" customFormat="1" spans="1:3">
      <c r="A5570" s="6"/>
      <c r="B5570" s="6"/>
      <c r="C5570" s="6"/>
    </row>
    <row r="5571" s="1" customFormat="1" spans="1:3">
      <c r="A5571" s="6"/>
      <c r="B5571" s="6"/>
      <c r="C5571" s="6"/>
    </row>
    <row r="5572" s="1" customFormat="1" spans="1:3">
      <c r="A5572" s="6"/>
      <c r="B5572" s="6"/>
      <c r="C5572" s="6"/>
    </row>
    <row r="5573" s="1" customFormat="1" spans="1:3">
      <c r="A5573" s="6"/>
      <c r="B5573" s="6"/>
      <c r="C5573" s="6"/>
    </row>
    <row r="5574" s="1" customFormat="1" spans="1:3">
      <c r="A5574" s="6"/>
      <c r="B5574" s="6"/>
      <c r="C5574" s="6"/>
    </row>
    <row r="5575" s="1" customFormat="1" spans="1:3">
      <c r="A5575" s="6"/>
      <c r="B5575" s="6"/>
      <c r="C5575" s="6"/>
    </row>
    <row r="5576" s="1" customFormat="1" spans="1:3">
      <c r="A5576" s="6"/>
      <c r="B5576" s="6"/>
      <c r="C5576" s="6"/>
    </row>
    <row r="5577" s="1" customFormat="1" spans="1:3">
      <c r="A5577" s="6"/>
      <c r="B5577" s="6"/>
      <c r="C5577" s="6"/>
    </row>
    <row r="5578" s="1" customFormat="1" spans="1:3">
      <c r="A5578" s="6"/>
      <c r="B5578" s="6"/>
      <c r="C5578" s="6"/>
    </row>
    <row r="5579" s="1" customFormat="1" spans="1:3">
      <c r="A5579" s="6"/>
      <c r="B5579" s="6"/>
      <c r="C5579" s="6"/>
    </row>
    <row r="5580" s="1" customFormat="1" spans="1:3">
      <c r="A5580" s="6"/>
      <c r="B5580" s="6"/>
      <c r="C5580" s="6"/>
    </row>
    <row r="5581" s="1" customFormat="1" spans="1:3">
      <c r="A5581" s="6"/>
      <c r="B5581" s="6"/>
      <c r="C5581" s="6"/>
    </row>
    <row r="5582" s="1" customFormat="1" spans="1:3">
      <c r="A5582" s="6"/>
      <c r="B5582" s="6"/>
      <c r="C5582" s="6"/>
    </row>
    <row r="5583" s="1" customFormat="1" spans="1:3">
      <c r="A5583" s="6"/>
      <c r="B5583" s="6"/>
      <c r="C5583" s="6"/>
    </row>
    <row r="5584" s="1" customFormat="1" spans="1:3">
      <c r="A5584" s="6"/>
      <c r="B5584" s="6"/>
      <c r="C5584" s="6"/>
    </row>
    <row r="5585" s="1" customFormat="1" spans="1:3">
      <c r="A5585" s="6"/>
      <c r="B5585" s="6"/>
      <c r="C5585" s="6"/>
    </row>
    <row r="5586" s="1" customFormat="1" spans="1:3">
      <c r="A5586" s="6"/>
      <c r="B5586" s="6"/>
      <c r="C5586" s="6"/>
    </row>
    <row r="5587" s="1" customFormat="1" spans="1:3">
      <c r="A5587" s="6"/>
      <c r="B5587" s="6"/>
      <c r="C5587" s="6"/>
    </row>
    <row r="5588" s="1" customFormat="1" spans="1:3">
      <c r="A5588" s="6"/>
      <c r="B5588" s="6"/>
      <c r="C5588" s="6"/>
    </row>
    <row r="5589" s="1" customFormat="1" spans="1:3">
      <c r="A5589" s="6"/>
      <c r="B5589" s="6"/>
      <c r="C5589" s="6"/>
    </row>
    <row r="5590" s="1" customFormat="1" spans="1:3">
      <c r="A5590" s="6"/>
      <c r="B5590" s="6"/>
      <c r="C5590" s="6"/>
    </row>
    <row r="5591" s="1" customFormat="1" spans="1:3">
      <c r="A5591" s="6"/>
      <c r="B5591" s="6"/>
      <c r="C5591" s="6"/>
    </row>
    <row r="5592" s="1" customFormat="1" spans="1:3">
      <c r="A5592" s="6"/>
      <c r="B5592" s="6"/>
      <c r="C5592" s="6"/>
    </row>
    <row r="5593" s="1" customFormat="1" spans="1:3">
      <c r="A5593" s="6"/>
      <c r="B5593" s="6"/>
      <c r="C5593" s="6"/>
    </row>
    <row r="5594" s="1" customFormat="1" spans="1:3">
      <c r="A5594" s="6"/>
      <c r="B5594" s="6"/>
      <c r="C5594" s="6"/>
    </row>
    <row r="5595" s="1" customFormat="1" spans="1:3">
      <c r="A5595" s="6"/>
      <c r="B5595" s="6"/>
      <c r="C5595" s="6"/>
    </row>
    <row r="5596" s="1" customFormat="1" spans="1:3">
      <c r="A5596" s="6"/>
      <c r="B5596" s="6"/>
      <c r="C5596" s="6"/>
    </row>
    <row r="5597" s="1" customFormat="1" spans="1:3">
      <c r="A5597" s="6"/>
      <c r="B5597" s="6"/>
      <c r="C5597" s="6"/>
    </row>
    <row r="5598" s="1" customFormat="1" spans="1:3">
      <c r="A5598" s="6"/>
      <c r="B5598" s="6"/>
      <c r="C5598" s="6"/>
    </row>
    <row r="5599" s="1" customFormat="1" spans="1:3">
      <c r="A5599" s="6"/>
      <c r="B5599" s="6"/>
      <c r="C5599" s="6"/>
    </row>
    <row r="5600" s="1" customFormat="1" spans="1:3">
      <c r="A5600" s="6"/>
      <c r="B5600" s="6"/>
      <c r="C5600" s="6"/>
    </row>
    <row r="5601" s="1" customFormat="1" spans="1:3">
      <c r="A5601" s="6"/>
      <c r="B5601" s="6"/>
      <c r="C5601" s="6"/>
    </row>
    <row r="5602" s="1" customFormat="1" spans="1:3">
      <c r="A5602" s="6"/>
      <c r="B5602" s="6"/>
      <c r="C5602" s="6"/>
    </row>
    <row r="5603" s="1" customFormat="1" spans="1:3">
      <c r="A5603" s="6"/>
      <c r="B5603" s="6"/>
      <c r="C5603" s="6"/>
    </row>
    <row r="5604" s="1" customFormat="1" spans="1:3">
      <c r="A5604" s="6"/>
      <c r="B5604" s="6"/>
      <c r="C5604" s="6"/>
    </row>
    <row r="5605" s="1" customFormat="1" spans="1:3">
      <c r="A5605" s="6"/>
      <c r="B5605" s="6"/>
      <c r="C5605" s="6"/>
    </row>
    <row r="5606" s="1" customFormat="1" spans="1:3">
      <c r="A5606" s="6"/>
      <c r="B5606" s="6"/>
      <c r="C5606" s="6"/>
    </row>
    <row r="5607" s="1" customFormat="1" spans="1:3">
      <c r="A5607" s="6"/>
      <c r="B5607" s="6"/>
      <c r="C5607" s="6"/>
    </row>
    <row r="5608" s="1" customFormat="1" spans="1:3">
      <c r="A5608" s="6"/>
      <c r="B5608" s="6"/>
      <c r="C5608" s="6"/>
    </row>
    <row r="5609" s="1" customFormat="1" spans="1:3">
      <c r="A5609" s="6"/>
      <c r="B5609" s="6"/>
      <c r="C5609" s="6"/>
    </row>
    <row r="5610" s="1" customFormat="1" spans="1:3">
      <c r="A5610" s="6"/>
      <c r="B5610" s="6"/>
      <c r="C5610" s="6"/>
    </row>
    <row r="5611" s="1" customFormat="1" spans="1:3">
      <c r="A5611" s="6"/>
      <c r="B5611" s="6"/>
      <c r="C5611" s="6"/>
    </row>
    <row r="5612" s="1" customFormat="1" spans="1:3">
      <c r="A5612" s="6"/>
      <c r="B5612" s="6"/>
      <c r="C5612" s="6"/>
    </row>
    <row r="5613" s="1" customFormat="1" spans="1:3">
      <c r="A5613" s="6"/>
      <c r="B5613" s="6"/>
      <c r="C5613" s="6"/>
    </row>
    <row r="5614" s="1" customFormat="1" spans="1:3">
      <c r="A5614" s="6"/>
      <c r="B5614" s="6"/>
      <c r="C5614" s="6"/>
    </row>
    <row r="5615" s="1" customFormat="1" spans="1:3">
      <c r="A5615" s="6"/>
      <c r="B5615" s="6"/>
      <c r="C5615" s="6"/>
    </row>
    <row r="5616" s="1" customFormat="1" spans="1:3">
      <c r="A5616" s="6"/>
      <c r="B5616" s="6"/>
      <c r="C5616" s="6"/>
    </row>
    <row r="5617" s="1" customFormat="1" spans="1:3">
      <c r="A5617" s="6"/>
      <c r="B5617" s="6"/>
      <c r="C5617" s="6"/>
    </row>
    <row r="5618" s="1" customFormat="1" spans="1:3">
      <c r="A5618" s="6"/>
      <c r="B5618" s="6"/>
      <c r="C5618" s="6"/>
    </row>
    <row r="5619" s="1" customFormat="1" spans="1:3">
      <c r="A5619" s="6"/>
      <c r="B5619" s="6"/>
      <c r="C5619" s="6"/>
    </row>
    <row r="5620" s="1" customFormat="1" spans="1:3">
      <c r="A5620" s="6"/>
      <c r="B5620" s="6"/>
      <c r="C5620" s="6"/>
    </row>
    <row r="5621" s="1" customFormat="1" spans="1:3">
      <c r="A5621" s="6"/>
      <c r="B5621" s="6"/>
      <c r="C5621" s="6"/>
    </row>
    <row r="5622" s="1" customFormat="1" spans="1:3">
      <c r="A5622" s="6"/>
      <c r="B5622" s="6"/>
      <c r="C5622" s="6"/>
    </row>
    <row r="5623" s="1" customFormat="1" spans="1:3">
      <c r="A5623" s="6"/>
      <c r="B5623" s="6"/>
      <c r="C5623" s="6"/>
    </row>
    <row r="5624" s="1" customFormat="1" spans="1:3">
      <c r="A5624" s="6"/>
      <c r="B5624" s="6"/>
      <c r="C5624" s="6"/>
    </row>
    <row r="5625" s="1" customFormat="1" spans="1:3">
      <c r="A5625" s="6"/>
      <c r="B5625" s="6"/>
      <c r="C5625" s="6"/>
    </row>
    <row r="5626" s="1" customFormat="1" spans="1:3">
      <c r="A5626" s="6"/>
      <c r="B5626" s="6"/>
      <c r="C5626" s="6"/>
    </row>
    <row r="5627" s="1" customFormat="1" spans="1:3">
      <c r="A5627" s="6"/>
      <c r="B5627" s="6"/>
      <c r="C5627" s="6"/>
    </row>
    <row r="5628" s="1" customFormat="1" spans="1:3">
      <c r="A5628" s="6"/>
      <c r="B5628" s="6"/>
      <c r="C5628" s="6"/>
    </row>
    <row r="5629" s="1" customFormat="1" spans="1:3">
      <c r="A5629" s="6"/>
      <c r="B5629" s="6"/>
      <c r="C5629" s="6"/>
    </row>
    <row r="5630" s="1" customFormat="1" spans="1:3">
      <c r="A5630" s="6"/>
      <c r="B5630" s="6"/>
      <c r="C5630" s="6"/>
    </row>
    <row r="5631" s="1" customFormat="1" spans="1:3">
      <c r="A5631" s="6"/>
      <c r="B5631" s="6"/>
      <c r="C5631" s="6"/>
    </row>
    <row r="5632" s="1" customFormat="1" spans="1:3">
      <c r="A5632" s="6"/>
      <c r="B5632" s="6"/>
      <c r="C5632" s="6"/>
    </row>
    <row r="5633" s="1" customFormat="1" spans="1:3">
      <c r="A5633" s="6"/>
      <c r="B5633" s="6"/>
      <c r="C5633" s="6"/>
    </row>
    <row r="5634" s="1" customFormat="1" spans="1:3">
      <c r="A5634" s="6"/>
      <c r="B5634" s="6"/>
      <c r="C5634" s="6"/>
    </row>
    <row r="5635" s="1" customFormat="1" spans="1:3">
      <c r="A5635" s="6"/>
      <c r="B5635" s="6"/>
      <c r="C5635" s="6"/>
    </row>
    <row r="5636" s="1" customFormat="1" spans="1:3">
      <c r="A5636" s="6"/>
      <c r="B5636" s="6"/>
      <c r="C5636" s="6"/>
    </row>
    <row r="5637" s="1" customFormat="1" spans="1:3">
      <c r="A5637" s="6"/>
      <c r="B5637" s="6"/>
      <c r="C5637" s="6"/>
    </row>
    <row r="5638" s="1" customFormat="1" spans="1:3">
      <c r="A5638" s="6"/>
      <c r="B5638" s="6"/>
      <c r="C5638" s="6"/>
    </row>
    <row r="5639" s="1" customFormat="1" spans="1:3">
      <c r="A5639" s="6"/>
      <c r="B5639" s="6"/>
      <c r="C5639" s="6"/>
    </row>
    <row r="5640" s="1" customFormat="1" spans="1:3">
      <c r="A5640" s="6"/>
      <c r="B5640" s="6"/>
      <c r="C5640" s="6"/>
    </row>
    <row r="5641" s="1" customFormat="1" spans="1:3">
      <c r="A5641" s="6"/>
      <c r="B5641" s="6"/>
      <c r="C5641" s="6"/>
    </row>
    <row r="5642" s="1" customFormat="1" spans="1:3">
      <c r="A5642" s="6"/>
      <c r="B5642" s="6"/>
      <c r="C5642" s="6"/>
    </row>
    <row r="5643" s="1" customFormat="1" spans="1:3">
      <c r="A5643" s="6"/>
      <c r="B5643" s="6"/>
      <c r="C5643" s="6"/>
    </row>
    <row r="5644" s="1" customFormat="1" spans="1:3">
      <c r="A5644" s="6"/>
      <c r="B5644" s="6"/>
      <c r="C5644" s="6"/>
    </row>
    <row r="5645" s="1" customFormat="1" spans="1:3">
      <c r="A5645" s="6"/>
      <c r="B5645" s="6"/>
      <c r="C5645" s="6"/>
    </row>
    <row r="5646" s="1" customFormat="1" spans="1:3">
      <c r="A5646" s="6"/>
      <c r="B5646" s="6"/>
      <c r="C5646" s="6"/>
    </row>
    <row r="5647" s="1" customFormat="1" spans="1:3">
      <c r="A5647" s="6"/>
      <c r="B5647" s="6"/>
      <c r="C5647" s="6"/>
    </row>
    <row r="5648" s="1" customFormat="1" spans="1:3">
      <c r="A5648" s="6"/>
      <c r="B5648" s="6"/>
      <c r="C5648" s="6"/>
    </row>
    <row r="5649" s="1" customFormat="1" spans="1:3">
      <c r="A5649" s="6"/>
      <c r="B5649" s="6"/>
      <c r="C5649" s="6"/>
    </row>
    <row r="5650" s="1" customFormat="1" spans="1:3">
      <c r="A5650" s="6"/>
      <c r="B5650" s="6"/>
      <c r="C5650" s="6"/>
    </row>
    <row r="5651" s="1" customFormat="1" spans="1:3">
      <c r="A5651" s="6"/>
      <c r="B5651" s="6"/>
      <c r="C5651" s="6"/>
    </row>
    <row r="5652" s="1" customFormat="1" spans="1:3">
      <c r="A5652" s="6"/>
      <c r="B5652" s="6"/>
      <c r="C5652" s="6"/>
    </row>
    <row r="5653" s="1" customFormat="1" spans="1:3">
      <c r="A5653" s="6"/>
      <c r="B5653" s="6"/>
      <c r="C5653" s="6"/>
    </row>
    <row r="5654" s="1" customFormat="1" spans="1:3">
      <c r="A5654" s="6"/>
      <c r="B5654" s="6"/>
      <c r="C5654" s="6"/>
    </row>
    <row r="5655" s="1" customFormat="1" spans="1:3">
      <c r="A5655" s="6"/>
      <c r="B5655" s="6"/>
      <c r="C5655" s="6"/>
    </row>
    <row r="5656" s="1" customFormat="1" spans="1:3">
      <c r="A5656" s="6"/>
      <c r="B5656" s="6"/>
      <c r="C5656" s="6"/>
    </row>
    <row r="5657" s="1" customFormat="1" spans="1:3">
      <c r="A5657" s="6"/>
      <c r="B5657" s="6"/>
      <c r="C5657" s="6"/>
    </row>
    <row r="5658" s="1" customFormat="1" spans="1:3">
      <c r="A5658" s="6"/>
      <c r="B5658" s="6"/>
      <c r="C5658" s="6"/>
    </row>
    <row r="5659" s="1" customFormat="1" spans="1:3">
      <c r="A5659" s="6"/>
      <c r="B5659" s="6"/>
      <c r="C5659" s="6"/>
    </row>
    <row r="5660" s="1" customFormat="1" spans="1:3">
      <c r="A5660" s="6"/>
      <c r="B5660" s="6"/>
      <c r="C5660" s="6"/>
    </row>
    <row r="5661" s="1" customFormat="1" spans="1:3">
      <c r="A5661" s="6"/>
      <c r="B5661" s="6"/>
      <c r="C5661" s="6"/>
    </row>
    <row r="5662" s="1" customFormat="1" spans="1:3">
      <c r="A5662" s="6"/>
      <c r="B5662" s="6"/>
      <c r="C5662" s="6"/>
    </row>
    <row r="5663" s="1" customFormat="1" spans="1:3">
      <c r="A5663" s="6"/>
      <c r="B5663" s="6"/>
      <c r="C5663" s="6"/>
    </row>
    <row r="5664" s="1" customFormat="1" spans="1:3">
      <c r="A5664" s="6"/>
      <c r="B5664" s="6"/>
      <c r="C5664" s="6"/>
    </row>
    <row r="5665" s="1" customFormat="1" spans="1:3">
      <c r="A5665" s="6"/>
      <c r="B5665" s="6"/>
      <c r="C5665" s="6"/>
    </row>
    <row r="5666" s="1" customFormat="1" spans="1:3">
      <c r="A5666" s="6"/>
      <c r="B5666" s="6"/>
      <c r="C5666" s="6"/>
    </row>
    <row r="5667" s="1" customFormat="1" spans="1:3">
      <c r="A5667" s="6"/>
      <c r="B5667" s="6"/>
      <c r="C5667" s="6"/>
    </row>
    <row r="5668" s="1" customFormat="1" spans="1:3">
      <c r="A5668" s="6"/>
      <c r="B5668" s="6"/>
      <c r="C5668" s="6"/>
    </row>
    <row r="5669" s="1" customFormat="1" spans="1:3">
      <c r="A5669" s="6"/>
      <c r="B5669" s="6"/>
      <c r="C5669" s="6"/>
    </row>
    <row r="5670" s="1" customFormat="1" spans="1:3">
      <c r="A5670" s="6"/>
      <c r="B5670" s="6"/>
      <c r="C5670" s="6"/>
    </row>
    <row r="5671" s="1" customFormat="1" spans="1:3">
      <c r="A5671" s="6"/>
      <c r="B5671" s="6"/>
      <c r="C5671" s="6"/>
    </row>
    <row r="5672" s="1" customFormat="1" spans="1:3">
      <c r="A5672" s="6"/>
      <c r="B5672" s="6"/>
      <c r="C5672" s="6"/>
    </row>
    <row r="5673" s="1" customFormat="1" spans="1:3">
      <c r="A5673" s="6"/>
      <c r="B5673" s="6"/>
      <c r="C5673" s="6"/>
    </row>
    <row r="5674" s="1" customFormat="1" spans="1:3">
      <c r="A5674" s="6"/>
      <c r="B5674" s="6"/>
      <c r="C5674" s="6"/>
    </row>
    <row r="5675" s="1" customFormat="1" spans="1:3">
      <c r="A5675" s="6"/>
      <c r="B5675" s="6"/>
      <c r="C5675" s="6"/>
    </row>
    <row r="5676" s="1" customFormat="1" spans="1:3">
      <c r="A5676" s="6"/>
      <c r="B5676" s="6"/>
      <c r="C5676" s="6"/>
    </row>
    <row r="5677" s="1" customFormat="1" spans="1:3">
      <c r="A5677" s="6"/>
      <c r="B5677" s="6"/>
      <c r="C5677" s="6"/>
    </row>
    <row r="5678" s="1" customFormat="1" spans="1:3">
      <c r="A5678" s="6"/>
      <c r="B5678" s="6"/>
      <c r="C5678" s="6"/>
    </row>
    <row r="5679" s="1" customFormat="1" spans="1:3">
      <c r="A5679" s="6"/>
      <c r="B5679" s="6"/>
      <c r="C5679" s="6"/>
    </row>
    <row r="5680" s="1" customFormat="1" spans="1:3">
      <c r="A5680" s="6"/>
      <c r="B5680" s="6"/>
      <c r="C5680" s="6"/>
    </row>
    <row r="5681" s="1" customFormat="1" spans="1:3">
      <c r="A5681" s="6"/>
      <c r="B5681" s="6"/>
      <c r="C5681" s="6"/>
    </row>
    <row r="5682" s="1" customFormat="1" spans="1:3">
      <c r="A5682" s="6"/>
      <c r="B5682" s="6"/>
      <c r="C5682" s="6"/>
    </row>
    <row r="5683" s="1" customFormat="1" spans="1:3">
      <c r="A5683" s="6"/>
      <c r="B5683" s="6"/>
      <c r="C5683" s="6"/>
    </row>
    <row r="5684" s="1" customFormat="1" spans="1:3">
      <c r="A5684" s="6"/>
      <c r="B5684" s="6"/>
      <c r="C5684" s="6"/>
    </row>
    <row r="5685" s="1" customFormat="1" spans="1:3">
      <c r="A5685" s="6"/>
      <c r="B5685" s="6"/>
      <c r="C5685" s="6"/>
    </row>
    <row r="5686" s="1" customFormat="1" spans="1:3">
      <c r="A5686" s="6"/>
      <c r="B5686" s="6"/>
      <c r="C5686" s="6"/>
    </row>
    <row r="5687" s="1" customFormat="1" spans="1:3">
      <c r="A5687" s="6"/>
      <c r="B5687" s="6"/>
      <c r="C5687" s="6"/>
    </row>
    <row r="5688" s="1" customFormat="1" spans="1:3">
      <c r="A5688" s="6"/>
      <c r="B5688" s="6"/>
      <c r="C5688" s="6"/>
    </row>
    <row r="5689" s="1" customFormat="1" spans="1:3">
      <c r="A5689" s="6"/>
      <c r="B5689" s="6"/>
      <c r="C5689" s="6"/>
    </row>
    <row r="5690" s="1" customFormat="1" spans="1:3">
      <c r="A5690" s="6"/>
      <c r="B5690" s="6"/>
      <c r="C5690" s="6"/>
    </row>
    <row r="5691" s="1" customFormat="1" spans="1:3">
      <c r="A5691" s="6"/>
      <c r="B5691" s="6"/>
      <c r="C5691" s="6"/>
    </row>
    <row r="5692" s="1" customFormat="1" spans="1:3">
      <c r="A5692" s="6"/>
      <c r="B5692" s="6"/>
      <c r="C5692" s="6"/>
    </row>
    <row r="5693" s="1" customFormat="1" spans="1:3">
      <c r="A5693" s="6"/>
      <c r="B5693" s="6"/>
      <c r="C5693" s="6"/>
    </row>
    <row r="5694" s="1" customFormat="1" spans="1:3">
      <c r="A5694" s="6"/>
      <c r="B5694" s="6"/>
      <c r="C5694" s="6"/>
    </row>
    <row r="5695" s="1" customFormat="1" spans="1:3">
      <c r="A5695" s="6"/>
      <c r="B5695" s="6"/>
      <c r="C5695" s="6"/>
    </row>
    <row r="5696" s="1" customFormat="1" spans="1:3">
      <c r="A5696" s="6"/>
      <c r="B5696" s="6"/>
      <c r="C5696" s="6"/>
    </row>
    <row r="5697" s="1" customFormat="1" spans="1:3">
      <c r="A5697" s="6"/>
      <c r="B5697" s="6"/>
      <c r="C5697" s="6"/>
    </row>
    <row r="5698" s="1" customFormat="1" spans="1:3">
      <c r="A5698" s="6"/>
      <c r="B5698" s="6"/>
      <c r="C5698" s="6"/>
    </row>
    <row r="5699" s="1" customFormat="1" spans="1:3">
      <c r="A5699" s="6"/>
      <c r="B5699" s="6"/>
      <c r="C5699" s="6"/>
    </row>
    <row r="5700" s="1" customFormat="1" spans="1:3">
      <c r="A5700" s="6"/>
      <c r="B5700" s="6"/>
      <c r="C5700" s="6"/>
    </row>
    <row r="5701" s="1" customFormat="1" spans="1:3">
      <c r="A5701" s="6"/>
      <c r="B5701" s="6"/>
      <c r="C5701" s="6"/>
    </row>
    <row r="5702" s="1" customFormat="1" spans="1:3">
      <c r="A5702" s="6"/>
      <c r="B5702" s="6"/>
      <c r="C5702" s="6"/>
    </row>
    <row r="5703" s="1" customFormat="1" spans="1:3">
      <c r="A5703" s="6"/>
      <c r="B5703" s="6"/>
      <c r="C5703" s="6"/>
    </row>
    <row r="5704" s="1" customFormat="1" spans="1:3">
      <c r="A5704" s="6"/>
      <c r="B5704" s="6"/>
      <c r="C5704" s="6"/>
    </row>
    <row r="5705" s="1" customFormat="1" spans="1:3">
      <c r="A5705" s="6"/>
      <c r="B5705" s="6"/>
      <c r="C5705" s="6"/>
    </row>
    <row r="5706" s="1" customFormat="1" spans="1:3">
      <c r="A5706" s="6"/>
      <c r="B5706" s="6"/>
      <c r="C5706" s="6"/>
    </row>
    <row r="5707" s="1" customFormat="1" spans="1:3">
      <c r="A5707" s="6"/>
      <c r="B5707" s="6"/>
      <c r="C5707" s="6"/>
    </row>
    <row r="5708" s="1" customFormat="1" spans="1:3">
      <c r="A5708" s="6"/>
      <c r="B5708" s="6"/>
      <c r="C5708" s="6"/>
    </row>
    <row r="5709" s="1" customFormat="1" spans="1:3">
      <c r="A5709" s="6"/>
      <c r="B5709" s="6"/>
      <c r="C5709" s="6"/>
    </row>
    <row r="5710" s="1" customFormat="1" spans="1:3">
      <c r="A5710" s="6"/>
      <c r="B5710" s="6"/>
      <c r="C5710" s="6"/>
    </row>
    <row r="5711" s="1" customFormat="1" spans="1:3">
      <c r="A5711" s="6"/>
      <c r="B5711" s="6"/>
      <c r="C5711" s="6"/>
    </row>
    <row r="5712" s="1" customFormat="1" spans="1:3">
      <c r="A5712" s="6"/>
      <c r="B5712" s="6"/>
      <c r="C5712" s="6"/>
    </row>
    <row r="5713" s="1" customFormat="1" spans="1:3">
      <c r="A5713" s="6"/>
      <c r="B5713" s="6"/>
      <c r="C5713" s="6"/>
    </row>
    <row r="5714" s="1" customFormat="1" spans="1:3">
      <c r="A5714" s="6"/>
      <c r="B5714" s="6"/>
      <c r="C5714" s="6"/>
    </row>
    <row r="5715" s="1" customFormat="1" spans="1:3">
      <c r="A5715" s="6"/>
      <c r="B5715" s="6"/>
      <c r="C5715" s="6"/>
    </row>
    <row r="5716" s="1" customFormat="1" spans="1:3">
      <c r="A5716" s="6"/>
      <c r="B5716" s="6"/>
      <c r="C5716" s="6"/>
    </row>
    <row r="5717" s="1" customFormat="1" spans="1:3">
      <c r="A5717" s="6"/>
      <c r="B5717" s="6"/>
      <c r="C5717" s="6"/>
    </row>
    <row r="5718" s="1" customFormat="1" spans="1:3">
      <c r="A5718" s="6"/>
      <c r="B5718" s="6"/>
      <c r="C5718" s="6"/>
    </row>
    <row r="5719" s="1" customFormat="1" spans="1:3">
      <c r="A5719" s="6"/>
      <c r="B5719" s="6"/>
      <c r="C5719" s="6"/>
    </row>
    <row r="5720" s="1" customFormat="1" spans="1:3">
      <c r="A5720" s="6"/>
      <c r="B5720" s="6"/>
      <c r="C5720" s="6"/>
    </row>
    <row r="5721" s="1" customFormat="1" spans="1:3">
      <c r="A5721" s="6"/>
      <c r="B5721" s="6"/>
      <c r="C5721" s="6"/>
    </row>
    <row r="5722" s="1" customFormat="1" spans="1:3">
      <c r="A5722" s="6"/>
      <c r="B5722" s="6"/>
      <c r="C5722" s="6"/>
    </row>
    <row r="5723" s="1" customFormat="1" spans="1:3">
      <c r="A5723" s="6"/>
      <c r="B5723" s="6"/>
      <c r="C5723" s="6"/>
    </row>
    <row r="5724" s="1" customFormat="1" spans="1:3">
      <c r="A5724" s="6"/>
      <c r="B5724" s="6"/>
      <c r="C5724" s="6"/>
    </row>
    <row r="5725" s="1" customFormat="1" spans="1:3">
      <c r="A5725" s="6"/>
      <c r="B5725" s="6"/>
      <c r="C5725" s="6"/>
    </row>
    <row r="5726" s="1" customFormat="1" spans="1:3">
      <c r="A5726" s="6"/>
      <c r="B5726" s="6"/>
      <c r="C5726" s="6"/>
    </row>
    <row r="5727" s="1" customFormat="1" spans="1:3">
      <c r="A5727" s="6"/>
      <c r="B5727" s="6"/>
      <c r="C5727" s="6"/>
    </row>
    <row r="5728" s="1" customFormat="1" spans="1:3">
      <c r="A5728" s="6"/>
      <c r="B5728" s="6"/>
      <c r="C5728" s="6"/>
    </row>
    <row r="5729" s="1" customFormat="1" spans="1:3">
      <c r="A5729" s="6"/>
      <c r="B5729" s="6"/>
      <c r="C5729" s="6"/>
    </row>
    <row r="5730" s="1" customFormat="1" spans="1:3">
      <c r="A5730" s="6"/>
      <c r="B5730" s="6"/>
      <c r="C5730" s="6"/>
    </row>
    <row r="5731" s="1" customFormat="1" spans="1:3">
      <c r="A5731" s="6"/>
      <c r="B5731" s="6"/>
      <c r="C5731" s="6"/>
    </row>
    <row r="5732" s="1" customFormat="1" spans="1:3">
      <c r="A5732" s="6"/>
      <c r="B5732" s="6"/>
      <c r="C5732" s="6"/>
    </row>
    <row r="5733" s="1" customFormat="1" spans="1:3">
      <c r="A5733" s="6"/>
      <c r="B5733" s="6"/>
      <c r="C5733" s="6"/>
    </row>
    <row r="5734" s="1" customFormat="1" spans="1:3">
      <c r="A5734" s="6"/>
      <c r="B5734" s="6"/>
      <c r="C5734" s="6"/>
    </row>
    <row r="5735" s="1" customFormat="1" spans="1:3">
      <c r="A5735" s="6"/>
      <c r="B5735" s="6"/>
      <c r="C5735" s="6"/>
    </row>
    <row r="5736" s="1" customFormat="1" spans="1:3">
      <c r="A5736" s="6"/>
      <c r="B5736" s="6"/>
      <c r="C5736" s="6"/>
    </row>
    <row r="5737" s="1" customFormat="1" spans="1:3">
      <c r="A5737" s="6"/>
      <c r="B5737" s="6"/>
      <c r="C5737" s="6"/>
    </row>
    <row r="5738" s="1" customFormat="1" spans="1:3">
      <c r="A5738" s="6"/>
      <c r="B5738" s="6"/>
      <c r="C5738" s="6"/>
    </row>
    <row r="5739" s="1" customFormat="1" spans="1:3">
      <c r="A5739" s="6"/>
      <c r="B5739" s="6"/>
      <c r="C5739" s="6"/>
    </row>
    <row r="5740" s="1" customFormat="1" spans="1:3">
      <c r="A5740" s="6"/>
      <c r="B5740" s="6"/>
      <c r="C5740" s="6"/>
    </row>
    <row r="5741" s="1" customFormat="1" spans="1:3">
      <c r="A5741" s="6"/>
      <c r="B5741" s="6"/>
      <c r="C5741" s="6"/>
    </row>
    <row r="5742" s="1" customFormat="1" spans="1:3">
      <c r="A5742" s="6"/>
      <c r="B5742" s="6"/>
      <c r="C5742" s="6"/>
    </row>
    <row r="5743" s="1" customFormat="1" spans="1:3">
      <c r="A5743" s="6"/>
      <c r="B5743" s="6"/>
      <c r="C5743" s="6"/>
    </row>
    <row r="5744" s="1" customFormat="1" spans="1:3">
      <c r="A5744" s="6"/>
      <c r="B5744" s="6"/>
      <c r="C5744" s="6"/>
    </row>
    <row r="5745" s="1" customFormat="1" spans="1:3">
      <c r="A5745" s="6"/>
      <c r="B5745" s="6"/>
      <c r="C5745" s="6"/>
    </row>
    <row r="5746" s="1" customFormat="1" spans="1:3">
      <c r="A5746" s="6"/>
      <c r="B5746" s="6"/>
      <c r="C5746" s="6"/>
    </row>
    <row r="5747" s="1" customFormat="1" spans="1:3">
      <c r="A5747" s="6"/>
      <c r="B5747" s="6"/>
      <c r="C5747" s="6"/>
    </row>
    <row r="5748" s="1" customFormat="1" spans="1:3">
      <c r="A5748" s="6"/>
      <c r="B5748" s="6"/>
      <c r="C5748" s="6"/>
    </row>
    <row r="5749" s="1" customFormat="1" spans="1:3">
      <c r="A5749" s="6"/>
      <c r="B5749" s="6"/>
      <c r="C5749" s="6"/>
    </row>
    <row r="5750" s="1" customFormat="1" spans="1:3">
      <c r="A5750" s="6"/>
      <c r="B5750" s="6"/>
      <c r="C5750" s="6"/>
    </row>
    <row r="5751" s="1" customFormat="1" spans="1:3">
      <c r="A5751" s="6"/>
      <c r="B5751" s="6"/>
      <c r="C5751" s="6"/>
    </row>
    <row r="5752" s="1" customFormat="1" spans="1:3">
      <c r="A5752" s="6"/>
      <c r="B5752" s="6"/>
      <c r="C5752" s="6"/>
    </row>
    <row r="5753" s="1" customFormat="1" spans="1:3">
      <c r="A5753" s="6"/>
      <c r="B5753" s="6"/>
      <c r="C5753" s="6"/>
    </row>
    <row r="5754" s="1" customFormat="1" spans="1:3">
      <c r="A5754" s="6"/>
      <c r="B5754" s="6"/>
      <c r="C5754" s="6"/>
    </row>
    <row r="5755" s="1" customFormat="1" spans="1:3">
      <c r="A5755" s="6"/>
      <c r="B5755" s="6"/>
      <c r="C5755" s="6"/>
    </row>
    <row r="5756" s="1" customFormat="1" spans="1:3">
      <c r="A5756" s="6"/>
      <c r="B5756" s="6"/>
      <c r="C5756" s="6"/>
    </row>
    <row r="5757" s="1" customFormat="1" spans="1:3">
      <c r="A5757" s="6"/>
      <c r="B5757" s="6"/>
      <c r="C5757" s="6"/>
    </row>
    <row r="5758" s="1" customFormat="1" spans="1:3">
      <c r="A5758" s="6"/>
      <c r="B5758" s="6"/>
      <c r="C5758" s="6"/>
    </row>
    <row r="5759" s="1" customFormat="1" spans="1:3">
      <c r="A5759" s="6"/>
      <c r="B5759" s="6"/>
      <c r="C5759" s="6"/>
    </row>
    <row r="5760" s="1" customFormat="1" spans="1:3">
      <c r="A5760" s="6"/>
      <c r="B5760" s="6"/>
      <c r="C5760" s="6"/>
    </row>
    <row r="5761" s="1" customFormat="1" spans="1:3">
      <c r="A5761" s="6"/>
      <c r="B5761" s="6"/>
      <c r="C5761" s="6"/>
    </row>
    <row r="5762" s="1" customFormat="1" spans="1:3">
      <c r="A5762" s="6"/>
      <c r="B5762" s="6"/>
      <c r="C5762" s="6"/>
    </row>
    <row r="5763" s="1" customFormat="1" spans="1:3">
      <c r="A5763" s="6"/>
      <c r="B5763" s="6"/>
      <c r="C5763" s="6"/>
    </row>
    <row r="5764" s="1" customFormat="1" spans="1:3">
      <c r="A5764" s="6"/>
      <c r="B5764" s="6"/>
      <c r="C5764" s="6"/>
    </row>
    <row r="5765" s="1" customFormat="1" spans="1:3">
      <c r="A5765" s="6"/>
      <c r="B5765" s="6"/>
      <c r="C5765" s="6"/>
    </row>
    <row r="5766" s="1" customFormat="1" spans="1:3">
      <c r="A5766" s="6"/>
      <c r="B5766" s="6"/>
      <c r="C5766" s="6"/>
    </row>
    <row r="5767" s="1" customFormat="1" spans="1:3">
      <c r="A5767" s="6"/>
      <c r="B5767" s="6"/>
      <c r="C5767" s="6"/>
    </row>
    <row r="5768" s="1" customFormat="1" spans="1:3">
      <c r="A5768" s="6"/>
      <c r="B5768" s="6"/>
      <c r="C5768" s="6"/>
    </row>
    <row r="5769" s="1" customFormat="1" spans="1:3">
      <c r="A5769" s="6"/>
      <c r="B5769" s="6"/>
      <c r="C5769" s="6"/>
    </row>
    <row r="5770" s="1" customFormat="1" spans="1:3">
      <c r="A5770" s="6"/>
      <c r="B5770" s="6"/>
      <c r="C5770" s="6"/>
    </row>
    <row r="5771" s="1" customFormat="1" spans="1:3">
      <c r="A5771" s="6"/>
      <c r="B5771" s="6"/>
      <c r="C5771" s="6"/>
    </row>
    <row r="5772" s="1" customFormat="1" spans="1:3">
      <c r="A5772" s="6"/>
      <c r="B5772" s="6"/>
      <c r="C5772" s="6"/>
    </row>
    <row r="5773" s="1" customFormat="1" spans="1:3">
      <c r="A5773" s="6"/>
      <c r="B5773" s="6"/>
      <c r="C5773" s="6"/>
    </row>
    <row r="5774" s="1" customFormat="1" spans="1:3">
      <c r="A5774" s="6"/>
      <c r="B5774" s="6"/>
      <c r="C5774" s="6"/>
    </row>
    <row r="5775" s="1" customFormat="1" spans="1:3">
      <c r="A5775" s="6"/>
      <c r="B5775" s="6"/>
      <c r="C5775" s="6"/>
    </row>
    <row r="5776" s="1" customFormat="1" spans="1:3">
      <c r="A5776" s="6"/>
      <c r="B5776" s="6"/>
      <c r="C5776" s="6"/>
    </row>
    <row r="5777" s="1" customFormat="1" spans="1:3">
      <c r="A5777" s="6"/>
      <c r="B5777" s="6"/>
      <c r="C5777" s="6"/>
    </row>
    <row r="5778" s="1" customFormat="1" spans="1:3">
      <c r="A5778" s="6"/>
      <c r="B5778" s="6"/>
      <c r="C5778" s="6"/>
    </row>
    <row r="5779" s="1" customFormat="1" spans="1:3">
      <c r="A5779" s="6"/>
      <c r="B5779" s="6"/>
      <c r="C5779" s="6"/>
    </row>
    <row r="5780" s="1" customFormat="1" spans="1:3">
      <c r="A5780" s="6"/>
      <c r="B5780" s="6"/>
      <c r="C5780" s="6"/>
    </row>
    <row r="5781" s="1" customFormat="1" spans="1:3">
      <c r="A5781" s="6"/>
      <c r="B5781" s="6"/>
      <c r="C5781" s="6"/>
    </row>
    <row r="5782" s="1" customFormat="1" spans="1:3">
      <c r="A5782" s="6"/>
      <c r="B5782" s="6"/>
      <c r="C5782" s="6"/>
    </row>
    <row r="5783" s="1" customFormat="1" spans="1:3">
      <c r="A5783" s="6"/>
      <c r="B5783" s="6"/>
      <c r="C5783" s="6"/>
    </row>
    <row r="5784" s="1" customFormat="1" spans="1:3">
      <c r="A5784" s="6"/>
      <c r="B5784" s="6"/>
      <c r="C5784" s="6"/>
    </row>
    <row r="5785" s="1" customFormat="1" spans="1:3">
      <c r="A5785" s="6"/>
      <c r="B5785" s="6"/>
      <c r="C5785" s="6"/>
    </row>
    <row r="5786" s="1" customFormat="1" spans="1:3">
      <c r="A5786" s="6"/>
      <c r="B5786" s="6"/>
      <c r="C5786" s="6"/>
    </row>
    <row r="5787" s="1" customFormat="1" spans="1:3">
      <c r="A5787" s="6"/>
      <c r="B5787" s="6"/>
      <c r="C5787" s="6"/>
    </row>
    <row r="5788" s="1" customFormat="1" spans="1:3">
      <c r="A5788" s="6"/>
      <c r="B5788" s="6"/>
      <c r="C5788" s="6"/>
    </row>
    <row r="5789" s="1" customFormat="1" spans="1:3">
      <c r="A5789" s="6"/>
      <c r="B5789" s="6"/>
      <c r="C5789" s="6"/>
    </row>
    <row r="5790" s="1" customFormat="1" spans="1:3">
      <c r="A5790" s="6"/>
      <c r="B5790" s="6"/>
      <c r="C5790" s="6"/>
    </row>
    <row r="5791" s="1" customFormat="1" spans="1:3">
      <c r="A5791" s="6"/>
      <c r="B5791" s="6"/>
      <c r="C5791" s="6"/>
    </row>
    <row r="5792" s="1" customFormat="1" spans="1:3">
      <c r="A5792" s="6"/>
      <c r="B5792" s="6"/>
      <c r="C5792" s="6"/>
    </row>
    <row r="5793" s="1" customFormat="1" spans="1:3">
      <c r="A5793" s="6"/>
      <c r="B5793" s="6"/>
      <c r="C5793" s="6"/>
    </row>
    <row r="5794" s="1" customFormat="1" spans="1:3">
      <c r="A5794" s="6"/>
      <c r="B5794" s="6"/>
      <c r="C5794" s="6"/>
    </row>
    <row r="5795" s="1" customFormat="1" spans="1:3">
      <c r="A5795" s="6"/>
      <c r="B5795" s="6"/>
      <c r="C5795" s="6"/>
    </row>
    <row r="5796" s="1" customFormat="1" spans="1:3">
      <c r="A5796" s="6"/>
      <c r="B5796" s="6"/>
      <c r="C5796" s="6"/>
    </row>
    <row r="5797" s="1" customFormat="1" spans="1:3">
      <c r="A5797" s="6"/>
      <c r="B5797" s="6"/>
      <c r="C5797" s="6"/>
    </row>
    <row r="5798" s="1" customFormat="1" spans="1:3">
      <c r="A5798" s="6"/>
      <c r="B5798" s="6"/>
      <c r="C5798" s="6"/>
    </row>
    <row r="5799" s="1" customFormat="1" spans="1:3">
      <c r="A5799" s="6"/>
      <c r="B5799" s="6"/>
      <c r="C5799" s="6"/>
    </row>
    <row r="5800" s="1" customFormat="1" spans="1:3">
      <c r="A5800" s="6"/>
      <c r="B5800" s="6"/>
      <c r="C5800" s="6"/>
    </row>
    <row r="5801" s="1" customFormat="1" spans="1:3">
      <c r="A5801" s="6"/>
      <c r="B5801" s="6"/>
      <c r="C5801" s="6"/>
    </row>
    <row r="5802" s="1" customFormat="1" spans="1:3">
      <c r="A5802" s="6"/>
      <c r="B5802" s="6"/>
      <c r="C5802" s="6"/>
    </row>
    <row r="5803" s="1" customFormat="1" spans="1:3">
      <c r="A5803" s="6"/>
      <c r="B5803" s="6"/>
      <c r="C5803" s="6"/>
    </row>
    <row r="5804" s="1" customFormat="1" spans="1:3">
      <c r="A5804" s="6"/>
      <c r="B5804" s="6"/>
      <c r="C5804" s="6"/>
    </row>
    <row r="5805" s="1" customFormat="1" spans="1:3">
      <c r="A5805" s="6"/>
      <c r="B5805" s="6"/>
      <c r="C5805" s="6"/>
    </row>
    <row r="5806" s="1" customFormat="1" spans="1:3">
      <c r="A5806" s="6"/>
      <c r="B5806" s="6"/>
      <c r="C5806" s="6"/>
    </row>
    <row r="5807" s="1" customFormat="1" spans="1:3">
      <c r="A5807" s="6"/>
      <c r="B5807" s="6"/>
      <c r="C5807" s="6"/>
    </row>
    <row r="5808" s="1" customFormat="1" spans="1:3">
      <c r="A5808" s="6"/>
      <c r="B5808" s="6"/>
      <c r="C5808" s="6"/>
    </row>
    <row r="5809" s="1" customFormat="1" spans="1:3">
      <c r="A5809" s="6"/>
      <c r="B5809" s="6"/>
      <c r="C5809" s="6"/>
    </row>
    <row r="5810" s="1" customFormat="1" spans="1:3">
      <c r="A5810" s="6"/>
      <c r="B5810" s="6"/>
      <c r="C5810" s="6"/>
    </row>
    <row r="5811" s="1" customFormat="1" spans="1:3">
      <c r="A5811" s="6"/>
      <c r="B5811" s="6"/>
      <c r="C5811" s="6"/>
    </row>
    <row r="5812" s="1" customFormat="1" spans="1:3">
      <c r="A5812" s="6"/>
      <c r="B5812" s="6"/>
      <c r="C5812" s="6"/>
    </row>
    <row r="5813" s="1" customFormat="1" spans="1:3">
      <c r="A5813" s="6"/>
      <c r="B5813" s="6"/>
      <c r="C5813" s="6"/>
    </row>
    <row r="5814" s="1" customFormat="1" spans="1:3">
      <c r="A5814" s="6"/>
      <c r="B5814" s="6"/>
      <c r="C5814" s="6"/>
    </row>
    <row r="5815" s="1" customFormat="1" spans="1:3">
      <c r="A5815" s="6"/>
      <c r="B5815" s="6"/>
      <c r="C5815" s="6"/>
    </row>
    <row r="5816" s="1" customFormat="1" spans="1:3">
      <c r="A5816" s="6"/>
      <c r="B5816" s="6"/>
      <c r="C5816" s="6"/>
    </row>
    <row r="5817" s="1" customFormat="1" spans="1:3">
      <c r="A5817" s="6"/>
      <c r="B5817" s="6"/>
      <c r="C5817" s="6"/>
    </row>
    <row r="5818" s="1" customFormat="1" spans="1:3">
      <c r="A5818" s="6"/>
      <c r="B5818" s="6"/>
      <c r="C5818" s="6"/>
    </row>
    <row r="5819" s="1" customFormat="1" spans="1:3">
      <c r="A5819" s="6"/>
      <c r="B5819" s="6"/>
      <c r="C5819" s="6"/>
    </row>
    <row r="5820" s="1" customFormat="1" spans="1:3">
      <c r="A5820" s="6"/>
      <c r="B5820" s="6"/>
      <c r="C5820" s="6"/>
    </row>
    <row r="5821" s="1" customFormat="1" spans="1:3">
      <c r="A5821" s="6"/>
      <c r="B5821" s="6"/>
      <c r="C5821" s="6"/>
    </row>
    <row r="5822" s="1" customFormat="1" spans="1:3">
      <c r="A5822" s="6"/>
      <c r="B5822" s="6"/>
      <c r="C5822" s="6"/>
    </row>
    <row r="5823" s="1" customFormat="1" spans="1:3">
      <c r="A5823" s="6"/>
      <c r="B5823" s="6"/>
      <c r="C5823" s="6"/>
    </row>
    <row r="5824" s="1" customFormat="1" spans="1:3">
      <c r="A5824" s="6"/>
      <c r="B5824" s="6"/>
      <c r="C5824" s="6"/>
    </row>
    <row r="5825" s="1" customFormat="1" spans="1:3">
      <c r="A5825" s="6"/>
      <c r="B5825" s="6"/>
      <c r="C5825" s="6"/>
    </row>
    <row r="5826" s="1" customFormat="1" spans="1:3">
      <c r="A5826" s="6"/>
      <c r="B5826" s="6"/>
      <c r="C5826" s="6"/>
    </row>
    <row r="5827" s="1" customFormat="1" spans="1:3">
      <c r="A5827" s="6"/>
      <c r="B5827" s="6"/>
      <c r="C5827" s="6"/>
    </row>
    <row r="5828" s="1" customFormat="1" spans="1:3">
      <c r="A5828" s="6"/>
      <c r="B5828" s="6"/>
      <c r="C5828" s="6"/>
    </row>
    <row r="5829" s="1" customFormat="1" spans="1:3">
      <c r="A5829" s="6"/>
      <c r="B5829" s="6"/>
      <c r="C5829" s="6"/>
    </row>
    <row r="5830" s="1" customFormat="1" spans="1:3">
      <c r="A5830" s="6"/>
      <c r="B5830" s="6"/>
      <c r="C5830" s="6"/>
    </row>
    <row r="5831" s="1" customFormat="1" spans="1:3">
      <c r="A5831" s="6"/>
      <c r="B5831" s="6"/>
      <c r="C5831" s="6"/>
    </row>
    <row r="5832" s="1" customFormat="1" spans="1:3">
      <c r="A5832" s="6"/>
      <c r="B5832" s="6"/>
      <c r="C5832" s="6"/>
    </row>
    <row r="5833" s="1" customFormat="1" spans="1:3">
      <c r="A5833" s="6"/>
      <c r="B5833" s="6"/>
      <c r="C5833" s="6"/>
    </row>
    <row r="5834" s="1" customFormat="1" spans="1:3">
      <c r="A5834" s="6"/>
      <c r="B5834" s="6"/>
      <c r="C5834" s="6"/>
    </row>
    <row r="5835" s="1" customFormat="1" spans="1:3">
      <c r="A5835" s="6"/>
      <c r="B5835" s="6"/>
      <c r="C5835" s="6"/>
    </row>
    <row r="5836" s="1" customFormat="1" spans="1:3">
      <c r="A5836" s="6"/>
      <c r="B5836" s="6"/>
      <c r="C5836" s="6"/>
    </row>
    <row r="5837" s="1" customFormat="1" spans="1:3">
      <c r="A5837" s="6"/>
      <c r="B5837" s="6"/>
      <c r="C5837" s="6"/>
    </row>
    <row r="5838" s="1" customFormat="1" spans="1:3">
      <c r="A5838" s="6"/>
      <c r="B5838" s="6"/>
      <c r="C5838" s="6"/>
    </row>
    <row r="5839" s="1" customFormat="1" spans="1:3">
      <c r="A5839" s="6"/>
      <c r="B5839" s="6"/>
      <c r="C5839" s="6"/>
    </row>
    <row r="5840" s="1" customFormat="1" spans="1:3">
      <c r="A5840" s="6"/>
      <c r="B5840" s="6"/>
      <c r="C5840" s="6"/>
    </row>
    <row r="5841" s="1" customFormat="1" spans="1:3">
      <c r="A5841" s="6"/>
      <c r="B5841" s="6"/>
      <c r="C5841" s="6"/>
    </row>
    <row r="5842" s="1" customFormat="1" spans="1:3">
      <c r="A5842" s="6"/>
      <c r="B5842" s="6"/>
      <c r="C5842" s="6"/>
    </row>
    <row r="5843" s="1" customFormat="1" spans="1:3">
      <c r="A5843" s="6"/>
      <c r="B5843" s="6"/>
      <c r="C5843" s="6"/>
    </row>
    <row r="5844" s="1" customFormat="1" spans="1:3">
      <c r="A5844" s="6"/>
      <c r="B5844" s="6"/>
      <c r="C5844" s="6"/>
    </row>
    <row r="5845" s="1" customFormat="1" spans="1:3">
      <c r="A5845" s="6"/>
      <c r="B5845" s="6"/>
      <c r="C5845" s="6"/>
    </row>
    <row r="5846" s="1" customFormat="1" spans="1:3">
      <c r="A5846" s="6"/>
      <c r="B5846" s="6"/>
      <c r="C5846" s="6"/>
    </row>
    <row r="5847" s="1" customFormat="1" spans="1:3">
      <c r="A5847" s="6"/>
      <c r="B5847" s="6"/>
      <c r="C5847" s="6"/>
    </row>
    <row r="5848" s="1" customFormat="1" spans="1:3">
      <c r="A5848" s="6"/>
      <c r="B5848" s="6"/>
      <c r="C5848" s="6"/>
    </row>
    <row r="5849" s="1" customFormat="1" spans="1:3">
      <c r="A5849" s="6"/>
      <c r="B5849" s="6"/>
      <c r="C5849" s="6"/>
    </row>
    <row r="5850" s="1" customFormat="1" spans="1:3">
      <c r="A5850" s="6"/>
      <c r="B5850" s="6"/>
      <c r="C5850" s="6"/>
    </row>
    <row r="5851" s="1" customFormat="1" spans="1:3">
      <c r="A5851" s="6"/>
      <c r="B5851" s="6"/>
      <c r="C5851" s="6"/>
    </row>
    <row r="5852" s="1" customFormat="1" spans="1:3">
      <c r="A5852" s="6"/>
      <c r="B5852" s="6"/>
      <c r="C5852" s="6"/>
    </row>
    <row r="5853" s="1" customFormat="1" spans="1:3">
      <c r="A5853" s="6"/>
      <c r="B5853" s="6"/>
      <c r="C5853" s="6"/>
    </row>
    <row r="5854" s="1" customFormat="1" spans="1:3">
      <c r="A5854" s="6"/>
      <c r="B5854" s="6"/>
      <c r="C5854" s="6"/>
    </row>
    <row r="5855" s="1" customFormat="1" spans="1:3">
      <c r="A5855" s="6"/>
      <c r="B5855" s="6"/>
      <c r="C5855" s="6"/>
    </row>
    <row r="5856" s="1" customFormat="1" spans="1:3">
      <c r="A5856" s="6"/>
      <c r="B5856" s="6"/>
      <c r="C5856" s="6"/>
    </row>
    <row r="5857" s="1" customFormat="1" spans="1:3">
      <c r="A5857" s="6"/>
      <c r="B5857" s="6"/>
      <c r="C5857" s="6"/>
    </row>
    <row r="5858" s="1" customFormat="1" spans="1:3">
      <c r="A5858" s="6"/>
      <c r="B5858" s="6"/>
      <c r="C5858" s="6"/>
    </row>
    <row r="5859" s="1" customFormat="1" spans="1:3">
      <c r="A5859" s="6"/>
      <c r="B5859" s="6"/>
      <c r="C5859" s="6"/>
    </row>
    <row r="5860" s="1" customFormat="1" spans="1:3">
      <c r="A5860" s="6"/>
      <c r="B5860" s="6"/>
      <c r="C5860" s="6"/>
    </row>
    <row r="5861" s="1" customFormat="1" spans="1:3">
      <c r="A5861" s="6"/>
      <c r="B5861" s="6"/>
      <c r="C5861" s="6"/>
    </row>
    <row r="5862" s="1" customFormat="1" spans="1:3">
      <c r="A5862" s="6"/>
      <c r="B5862" s="6"/>
      <c r="C5862" s="6"/>
    </row>
    <row r="5863" s="1" customFormat="1" spans="1:3">
      <c r="A5863" s="6"/>
      <c r="B5863" s="6"/>
      <c r="C5863" s="6"/>
    </row>
    <row r="5864" s="1" customFormat="1" spans="1:3">
      <c r="A5864" s="6"/>
      <c r="B5864" s="6"/>
      <c r="C5864" s="6"/>
    </row>
    <row r="5865" s="1" customFormat="1" spans="1:3">
      <c r="A5865" s="6"/>
      <c r="B5865" s="6"/>
      <c r="C5865" s="6"/>
    </row>
    <row r="5866" s="1" customFormat="1" spans="1:3">
      <c r="A5866" s="6"/>
      <c r="B5866" s="6"/>
      <c r="C5866" s="6"/>
    </row>
    <row r="5867" s="1" customFormat="1" spans="1:3">
      <c r="A5867" s="6"/>
      <c r="B5867" s="6"/>
      <c r="C5867" s="6"/>
    </row>
    <row r="5868" s="1" customFormat="1" spans="1:3">
      <c r="A5868" s="6"/>
      <c r="B5868" s="6"/>
      <c r="C5868" s="6"/>
    </row>
    <row r="5869" s="1" customFormat="1" spans="1:3">
      <c r="A5869" s="6"/>
      <c r="B5869" s="6"/>
      <c r="C5869" s="6"/>
    </row>
    <row r="5870" s="1" customFormat="1" spans="1:3">
      <c r="A5870" s="6"/>
      <c r="B5870" s="6"/>
      <c r="C5870" s="6"/>
    </row>
    <row r="5871" s="1" customFormat="1" spans="1:3">
      <c r="A5871" s="6"/>
      <c r="B5871" s="6"/>
      <c r="C5871" s="6"/>
    </row>
    <row r="5872" s="1" customFormat="1" spans="1:3">
      <c r="A5872" s="6"/>
      <c r="B5872" s="6"/>
      <c r="C5872" s="6"/>
    </row>
    <row r="5873" s="1" customFormat="1" spans="1:3">
      <c r="A5873" s="6"/>
      <c r="B5873" s="6"/>
      <c r="C5873" s="6"/>
    </row>
    <row r="5874" s="1" customFormat="1" spans="1:3">
      <c r="A5874" s="6"/>
      <c r="B5874" s="6"/>
      <c r="C5874" s="6"/>
    </row>
    <row r="5875" s="1" customFormat="1" spans="1:3">
      <c r="A5875" s="6"/>
      <c r="B5875" s="6"/>
      <c r="C5875" s="6"/>
    </row>
    <row r="5876" s="1" customFormat="1" spans="1:3">
      <c r="A5876" s="6"/>
      <c r="B5876" s="6"/>
      <c r="C5876" s="6"/>
    </row>
    <row r="5877" s="1" customFormat="1" spans="1:3">
      <c r="A5877" s="6"/>
      <c r="B5877" s="6"/>
      <c r="C5877" s="6"/>
    </row>
    <row r="5878" s="1" customFormat="1" spans="1:3">
      <c r="A5878" s="6"/>
      <c r="B5878" s="6"/>
      <c r="C5878" s="6"/>
    </row>
    <row r="5879" s="1" customFormat="1" spans="1:3">
      <c r="A5879" s="6"/>
      <c r="B5879" s="6"/>
      <c r="C5879" s="6"/>
    </row>
    <row r="5880" s="1" customFormat="1" spans="1:3">
      <c r="A5880" s="6"/>
      <c r="B5880" s="6"/>
      <c r="C5880" s="6"/>
    </row>
    <row r="5881" s="1" customFormat="1" spans="1:3">
      <c r="A5881" s="6"/>
      <c r="B5881" s="6"/>
      <c r="C5881" s="6"/>
    </row>
    <row r="5882" s="1" customFormat="1" spans="1:3">
      <c r="A5882" s="6"/>
      <c r="B5882" s="6"/>
      <c r="C5882" s="6"/>
    </row>
    <row r="5883" s="1" customFormat="1" spans="1:3">
      <c r="A5883" s="6"/>
      <c r="B5883" s="6"/>
      <c r="C5883" s="6"/>
    </row>
    <row r="5884" s="1" customFormat="1" spans="1:3">
      <c r="A5884" s="6"/>
      <c r="B5884" s="6"/>
      <c r="C5884" s="6"/>
    </row>
    <row r="5885" s="1" customFormat="1" spans="1:3">
      <c r="A5885" s="6"/>
      <c r="B5885" s="6"/>
      <c r="C5885" s="6"/>
    </row>
    <row r="5886" s="1" customFormat="1" spans="1:3">
      <c r="A5886" s="6"/>
      <c r="B5886" s="6"/>
      <c r="C5886" s="6"/>
    </row>
    <row r="5887" s="1" customFormat="1" spans="1:3">
      <c r="A5887" s="6"/>
      <c r="B5887" s="6"/>
      <c r="C5887" s="6"/>
    </row>
    <row r="5888" s="1" customFormat="1" spans="1:3">
      <c r="A5888" s="6"/>
      <c r="B5888" s="6"/>
      <c r="C5888" s="6"/>
    </row>
    <row r="5889" s="1" customFormat="1" spans="1:3">
      <c r="A5889" s="6"/>
      <c r="B5889" s="6"/>
      <c r="C5889" s="6"/>
    </row>
    <row r="5890" s="1" customFormat="1" spans="1:3">
      <c r="A5890" s="6"/>
      <c r="B5890" s="6"/>
      <c r="C5890" s="6"/>
    </row>
    <row r="5891" s="1" customFormat="1" spans="1:3">
      <c r="A5891" s="6"/>
      <c r="B5891" s="6"/>
      <c r="C5891" s="6"/>
    </row>
    <row r="5892" s="1" customFormat="1" spans="1:3">
      <c r="A5892" s="6"/>
      <c r="B5892" s="6"/>
      <c r="C5892" s="6"/>
    </row>
    <row r="5893" s="1" customFormat="1" spans="1:3">
      <c r="A5893" s="6"/>
      <c r="B5893" s="6"/>
      <c r="C5893" s="6"/>
    </row>
    <row r="5894" s="1" customFormat="1" spans="1:3">
      <c r="A5894" s="6"/>
      <c r="B5894" s="6"/>
      <c r="C5894" s="6"/>
    </row>
    <row r="5895" s="1" customFormat="1" spans="1:3">
      <c r="A5895" s="6"/>
      <c r="B5895" s="6"/>
      <c r="C5895" s="6"/>
    </row>
    <row r="5896" s="1" customFormat="1" spans="1:3">
      <c r="A5896" s="6"/>
      <c r="B5896" s="6"/>
      <c r="C5896" s="6"/>
    </row>
    <row r="5897" s="1" customFormat="1" spans="1:3">
      <c r="A5897" s="6"/>
      <c r="B5897" s="6"/>
      <c r="C5897" s="6"/>
    </row>
    <row r="5898" s="1" customFormat="1" spans="1:3">
      <c r="A5898" s="6"/>
      <c r="B5898" s="6"/>
      <c r="C5898" s="6"/>
    </row>
    <row r="5899" s="1" customFormat="1" spans="1:3">
      <c r="A5899" s="6"/>
      <c r="B5899" s="6"/>
      <c r="C5899" s="6"/>
    </row>
    <row r="5900" s="1" customFormat="1" spans="1:3">
      <c r="A5900" s="6"/>
      <c r="B5900" s="6"/>
      <c r="C5900" s="6"/>
    </row>
    <row r="5901" s="1" customFormat="1" spans="1:3">
      <c r="A5901" s="6"/>
      <c r="B5901" s="6"/>
      <c r="C5901" s="6"/>
    </row>
    <row r="5902" s="1" customFormat="1" spans="1:3">
      <c r="A5902" s="6"/>
      <c r="B5902" s="6"/>
      <c r="C5902" s="6"/>
    </row>
    <row r="5903" s="1" customFormat="1" spans="1:3">
      <c r="A5903" s="6"/>
      <c r="B5903" s="6"/>
      <c r="C5903" s="6"/>
    </row>
    <row r="5904" s="1" customFormat="1" spans="1:3">
      <c r="A5904" s="6"/>
      <c r="B5904" s="6"/>
      <c r="C5904" s="6"/>
    </row>
    <row r="5905" s="1" customFormat="1" spans="1:3">
      <c r="A5905" s="6"/>
      <c r="B5905" s="6"/>
      <c r="C5905" s="6"/>
    </row>
    <row r="5906" s="1" customFormat="1" spans="1:3">
      <c r="A5906" s="6"/>
      <c r="B5906" s="6"/>
      <c r="C5906" s="6"/>
    </row>
    <row r="5907" s="1" customFormat="1" spans="1:3">
      <c r="A5907" s="6"/>
      <c r="B5907" s="6"/>
      <c r="C5907" s="6"/>
    </row>
    <row r="5908" s="1" customFormat="1" spans="1:3">
      <c r="A5908" s="6"/>
      <c r="B5908" s="6"/>
      <c r="C5908" s="6"/>
    </row>
    <row r="5909" s="1" customFormat="1" spans="1:3">
      <c r="A5909" s="6"/>
      <c r="B5909" s="6"/>
      <c r="C5909" s="6"/>
    </row>
    <row r="5910" s="1" customFormat="1" spans="1:3">
      <c r="A5910" s="6"/>
      <c r="B5910" s="6"/>
      <c r="C5910" s="6"/>
    </row>
    <row r="5911" s="1" customFormat="1" spans="1:3">
      <c r="A5911" s="6"/>
      <c r="B5911" s="6"/>
      <c r="C5911" s="6"/>
    </row>
    <row r="5912" s="1" customFormat="1" spans="1:3">
      <c r="A5912" s="6"/>
      <c r="B5912" s="6"/>
      <c r="C5912" s="6"/>
    </row>
    <row r="5913" s="1" customFormat="1" spans="1:3">
      <c r="A5913" s="6"/>
      <c r="B5913" s="6"/>
      <c r="C5913" s="6"/>
    </row>
    <row r="5914" s="1" customFormat="1" spans="1:3">
      <c r="A5914" s="6"/>
      <c r="B5914" s="6"/>
      <c r="C5914" s="6"/>
    </row>
    <row r="5915" s="1" customFormat="1" spans="1:3">
      <c r="A5915" s="6"/>
      <c r="B5915" s="6"/>
      <c r="C5915" s="6"/>
    </row>
    <row r="5916" s="1" customFormat="1" spans="1:3">
      <c r="A5916" s="6"/>
      <c r="B5916" s="6"/>
      <c r="C5916" s="6"/>
    </row>
    <row r="5917" s="1" customFormat="1" spans="1:3">
      <c r="A5917" s="6"/>
      <c r="B5917" s="6"/>
      <c r="C5917" s="6"/>
    </row>
    <row r="5918" s="1" customFormat="1" spans="1:3">
      <c r="A5918" s="6"/>
      <c r="B5918" s="6"/>
      <c r="C5918" s="6"/>
    </row>
    <row r="5919" s="1" customFormat="1" spans="1:3">
      <c r="A5919" s="6"/>
      <c r="B5919" s="6"/>
      <c r="C5919" s="6"/>
    </row>
    <row r="5920" s="1" customFormat="1" spans="1:3">
      <c r="A5920" s="6"/>
      <c r="B5920" s="6"/>
      <c r="C5920" s="6"/>
    </row>
    <row r="5921" s="1" customFormat="1" spans="1:3">
      <c r="A5921" s="6"/>
      <c r="B5921" s="6"/>
      <c r="C5921" s="6"/>
    </row>
    <row r="5922" s="1" customFormat="1" spans="1:3">
      <c r="A5922" s="6"/>
      <c r="B5922" s="6"/>
      <c r="C5922" s="6"/>
    </row>
    <row r="5923" s="1" customFormat="1" spans="1:3">
      <c r="A5923" s="6"/>
      <c r="B5923" s="6"/>
      <c r="C5923" s="6"/>
    </row>
    <row r="5924" s="1" customFormat="1" spans="1:3">
      <c r="A5924" s="6"/>
      <c r="B5924" s="6"/>
      <c r="C5924" s="6"/>
    </row>
    <row r="5925" s="1" customFormat="1" spans="1:3">
      <c r="A5925" s="6"/>
      <c r="B5925" s="6"/>
      <c r="C5925" s="6"/>
    </row>
    <row r="5926" s="1" customFormat="1" spans="1:3">
      <c r="A5926" s="6"/>
      <c r="B5926" s="6"/>
      <c r="C5926" s="6"/>
    </row>
    <row r="5927" s="1" customFormat="1" spans="1:3">
      <c r="A5927" s="6"/>
      <c r="B5927" s="6"/>
      <c r="C5927" s="6"/>
    </row>
    <row r="5928" s="1" customFormat="1" spans="1:3">
      <c r="A5928" s="6"/>
      <c r="B5928" s="6"/>
      <c r="C5928" s="6"/>
    </row>
    <row r="5929" s="1" customFormat="1" spans="1:3">
      <c r="A5929" s="6"/>
      <c r="B5929" s="6"/>
      <c r="C5929" s="6"/>
    </row>
    <row r="5930" s="1" customFormat="1" spans="1:3">
      <c r="A5930" s="6"/>
      <c r="B5930" s="6"/>
      <c r="C5930" s="6"/>
    </row>
    <row r="5931" s="1" customFormat="1" spans="1:3">
      <c r="A5931" s="6"/>
      <c r="B5931" s="6"/>
      <c r="C5931" s="6"/>
    </row>
    <row r="5932" s="1" customFormat="1" spans="1:3">
      <c r="A5932" s="6"/>
      <c r="B5932" s="6"/>
      <c r="C5932" s="6"/>
    </row>
    <row r="5933" s="1" customFormat="1" spans="1:3">
      <c r="A5933" s="6"/>
      <c r="B5933" s="6"/>
      <c r="C5933" s="6"/>
    </row>
    <row r="5934" s="1" customFormat="1" spans="1:3">
      <c r="A5934" s="6"/>
      <c r="B5934" s="6"/>
      <c r="C5934" s="6"/>
    </row>
    <row r="5935" s="1" customFormat="1" spans="1:3">
      <c r="A5935" s="6"/>
      <c r="B5935" s="6"/>
      <c r="C5935" s="6"/>
    </row>
    <row r="5936" s="1" customFormat="1" spans="1:3">
      <c r="A5936" s="6"/>
      <c r="B5936" s="6"/>
      <c r="C5936" s="6"/>
    </row>
    <row r="5937" s="1" customFormat="1" spans="1:3">
      <c r="A5937" s="6"/>
      <c r="B5937" s="6"/>
      <c r="C5937" s="6"/>
    </row>
    <row r="5938" s="1" customFormat="1" spans="1:3">
      <c r="A5938" s="6"/>
      <c r="B5938" s="6"/>
      <c r="C5938" s="6"/>
    </row>
    <row r="5939" s="1" customFormat="1" spans="1:3">
      <c r="A5939" s="6"/>
      <c r="B5939" s="6"/>
      <c r="C5939" s="6"/>
    </row>
    <row r="5940" s="1" customFormat="1" spans="1:3">
      <c r="A5940" s="6"/>
      <c r="B5940" s="6"/>
      <c r="C5940" s="6"/>
    </row>
    <row r="5941" s="1" customFormat="1" spans="1:3">
      <c r="A5941" s="6"/>
      <c r="B5941" s="6"/>
      <c r="C5941" s="6"/>
    </row>
    <row r="5942" s="1" customFormat="1" spans="1:3">
      <c r="A5942" s="6"/>
      <c r="B5942" s="6"/>
      <c r="C5942" s="6"/>
    </row>
    <row r="5943" s="1" customFormat="1" spans="1:3">
      <c r="A5943" s="6"/>
      <c r="B5943" s="6"/>
      <c r="C5943" s="6"/>
    </row>
    <row r="5944" s="1" customFormat="1" spans="1:3">
      <c r="A5944" s="6"/>
      <c r="B5944" s="6"/>
      <c r="C5944" s="6"/>
    </row>
    <row r="5945" s="1" customFormat="1" spans="1:3">
      <c r="A5945" s="6"/>
      <c r="B5945" s="6"/>
      <c r="C5945" s="6"/>
    </row>
    <row r="5946" s="1" customFormat="1" spans="1:3">
      <c r="A5946" s="6"/>
      <c r="B5946" s="6"/>
      <c r="C5946" s="6"/>
    </row>
    <row r="5947" s="1" customFormat="1" spans="1:3">
      <c r="A5947" s="6"/>
      <c r="B5947" s="6"/>
      <c r="C5947" s="6"/>
    </row>
    <row r="5948" s="1" customFormat="1" spans="1:3">
      <c r="A5948" s="6"/>
      <c r="B5948" s="6"/>
      <c r="C5948" s="6"/>
    </row>
    <row r="5949" s="1" customFormat="1" spans="1:3">
      <c r="A5949" s="6"/>
      <c r="B5949" s="6"/>
      <c r="C5949" s="6"/>
    </row>
    <row r="5950" s="1" customFormat="1" spans="1:3">
      <c r="A5950" s="6"/>
      <c r="B5950" s="6"/>
      <c r="C5950" s="6"/>
    </row>
    <row r="5951" s="1" customFormat="1" spans="1:3">
      <c r="A5951" s="6"/>
      <c r="B5951" s="6"/>
      <c r="C5951" s="6"/>
    </row>
    <row r="5952" s="1" customFormat="1" spans="1:3">
      <c r="A5952" s="6"/>
      <c r="B5952" s="6"/>
      <c r="C5952" s="6"/>
    </row>
    <row r="5953" s="1" customFormat="1" spans="1:3">
      <c r="A5953" s="6"/>
      <c r="B5953" s="6"/>
      <c r="C5953" s="6"/>
    </row>
    <row r="5954" s="1" customFormat="1" spans="1:3">
      <c r="A5954" s="6"/>
      <c r="B5954" s="6"/>
      <c r="C5954" s="6"/>
    </row>
    <row r="5955" s="1" customFormat="1" spans="1:3">
      <c r="A5955" s="6"/>
      <c r="B5955" s="6"/>
      <c r="C5955" s="6"/>
    </row>
    <row r="5956" s="1" customFormat="1" spans="1:3">
      <c r="A5956" s="6"/>
      <c r="B5956" s="6"/>
      <c r="C5956" s="6"/>
    </row>
    <row r="5957" s="1" customFormat="1" spans="1:3">
      <c r="A5957" s="6"/>
      <c r="B5957" s="6"/>
      <c r="C5957" s="6"/>
    </row>
    <row r="5958" s="1" customFormat="1" spans="1:3">
      <c r="A5958" s="6"/>
      <c r="B5958" s="6"/>
      <c r="C5958" s="6"/>
    </row>
    <row r="5959" s="1" customFormat="1" spans="1:3">
      <c r="A5959" s="6"/>
      <c r="B5959" s="6"/>
      <c r="C5959" s="6"/>
    </row>
    <row r="5960" s="1" customFormat="1" spans="1:3">
      <c r="A5960" s="6"/>
      <c r="B5960" s="6"/>
      <c r="C5960" s="6"/>
    </row>
    <row r="5961" s="1" customFormat="1" spans="1:3">
      <c r="A5961" s="6"/>
      <c r="B5961" s="6"/>
      <c r="C5961" s="6"/>
    </row>
    <row r="5962" s="1" customFormat="1" spans="1:3">
      <c r="A5962" s="6"/>
      <c r="B5962" s="6"/>
      <c r="C5962" s="6"/>
    </row>
    <row r="5963" s="1" customFormat="1" spans="1:3">
      <c r="A5963" s="6"/>
      <c r="B5963" s="6"/>
      <c r="C5963" s="6"/>
    </row>
    <row r="5964" s="1" customFormat="1" spans="1:3">
      <c r="A5964" s="6"/>
      <c r="B5964" s="6"/>
      <c r="C5964" s="6"/>
    </row>
    <row r="5965" s="1" customFormat="1" spans="1:3">
      <c r="A5965" s="6"/>
      <c r="B5965" s="6"/>
      <c r="C5965" s="6"/>
    </row>
    <row r="5966" s="1" customFormat="1" spans="1:3">
      <c r="A5966" s="6"/>
      <c r="B5966" s="6"/>
      <c r="C5966" s="6"/>
    </row>
    <row r="5967" s="1" customFormat="1" spans="1:3">
      <c r="A5967" s="6"/>
      <c r="B5967" s="6"/>
      <c r="C5967" s="6"/>
    </row>
    <row r="5968" s="1" customFormat="1" spans="1:3">
      <c r="A5968" s="6"/>
      <c r="B5968" s="6"/>
      <c r="C5968" s="6"/>
    </row>
    <row r="5969" s="1" customFormat="1" spans="1:3">
      <c r="A5969" s="6"/>
      <c r="B5969" s="6"/>
      <c r="C5969" s="6"/>
    </row>
    <row r="5970" s="1" customFormat="1" spans="1:3">
      <c r="A5970" s="6"/>
      <c r="B5970" s="6"/>
      <c r="C5970" s="6"/>
    </row>
    <row r="5971" s="1" customFormat="1" spans="1:3">
      <c r="A5971" s="6"/>
      <c r="B5971" s="6"/>
      <c r="C5971" s="6"/>
    </row>
    <row r="5972" s="1" customFormat="1" spans="1:3">
      <c r="A5972" s="6"/>
      <c r="B5972" s="6"/>
      <c r="C5972" s="6"/>
    </row>
    <row r="5973" s="1" customFormat="1" spans="1:3">
      <c r="A5973" s="6"/>
      <c r="B5973" s="6"/>
      <c r="C5973" s="6"/>
    </row>
    <row r="5974" s="1" customFormat="1" spans="1:3">
      <c r="A5974" s="6"/>
      <c r="B5974" s="6"/>
      <c r="C5974" s="6"/>
    </row>
    <row r="5975" s="1" customFormat="1" spans="1:3">
      <c r="A5975" s="6"/>
      <c r="B5975" s="6"/>
      <c r="C5975" s="6"/>
    </row>
    <row r="5976" s="1" customFormat="1" spans="1:3">
      <c r="A5976" s="6"/>
      <c r="B5976" s="6"/>
      <c r="C5976" s="6"/>
    </row>
    <row r="5977" s="1" customFormat="1" spans="1:3">
      <c r="A5977" s="6"/>
      <c r="B5977" s="6"/>
      <c r="C5977" s="6"/>
    </row>
    <row r="5978" s="1" customFormat="1" spans="1:3">
      <c r="A5978" s="6"/>
      <c r="B5978" s="6"/>
      <c r="C5978" s="6"/>
    </row>
    <row r="5979" s="1" customFormat="1" spans="1:3">
      <c r="A5979" s="6"/>
      <c r="B5979" s="6"/>
      <c r="C5979" s="6"/>
    </row>
    <row r="5980" s="1" customFormat="1" spans="1:3">
      <c r="A5980" s="6"/>
      <c r="B5980" s="6"/>
      <c r="C5980" s="6"/>
    </row>
    <row r="5981" s="1" customFormat="1" spans="1:3">
      <c r="A5981" s="6"/>
      <c r="B5981" s="6"/>
      <c r="C5981" s="6"/>
    </row>
    <row r="5982" s="1" customFormat="1" spans="1:3">
      <c r="A5982" s="6"/>
      <c r="B5982" s="6"/>
      <c r="C5982" s="6"/>
    </row>
    <row r="5983" s="1" customFormat="1" spans="1:3">
      <c r="A5983" s="6"/>
      <c r="B5983" s="6"/>
      <c r="C5983" s="6"/>
    </row>
    <row r="5984" s="1" customFormat="1" spans="1:3">
      <c r="A5984" s="6"/>
      <c r="B5984" s="6"/>
      <c r="C5984" s="6"/>
    </row>
    <row r="5985" s="1" customFormat="1" spans="1:3">
      <c r="A5985" s="6"/>
      <c r="B5985" s="6"/>
      <c r="C5985" s="6"/>
    </row>
    <row r="5986" s="1" customFormat="1" spans="1:3">
      <c r="A5986" s="6"/>
      <c r="B5986" s="6"/>
      <c r="C5986" s="6"/>
    </row>
    <row r="5987" s="1" customFormat="1" spans="1:3">
      <c r="A5987" s="6"/>
      <c r="B5987" s="6"/>
      <c r="C5987" s="6"/>
    </row>
    <row r="5988" s="1" customFormat="1" spans="1:3">
      <c r="A5988" s="6"/>
      <c r="B5988" s="6"/>
      <c r="C5988" s="6"/>
    </row>
    <row r="5989" s="1" customFormat="1" spans="1:3">
      <c r="A5989" s="6"/>
      <c r="B5989" s="6"/>
      <c r="C5989" s="6"/>
    </row>
    <row r="5990" s="1" customFormat="1" spans="1:3">
      <c r="A5990" s="6"/>
      <c r="B5990" s="6"/>
      <c r="C5990" s="6"/>
    </row>
    <row r="5991" s="1" customFormat="1" spans="1:3">
      <c r="A5991" s="6"/>
      <c r="B5991" s="6"/>
      <c r="C5991" s="6"/>
    </row>
    <row r="5992" s="1" customFormat="1" spans="1:3">
      <c r="A5992" s="6"/>
      <c r="B5992" s="6"/>
      <c r="C5992" s="6"/>
    </row>
    <row r="5993" s="1" customFormat="1" spans="1:3">
      <c r="A5993" s="6"/>
      <c r="B5993" s="6"/>
      <c r="C5993" s="6"/>
    </row>
    <row r="5994" s="1" customFormat="1" spans="1:3">
      <c r="A5994" s="6"/>
      <c r="B5994" s="6"/>
      <c r="C5994" s="6"/>
    </row>
    <row r="5995" s="1" customFormat="1" spans="1:3">
      <c r="A5995" s="6"/>
      <c r="B5995" s="6"/>
      <c r="C5995" s="6"/>
    </row>
    <row r="5996" s="1" customFormat="1" spans="1:3">
      <c r="A5996" s="6"/>
      <c r="B5996" s="6"/>
      <c r="C5996" s="6"/>
    </row>
    <row r="5997" s="1" customFormat="1" spans="1:3">
      <c r="A5997" s="6"/>
      <c r="B5997" s="6"/>
      <c r="C5997" s="6"/>
    </row>
    <row r="5998" s="1" customFormat="1" spans="1:3">
      <c r="A5998" s="6"/>
      <c r="B5998" s="6"/>
      <c r="C5998" s="6"/>
    </row>
    <row r="5999" s="1" customFormat="1" spans="1:3">
      <c r="A5999" s="6"/>
      <c r="B5999" s="6"/>
      <c r="C5999" s="6"/>
    </row>
    <row r="6000" s="1" customFormat="1" spans="1:3">
      <c r="A6000" s="6"/>
      <c r="B6000" s="6"/>
      <c r="C6000" s="6"/>
    </row>
    <row r="6001" s="1" customFormat="1" spans="1:3">
      <c r="A6001" s="6"/>
      <c r="B6001" s="6"/>
      <c r="C6001" s="6"/>
    </row>
    <row r="6002" s="1" customFormat="1" spans="1:3">
      <c r="A6002" s="6"/>
      <c r="B6002" s="6"/>
      <c r="C6002" s="6"/>
    </row>
    <row r="6003" s="1" customFormat="1" spans="1:3">
      <c r="A6003" s="6"/>
      <c r="B6003" s="6"/>
      <c r="C6003" s="6"/>
    </row>
    <row r="6004" s="1" customFormat="1" spans="1:3">
      <c r="A6004" s="6"/>
      <c r="B6004" s="6"/>
      <c r="C6004" s="6"/>
    </row>
    <row r="6005" s="1" customFormat="1" spans="1:3">
      <c r="A6005" s="6"/>
      <c r="B6005" s="6"/>
      <c r="C6005" s="6"/>
    </row>
    <row r="6006" s="1" customFormat="1" spans="1:3">
      <c r="A6006" s="6"/>
      <c r="B6006" s="6"/>
      <c r="C6006" s="6"/>
    </row>
    <row r="6007" s="1" customFormat="1" spans="1:3">
      <c r="A6007" s="6"/>
      <c r="B6007" s="6"/>
      <c r="C6007" s="6"/>
    </row>
    <row r="6008" s="1" customFormat="1" spans="1:3">
      <c r="A6008" s="6"/>
      <c r="B6008" s="6"/>
      <c r="C6008" s="6"/>
    </row>
    <row r="6009" s="1" customFormat="1" spans="1:3">
      <c r="A6009" s="6"/>
      <c r="B6009" s="6"/>
      <c r="C6009" s="6"/>
    </row>
    <row r="6010" s="1" customFormat="1" spans="1:3">
      <c r="A6010" s="6"/>
      <c r="B6010" s="6"/>
      <c r="C6010" s="6"/>
    </row>
    <row r="6011" s="1" customFormat="1" spans="1:3">
      <c r="A6011" s="6"/>
      <c r="B6011" s="6"/>
      <c r="C6011" s="6"/>
    </row>
    <row r="6012" s="1" customFormat="1" spans="1:3">
      <c r="A6012" s="6"/>
      <c r="B6012" s="6"/>
      <c r="C6012" s="6"/>
    </row>
    <row r="6013" s="1" customFormat="1" spans="1:3">
      <c r="A6013" s="6"/>
      <c r="B6013" s="6"/>
      <c r="C6013" s="6"/>
    </row>
    <row r="6014" s="1" customFormat="1" spans="1:3">
      <c r="A6014" s="6"/>
      <c r="B6014" s="6"/>
      <c r="C6014" s="6"/>
    </row>
    <row r="6015" s="1" customFormat="1" spans="1:3">
      <c r="A6015" s="6"/>
      <c r="B6015" s="6"/>
      <c r="C6015" s="6"/>
    </row>
    <row r="6016" s="1" customFormat="1" spans="1:3">
      <c r="A6016" s="6"/>
      <c r="B6016" s="6"/>
      <c r="C6016" s="6"/>
    </row>
    <row r="6017" s="1" customFormat="1" spans="1:3">
      <c r="A6017" s="6"/>
      <c r="B6017" s="6"/>
      <c r="C6017" s="6"/>
    </row>
    <row r="6018" s="1" customFormat="1" spans="1:3">
      <c r="A6018" s="6"/>
      <c r="B6018" s="6"/>
      <c r="C6018" s="6"/>
    </row>
    <row r="6019" s="1" customFormat="1" spans="1:3">
      <c r="A6019" s="6"/>
      <c r="B6019" s="6"/>
      <c r="C6019" s="6"/>
    </row>
    <row r="6020" s="1" customFormat="1" spans="1:3">
      <c r="A6020" s="6"/>
      <c r="B6020" s="6"/>
      <c r="C6020" s="6"/>
    </row>
    <row r="6021" s="1" customFormat="1" spans="1:3">
      <c r="A6021" s="6"/>
      <c r="B6021" s="6"/>
      <c r="C6021" s="6"/>
    </row>
    <row r="6022" s="1" customFormat="1" spans="1:3">
      <c r="A6022" s="6"/>
      <c r="B6022" s="6"/>
      <c r="C6022" s="6"/>
    </row>
    <row r="6023" s="1" customFormat="1" spans="1:3">
      <c r="A6023" s="6"/>
      <c r="B6023" s="6"/>
      <c r="C6023" s="6"/>
    </row>
    <row r="6024" s="1" customFormat="1" spans="1:3">
      <c r="A6024" s="6"/>
      <c r="B6024" s="6"/>
      <c r="C6024" s="6"/>
    </row>
    <row r="6025" s="1" customFormat="1" spans="1:3">
      <c r="A6025" s="6"/>
      <c r="B6025" s="6"/>
      <c r="C6025" s="6"/>
    </row>
    <row r="6026" s="1" customFormat="1" spans="1:3">
      <c r="A6026" s="6"/>
      <c r="B6026" s="6"/>
      <c r="C6026" s="6"/>
    </row>
    <row r="6027" s="1" customFormat="1" spans="1:3">
      <c r="A6027" s="6"/>
      <c r="B6027" s="6"/>
      <c r="C6027" s="6"/>
    </row>
    <row r="6028" s="1" customFormat="1" spans="1:3">
      <c r="A6028" s="6"/>
      <c r="B6028" s="6"/>
      <c r="C6028" s="6"/>
    </row>
    <row r="6029" s="1" customFormat="1" spans="1:3">
      <c r="A6029" s="6"/>
      <c r="B6029" s="6"/>
      <c r="C6029" s="6"/>
    </row>
    <row r="6030" s="1" customFormat="1" spans="1:3">
      <c r="A6030" s="6"/>
      <c r="B6030" s="6"/>
      <c r="C6030" s="6"/>
    </row>
    <row r="6031" s="1" customFormat="1" spans="1:3">
      <c r="A6031" s="6"/>
      <c r="B6031" s="6"/>
      <c r="C6031" s="6"/>
    </row>
    <row r="6032" s="1" customFormat="1" spans="1:3">
      <c r="A6032" s="6"/>
      <c r="B6032" s="6"/>
      <c r="C6032" s="6"/>
    </row>
    <row r="6033" s="1" customFormat="1" spans="1:3">
      <c r="A6033" s="6"/>
      <c r="B6033" s="6"/>
      <c r="C6033" s="6"/>
    </row>
    <row r="6034" s="1" customFormat="1" spans="1:3">
      <c r="A6034" s="6"/>
      <c r="B6034" s="6"/>
      <c r="C6034" s="6"/>
    </row>
    <row r="6035" s="1" customFormat="1" spans="1:3">
      <c r="A6035" s="6"/>
      <c r="B6035" s="6"/>
      <c r="C6035" s="6"/>
    </row>
    <row r="6036" s="1" customFormat="1" spans="1:3">
      <c r="A6036" s="6"/>
      <c r="B6036" s="6"/>
      <c r="C6036" s="6"/>
    </row>
    <row r="6037" s="1" customFormat="1" spans="1:3">
      <c r="A6037" s="6"/>
      <c r="B6037" s="6"/>
      <c r="C6037" s="6"/>
    </row>
    <row r="6038" s="1" customFormat="1" spans="1:3">
      <c r="A6038" s="6"/>
      <c r="B6038" s="6"/>
      <c r="C6038" s="6"/>
    </row>
    <row r="6039" s="1" customFormat="1" spans="1:3">
      <c r="A6039" s="6"/>
      <c r="B6039" s="6"/>
      <c r="C6039" s="6"/>
    </row>
    <row r="6040" s="1" customFormat="1" spans="1:3">
      <c r="A6040" s="6"/>
      <c r="B6040" s="6"/>
      <c r="C6040" s="6"/>
    </row>
    <row r="6041" s="1" customFormat="1" spans="1:3">
      <c r="A6041" s="6"/>
      <c r="B6041" s="6"/>
      <c r="C6041" s="6"/>
    </row>
    <row r="6042" s="1" customFormat="1" spans="1:3">
      <c r="A6042" s="6"/>
      <c r="B6042" s="6"/>
      <c r="C6042" s="6"/>
    </row>
    <row r="6043" s="1" customFormat="1" spans="1:3">
      <c r="A6043" s="6"/>
      <c r="B6043" s="6"/>
      <c r="C6043" s="6"/>
    </row>
    <row r="6044" s="1" customFormat="1" spans="1:3">
      <c r="A6044" s="6"/>
      <c r="B6044" s="6"/>
      <c r="C6044" s="6"/>
    </row>
    <row r="6045" s="1" customFormat="1" spans="1:3">
      <c r="A6045" s="6"/>
      <c r="B6045" s="6"/>
      <c r="C6045" s="6"/>
    </row>
    <row r="6046" s="1" customFormat="1" spans="1:3">
      <c r="A6046" s="6"/>
      <c r="B6046" s="6"/>
      <c r="C6046" s="6"/>
    </row>
    <row r="6047" s="1" customFormat="1" spans="1:3">
      <c r="A6047" s="6"/>
      <c r="B6047" s="6"/>
      <c r="C6047" s="6"/>
    </row>
    <row r="6048" s="1" customFormat="1" spans="1:3">
      <c r="A6048" s="6"/>
      <c r="B6048" s="6"/>
      <c r="C6048" s="6"/>
    </row>
    <row r="6049" s="1" customFormat="1" spans="1:3">
      <c r="A6049" s="6"/>
      <c r="B6049" s="6"/>
      <c r="C6049" s="6"/>
    </row>
    <row r="6050" s="1" customFormat="1" spans="1:3">
      <c r="A6050" s="6"/>
      <c r="B6050" s="6"/>
      <c r="C6050" s="6"/>
    </row>
    <row r="6051" s="1" customFormat="1" spans="1:3">
      <c r="A6051" s="6"/>
      <c r="B6051" s="6"/>
      <c r="C6051" s="6"/>
    </row>
    <row r="6052" s="1" customFormat="1" spans="1:3">
      <c r="A6052" s="6"/>
      <c r="B6052" s="6"/>
      <c r="C6052" s="6"/>
    </row>
    <row r="6053" s="1" customFormat="1" spans="1:3">
      <c r="A6053" s="6"/>
      <c r="B6053" s="6"/>
      <c r="C6053" s="6"/>
    </row>
    <row r="6054" s="1" customFormat="1" spans="1:3">
      <c r="A6054" s="6"/>
      <c r="B6054" s="6"/>
      <c r="C6054" s="6"/>
    </row>
    <row r="6055" s="1" customFormat="1" spans="1:3">
      <c r="A6055" s="6"/>
      <c r="B6055" s="6"/>
      <c r="C6055" s="6"/>
    </row>
    <row r="6056" s="1" customFormat="1" spans="1:3">
      <c r="A6056" s="6"/>
      <c r="B6056" s="6"/>
      <c r="C6056" s="6"/>
    </row>
    <row r="6057" s="1" customFormat="1" spans="1:3">
      <c r="A6057" s="6"/>
      <c r="B6057" s="6"/>
      <c r="C6057" s="6"/>
    </row>
    <row r="6058" s="1" customFormat="1" spans="1:3">
      <c r="A6058" s="6"/>
      <c r="B6058" s="6"/>
      <c r="C6058" s="6"/>
    </row>
    <row r="6059" s="1" customFormat="1" spans="1:3">
      <c r="A6059" s="6"/>
      <c r="B6059" s="6"/>
      <c r="C6059" s="6"/>
    </row>
    <row r="6060" s="1" customFormat="1" spans="1:3">
      <c r="A6060" s="6"/>
      <c r="B6060" s="6"/>
      <c r="C6060" s="6"/>
    </row>
    <row r="6061" s="1" customFormat="1" spans="1:3">
      <c r="A6061" s="6"/>
      <c r="B6061" s="6"/>
      <c r="C6061" s="6"/>
    </row>
    <row r="6062" s="1" customFormat="1" spans="1:3">
      <c r="A6062" s="6"/>
      <c r="B6062" s="6"/>
      <c r="C6062" s="6"/>
    </row>
    <row r="6063" s="1" customFormat="1" spans="1:3">
      <c r="A6063" s="6"/>
      <c r="B6063" s="6"/>
      <c r="C6063" s="6"/>
    </row>
    <row r="6064" s="1" customFormat="1" spans="1:3">
      <c r="A6064" s="6"/>
      <c r="B6064" s="6"/>
      <c r="C6064" s="6"/>
    </row>
    <row r="6065" s="1" customFormat="1" spans="1:3">
      <c r="A6065" s="6"/>
      <c r="B6065" s="6"/>
      <c r="C6065" s="6"/>
    </row>
    <row r="6066" s="1" customFormat="1" spans="1:3">
      <c r="A6066" s="6"/>
      <c r="B6066" s="6"/>
      <c r="C6066" s="6"/>
    </row>
    <row r="6067" s="1" customFormat="1" spans="1:3">
      <c r="A6067" s="6"/>
      <c r="B6067" s="6"/>
      <c r="C6067" s="6"/>
    </row>
    <row r="6068" s="1" customFormat="1" spans="1:3">
      <c r="A6068" s="6"/>
      <c r="B6068" s="6"/>
      <c r="C6068" s="6"/>
    </row>
    <row r="6069" s="1" customFormat="1" spans="1:3">
      <c r="A6069" s="6"/>
      <c r="B6069" s="6"/>
      <c r="C6069" s="6"/>
    </row>
    <row r="6070" s="1" customFormat="1" spans="1:3">
      <c r="A6070" s="6"/>
      <c r="B6070" s="6"/>
      <c r="C6070" s="6"/>
    </row>
    <row r="6071" s="1" customFormat="1" spans="1:3">
      <c r="A6071" s="6"/>
      <c r="B6071" s="6"/>
      <c r="C6071" s="6"/>
    </row>
    <row r="6072" s="1" customFormat="1" spans="1:3">
      <c r="A6072" s="6"/>
      <c r="B6072" s="6"/>
      <c r="C6072" s="6"/>
    </row>
    <row r="6073" s="1" customFormat="1" spans="1:3">
      <c r="A6073" s="6"/>
      <c r="B6073" s="6"/>
      <c r="C6073" s="6"/>
    </row>
    <row r="6074" s="1" customFormat="1" spans="1:3">
      <c r="A6074" s="6"/>
      <c r="B6074" s="6"/>
      <c r="C6074" s="6"/>
    </row>
    <row r="6075" s="1" customFormat="1" spans="1:3">
      <c r="A6075" s="6"/>
      <c r="B6075" s="6"/>
      <c r="C6075" s="6"/>
    </row>
    <row r="6076" s="1" customFormat="1" spans="1:3">
      <c r="A6076" s="6"/>
      <c r="B6076" s="6"/>
      <c r="C6076" s="6"/>
    </row>
    <row r="6077" s="1" customFormat="1" spans="1:3">
      <c r="A6077" s="6"/>
      <c r="B6077" s="6"/>
      <c r="C6077" s="6"/>
    </row>
    <row r="6078" s="1" customFormat="1" spans="1:3">
      <c r="A6078" s="6"/>
      <c r="B6078" s="6"/>
      <c r="C6078" s="6"/>
    </row>
    <row r="6079" s="1" customFormat="1" spans="1:3">
      <c r="A6079" s="6"/>
      <c r="B6079" s="6"/>
      <c r="C6079" s="6"/>
    </row>
    <row r="6080" s="1" customFormat="1" spans="1:3">
      <c r="A6080" s="6"/>
      <c r="B6080" s="6"/>
      <c r="C6080" s="6"/>
    </row>
    <row r="6081" s="1" customFormat="1" spans="1:3">
      <c r="A6081" s="6"/>
      <c r="B6081" s="6"/>
      <c r="C6081" s="6"/>
    </row>
    <row r="6082" s="1" customFormat="1" spans="1:3">
      <c r="A6082" s="6"/>
      <c r="B6082" s="6"/>
      <c r="C6082" s="6"/>
    </row>
    <row r="6083" s="1" customFormat="1" spans="1:3">
      <c r="A6083" s="6"/>
      <c r="B6083" s="6"/>
      <c r="C6083" s="6"/>
    </row>
    <row r="6084" s="1" customFormat="1" spans="1:3">
      <c r="A6084" s="6"/>
      <c r="B6084" s="6"/>
      <c r="C6084" s="6"/>
    </row>
    <row r="6085" s="1" customFormat="1" spans="1:3">
      <c r="A6085" s="6"/>
      <c r="B6085" s="6"/>
      <c r="C6085" s="6"/>
    </row>
    <row r="6086" s="1" customFormat="1" spans="1:3">
      <c r="A6086" s="6"/>
      <c r="B6086" s="6"/>
      <c r="C6086" s="6"/>
    </row>
    <row r="6087" s="1" customFormat="1" spans="1:3">
      <c r="A6087" s="6"/>
      <c r="B6087" s="6"/>
      <c r="C6087" s="6"/>
    </row>
    <row r="6088" s="1" customFormat="1" spans="1:3">
      <c r="A6088" s="6"/>
      <c r="B6088" s="6"/>
      <c r="C6088" s="6"/>
    </row>
    <row r="6089" s="1" customFormat="1" spans="1:3">
      <c r="A6089" s="6"/>
      <c r="B6089" s="6"/>
      <c r="C6089" s="6"/>
    </row>
    <row r="6090" s="1" customFormat="1" spans="1:3">
      <c r="A6090" s="6"/>
      <c r="B6090" s="6"/>
      <c r="C6090" s="6"/>
    </row>
    <row r="6091" s="1" customFormat="1" spans="1:3">
      <c r="A6091" s="6"/>
      <c r="B6091" s="6"/>
      <c r="C6091" s="6"/>
    </row>
    <row r="6092" s="1" customFormat="1" spans="1:3">
      <c r="A6092" s="6"/>
      <c r="B6092" s="6"/>
      <c r="C6092" s="6"/>
    </row>
    <row r="6093" s="1" customFormat="1" spans="1:3">
      <c r="A6093" s="6"/>
      <c r="B6093" s="6"/>
      <c r="C6093" s="6"/>
    </row>
    <row r="6094" s="1" customFormat="1" spans="1:3">
      <c r="A6094" s="6"/>
      <c r="B6094" s="6"/>
      <c r="C6094" s="6"/>
    </row>
    <row r="6095" s="1" customFormat="1" spans="1:3">
      <c r="A6095" s="6"/>
      <c r="B6095" s="6"/>
      <c r="C6095" s="6"/>
    </row>
    <row r="6096" s="1" customFormat="1" spans="1:3">
      <c r="A6096" s="6"/>
      <c r="B6096" s="6"/>
      <c r="C6096" s="6"/>
    </row>
    <row r="6097" s="1" customFormat="1" spans="1:3">
      <c r="A6097" s="6"/>
      <c r="B6097" s="6"/>
      <c r="C6097" s="6"/>
    </row>
    <row r="6098" s="1" customFormat="1" spans="1:3">
      <c r="A6098" s="6"/>
      <c r="B6098" s="6"/>
      <c r="C6098" s="6"/>
    </row>
    <row r="6099" s="1" customFormat="1" spans="1:3">
      <c r="A6099" s="6"/>
      <c r="B6099" s="6"/>
      <c r="C6099" s="6"/>
    </row>
    <row r="6100" s="1" customFormat="1" spans="1:3">
      <c r="A6100" s="6"/>
      <c r="B6100" s="6"/>
      <c r="C6100" s="6"/>
    </row>
    <row r="6101" s="1" customFormat="1" spans="1:3">
      <c r="A6101" s="6"/>
      <c r="B6101" s="6"/>
      <c r="C6101" s="6"/>
    </row>
    <row r="6102" s="1" customFormat="1" spans="1:3">
      <c r="A6102" s="6"/>
      <c r="B6102" s="6"/>
      <c r="C6102" s="6"/>
    </row>
    <row r="6103" s="1" customFormat="1" spans="1:3">
      <c r="A6103" s="6"/>
      <c r="B6103" s="6"/>
      <c r="C6103" s="6"/>
    </row>
    <row r="6104" s="1" customFormat="1" spans="1:3">
      <c r="A6104" s="6"/>
      <c r="B6104" s="6"/>
      <c r="C6104" s="6"/>
    </row>
    <row r="6105" s="1" customFormat="1" spans="1:3">
      <c r="A6105" s="6"/>
      <c r="B6105" s="6"/>
      <c r="C6105" s="6"/>
    </row>
    <row r="6106" s="1" customFormat="1" spans="1:3">
      <c r="A6106" s="6"/>
      <c r="B6106" s="6"/>
      <c r="C6106" s="6"/>
    </row>
    <row r="6107" s="1" customFormat="1" spans="1:3">
      <c r="A6107" s="6"/>
      <c r="B6107" s="6"/>
      <c r="C6107" s="6"/>
    </row>
    <row r="6108" s="1" customFormat="1" spans="1:3">
      <c r="A6108" s="6"/>
      <c r="B6108" s="6"/>
      <c r="C6108" s="6"/>
    </row>
    <row r="6109" s="1" customFormat="1" spans="1:3">
      <c r="A6109" s="6"/>
      <c r="B6109" s="6"/>
      <c r="C6109" s="6"/>
    </row>
    <row r="6110" s="1" customFormat="1" spans="1:3">
      <c r="A6110" s="6"/>
      <c r="B6110" s="6"/>
      <c r="C6110" s="6"/>
    </row>
    <row r="6111" s="1" customFormat="1" spans="1:3">
      <c r="A6111" s="6"/>
      <c r="B6111" s="6"/>
      <c r="C6111" s="6"/>
    </row>
    <row r="6112" s="1" customFormat="1" spans="1:3">
      <c r="A6112" s="6"/>
      <c r="B6112" s="6"/>
      <c r="C6112" s="6"/>
    </row>
    <row r="6113" s="1" customFormat="1" spans="1:3">
      <c r="A6113" s="6"/>
      <c r="B6113" s="6"/>
      <c r="C6113" s="6"/>
    </row>
    <row r="6114" s="1" customFormat="1" spans="1:3">
      <c r="A6114" s="6"/>
      <c r="B6114" s="6"/>
      <c r="C6114" s="6"/>
    </row>
    <row r="6115" s="1" customFormat="1" spans="1:3">
      <c r="A6115" s="6"/>
      <c r="B6115" s="6"/>
      <c r="C6115" s="6"/>
    </row>
    <row r="6116" s="1" customFormat="1" spans="1:3">
      <c r="A6116" s="6"/>
      <c r="B6116" s="6"/>
      <c r="C6116" s="6"/>
    </row>
    <row r="6117" s="1" customFormat="1" spans="1:3">
      <c r="A6117" s="6"/>
      <c r="B6117" s="6"/>
      <c r="C6117" s="6"/>
    </row>
    <row r="6118" s="1" customFormat="1" spans="1:3">
      <c r="A6118" s="6"/>
      <c r="B6118" s="6"/>
      <c r="C6118" s="6"/>
    </row>
    <row r="6119" s="1" customFormat="1" spans="1:3">
      <c r="A6119" s="6"/>
      <c r="B6119" s="6"/>
      <c r="C6119" s="6"/>
    </row>
    <row r="6120" s="1" customFormat="1" spans="1:3">
      <c r="A6120" s="6"/>
      <c r="B6120" s="6"/>
      <c r="C6120" s="6"/>
    </row>
    <row r="6121" s="1" customFormat="1" spans="1:3">
      <c r="A6121" s="6"/>
      <c r="B6121" s="6"/>
      <c r="C6121" s="6"/>
    </row>
    <row r="6122" s="1" customFormat="1" spans="1:3">
      <c r="A6122" s="6"/>
      <c r="B6122" s="6"/>
      <c r="C6122" s="6"/>
    </row>
    <row r="6123" s="1" customFormat="1" spans="1:3">
      <c r="A6123" s="6"/>
      <c r="B6123" s="6"/>
      <c r="C6123" s="6"/>
    </row>
    <row r="6124" s="1" customFormat="1" spans="1:3">
      <c r="A6124" s="6"/>
      <c r="B6124" s="6"/>
      <c r="C6124" s="6"/>
    </row>
    <row r="6125" s="1" customFormat="1" spans="1:3">
      <c r="A6125" s="6"/>
      <c r="B6125" s="6"/>
      <c r="C6125" s="6"/>
    </row>
    <row r="6126" s="1" customFormat="1" spans="1:3">
      <c r="A6126" s="6"/>
      <c r="B6126" s="6"/>
      <c r="C6126" s="6"/>
    </row>
    <row r="6127" s="1" customFormat="1" spans="1:3">
      <c r="A6127" s="6"/>
      <c r="B6127" s="6"/>
      <c r="C6127" s="6"/>
    </row>
    <row r="6128" s="1" customFormat="1" spans="1:3">
      <c r="A6128" s="6"/>
      <c r="B6128" s="6"/>
      <c r="C6128" s="6"/>
    </row>
    <row r="6129" s="1" customFormat="1" spans="1:3">
      <c r="A6129" s="6"/>
      <c r="B6129" s="6"/>
      <c r="C6129" s="6"/>
    </row>
    <row r="6130" s="1" customFormat="1" spans="1:3">
      <c r="A6130" s="6"/>
      <c r="B6130" s="6"/>
      <c r="C6130" s="6"/>
    </row>
    <row r="6131" s="1" customFormat="1" spans="1:3">
      <c r="A6131" s="6"/>
      <c r="B6131" s="6"/>
      <c r="C6131" s="6"/>
    </row>
    <row r="6132" s="1" customFormat="1" spans="1:3">
      <c r="A6132" s="6"/>
      <c r="B6132" s="6"/>
      <c r="C6132" s="6"/>
    </row>
    <row r="6133" s="1" customFormat="1" spans="1:3">
      <c r="A6133" s="6"/>
      <c r="B6133" s="6"/>
      <c r="C6133" s="6"/>
    </row>
    <row r="6134" s="1" customFormat="1" spans="1:3">
      <c r="A6134" s="6"/>
      <c r="B6134" s="6"/>
      <c r="C6134" s="6"/>
    </row>
    <row r="6135" s="1" customFormat="1" spans="1:3">
      <c r="A6135" s="6"/>
      <c r="B6135" s="6"/>
      <c r="C6135" s="6"/>
    </row>
    <row r="6136" s="1" customFormat="1" spans="1:3">
      <c r="A6136" s="6"/>
      <c r="B6136" s="6"/>
      <c r="C6136" s="6"/>
    </row>
    <row r="6137" s="1" customFormat="1" spans="1:3">
      <c r="A6137" s="6"/>
      <c r="B6137" s="6"/>
      <c r="C6137" s="6"/>
    </row>
    <row r="6138" s="1" customFormat="1" spans="1:3">
      <c r="A6138" s="6"/>
      <c r="B6138" s="6"/>
      <c r="C6138" s="6"/>
    </row>
    <row r="6139" s="1" customFormat="1" spans="1:3">
      <c r="A6139" s="6"/>
      <c r="B6139" s="6"/>
      <c r="C6139" s="6"/>
    </row>
    <row r="6140" s="1" customFormat="1" spans="1:3">
      <c r="A6140" s="6"/>
      <c r="B6140" s="6"/>
      <c r="C6140" s="6"/>
    </row>
    <row r="6141" s="1" customFormat="1" spans="1:3">
      <c r="A6141" s="6"/>
      <c r="B6141" s="6"/>
      <c r="C6141" s="6"/>
    </row>
    <row r="6142" s="1" customFormat="1" spans="1:3">
      <c r="A6142" s="6"/>
      <c r="B6142" s="6"/>
      <c r="C6142" s="6"/>
    </row>
    <row r="6143" s="1" customFormat="1" spans="1:3">
      <c r="A6143" s="6"/>
      <c r="B6143" s="6"/>
      <c r="C6143" s="6"/>
    </row>
    <row r="6144" s="1" customFormat="1" spans="1:3">
      <c r="A6144" s="6"/>
      <c r="B6144" s="6"/>
      <c r="C6144" s="6"/>
    </row>
    <row r="6145" s="1" customFormat="1" spans="1:3">
      <c r="A6145" s="6"/>
      <c r="B6145" s="6"/>
      <c r="C6145" s="6"/>
    </row>
    <row r="6146" s="1" customFormat="1" spans="1:3">
      <c r="A6146" s="6"/>
      <c r="B6146" s="6"/>
      <c r="C6146" s="6"/>
    </row>
    <row r="6147" s="1" customFormat="1" spans="1:3">
      <c r="A6147" s="6"/>
      <c r="B6147" s="6"/>
      <c r="C6147" s="6"/>
    </row>
    <row r="6148" s="1" customFormat="1" spans="1:3">
      <c r="A6148" s="6"/>
      <c r="B6148" s="6"/>
      <c r="C6148" s="6"/>
    </row>
    <row r="6149" s="1" customFormat="1" spans="1:3">
      <c r="A6149" s="6"/>
      <c r="B6149" s="6"/>
      <c r="C6149" s="6"/>
    </row>
    <row r="6150" s="1" customFormat="1" spans="1:3">
      <c r="A6150" s="6"/>
      <c r="B6150" s="6"/>
      <c r="C6150" s="6"/>
    </row>
    <row r="6151" s="1" customFormat="1" spans="1:3">
      <c r="A6151" s="6"/>
      <c r="B6151" s="6"/>
      <c r="C6151" s="6"/>
    </row>
    <row r="6152" s="1" customFormat="1" spans="1:3">
      <c r="A6152" s="6"/>
      <c r="B6152" s="6"/>
      <c r="C6152" s="6"/>
    </row>
    <row r="6153" s="1" customFormat="1" spans="1:3">
      <c r="A6153" s="6"/>
      <c r="B6153" s="6"/>
      <c r="C6153" s="6"/>
    </row>
    <row r="6154" s="1" customFormat="1" spans="1:3">
      <c r="A6154" s="6"/>
      <c r="B6154" s="6"/>
      <c r="C6154" s="6"/>
    </row>
    <row r="6155" s="1" customFormat="1" spans="1:3">
      <c r="A6155" s="6"/>
      <c r="B6155" s="6"/>
      <c r="C6155" s="6"/>
    </row>
    <row r="6156" s="1" customFormat="1" spans="1:3">
      <c r="A6156" s="6"/>
      <c r="B6156" s="6"/>
      <c r="C6156" s="6"/>
    </row>
    <row r="6157" s="1" customFormat="1" spans="1:3">
      <c r="A6157" s="6"/>
      <c r="B6157" s="6"/>
      <c r="C6157" s="6"/>
    </row>
    <row r="6158" s="1" customFormat="1" spans="1:3">
      <c r="A6158" s="6"/>
      <c r="B6158" s="6"/>
      <c r="C6158" s="6"/>
    </row>
    <row r="6159" s="1" customFormat="1" spans="1:3">
      <c r="A6159" s="6"/>
      <c r="B6159" s="6"/>
      <c r="C6159" s="6"/>
    </row>
    <row r="6160" s="1" customFormat="1" spans="1:3">
      <c r="A6160" s="6"/>
      <c r="B6160" s="6"/>
      <c r="C6160" s="6"/>
    </row>
    <row r="6161" s="1" customFormat="1" spans="1:3">
      <c r="A6161" s="6"/>
      <c r="B6161" s="6"/>
      <c r="C6161" s="6"/>
    </row>
    <row r="6162" s="1" customFormat="1" spans="1:3">
      <c r="A6162" s="6"/>
      <c r="B6162" s="6"/>
      <c r="C6162" s="6"/>
    </row>
    <row r="6163" s="1" customFormat="1" spans="1:3">
      <c r="A6163" s="6"/>
      <c r="B6163" s="6"/>
      <c r="C6163" s="6"/>
    </row>
    <row r="6164" s="1" customFormat="1" spans="1:3">
      <c r="A6164" s="6"/>
      <c r="B6164" s="6"/>
      <c r="C6164" s="6"/>
    </row>
    <row r="6165" s="1" customFormat="1" spans="1:3">
      <c r="A6165" s="6"/>
      <c r="B6165" s="6"/>
      <c r="C6165" s="6"/>
    </row>
    <row r="6166" s="1" customFormat="1" spans="1:3">
      <c r="A6166" s="6"/>
      <c r="B6166" s="6"/>
      <c r="C6166" s="6"/>
    </row>
    <row r="6167" s="1" customFormat="1" spans="1:3">
      <c r="A6167" s="6"/>
      <c r="B6167" s="6"/>
      <c r="C6167" s="6"/>
    </row>
    <row r="6168" s="1" customFormat="1" spans="1:3">
      <c r="A6168" s="6"/>
      <c r="B6168" s="6"/>
      <c r="C6168" s="6"/>
    </row>
    <row r="6169" s="1" customFormat="1" spans="1:3">
      <c r="A6169" s="6"/>
      <c r="B6169" s="6"/>
      <c r="C6169" s="6"/>
    </row>
    <row r="6170" s="1" customFormat="1" spans="1:3">
      <c r="A6170" s="6"/>
      <c r="B6170" s="6"/>
      <c r="C6170" s="6"/>
    </row>
    <row r="6171" s="1" customFormat="1" spans="1:3">
      <c r="A6171" s="6"/>
      <c r="B6171" s="6"/>
      <c r="C6171" s="6"/>
    </row>
    <row r="6172" s="1" customFormat="1" spans="1:3">
      <c r="A6172" s="6"/>
      <c r="B6172" s="6"/>
      <c r="C6172" s="6"/>
    </row>
    <row r="6173" s="1" customFormat="1" spans="1:3">
      <c r="A6173" s="6"/>
      <c r="B6173" s="6"/>
      <c r="C6173" s="6"/>
    </row>
    <row r="6174" s="1" customFormat="1" spans="1:3">
      <c r="A6174" s="6"/>
      <c r="B6174" s="6"/>
      <c r="C6174" s="6"/>
    </row>
    <row r="6175" s="1" customFormat="1" spans="1:3">
      <c r="A6175" s="6"/>
      <c r="B6175" s="6"/>
      <c r="C6175" s="6"/>
    </row>
    <row r="6176" s="1" customFormat="1" spans="1:3">
      <c r="A6176" s="6"/>
      <c r="B6176" s="6"/>
      <c r="C6176" s="6"/>
    </row>
    <row r="6177" s="1" customFormat="1" spans="1:3">
      <c r="A6177" s="6"/>
      <c r="B6177" s="6"/>
      <c r="C6177" s="6"/>
    </row>
    <row r="6178" s="1" customFormat="1" spans="1:3">
      <c r="A6178" s="6"/>
      <c r="B6178" s="6"/>
      <c r="C6178" s="6"/>
    </row>
    <row r="6179" s="1" customFormat="1" spans="1:3">
      <c r="A6179" s="6"/>
      <c r="B6179" s="6"/>
      <c r="C6179" s="6"/>
    </row>
    <row r="6180" s="1" customFormat="1" spans="1:3">
      <c r="A6180" s="6"/>
      <c r="B6180" s="6"/>
      <c r="C6180" s="6"/>
    </row>
    <row r="6181" s="1" customFormat="1" spans="1:3">
      <c r="A6181" s="6"/>
      <c r="B6181" s="6"/>
      <c r="C6181" s="6"/>
    </row>
    <row r="6182" s="1" customFormat="1" spans="1:3">
      <c r="A6182" s="6"/>
      <c r="B6182" s="6"/>
      <c r="C6182" s="6"/>
    </row>
    <row r="6183" s="1" customFormat="1" spans="1:3">
      <c r="A6183" s="6"/>
      <c r="B6183" s="6"/>
      <c r="C6183" s="6"/>
    </row>
    <row r="6184" s="1" customFormat="1" spans="1:3">
      <c r="A6184" s="6"/>
      <c r="B6184" s="6"/>
      <c r="C6184" s="6"/>
    </row>
    <row r="6185" s="1" customFormat="1" spans="1:3">
      <c r="A6185" s="6"/>
      <c r="B6185" s="6"/>
      <c r="C6185" s="6"/>
    </row>
    <row r="6186" s="1" customFormat="1" spans="1:3">
      <c r="A6186" s="6"/>
      <c r="B6186" s="6"/>
      <c r="C6186" s="6"/>
    </row>
    <row r="6187" s="1" customFormat="1" spans="1:3">
      <c r="A6187" s="6"/>
      <c r="B6187" s="6"/>
      <c r="C6187" s="6"/>
    </row>
    <row r="6188" s="1" customFormat="1" spans="1:3">
      <c r="A6188" s="6"/>
      <c r="B6188" s="6"/>
      <c r="C6188" s="6"/>
    </row>
    <row r="6189" s="1" customFormat="1" spans="1:3">
      <c r="A6189" s="6"/>
      <c r="B6189" s="6"/>
      <c r="C6189" s="6"/>
    </row>
    <row r="6190" s="1" customFormat="1" spans="1:3">
      <c r="A6190" s="6"/>
      <c r="B6190" s="6"/>
      <c r="C6190" s="6"/>
    </row>
    <row r="6191" s="1" customFormat="1" spans="1:3">
      <c r="A6191" s="6"/>
      <c r="B6191" s="6"/>
      <c r="C6191" s="6"/>
    </row>
    <row r="6192" s="1" customFormat="1" spans="1:3">
      <c r="A6192" s="6"/>
      <c r="B6192" s="6"/>
      <c r="C6192" s="6"/>
    </row>
    <row r="6193" s="1" customFormat="1" spans="1:3">
      <c r="A6193" s="6"/>
      <c r="B6193" s="6"/>
      <c r="C6193" s="6"/>
    </row>
    <row r="6194" s="1" customFormat="1" spans="1:3">
      <c r="A6194" s="6"/>
      <c r="B6194" s="6"/>
      <c r="C6194" s="6"/>
    </row>
    <row r="6195" s="1" customFormat="1" spans="1:3">
      <c r="A6195" s="6"/>
      <c r="B6195" s="6"/>
      <c r="C6195" s="6"/>
    </row>
    <row r="6196" s="1" customFormat="1" spans="1:3">
      <c r="A6196" s="6"/>
      <c r="B6196" s="6"/>
      <c r="C6196" s="6"/>
    </row>
    <row r="6197" s="1" customFormat="1" spans="1:3">
      <c r="A6197" s="6"/>
      <c r="B6197" s="6"/>
      <c r="C6197" s="6"/>
    </row>
    <row r="6198" s="1" customFormat="1" spans="1:3">
      <c r="A6198" s="6"/>
      <c r="B6198" s="6"/>
      <c r="C6198" s="6"/>
    </row>
    <row r="6199" s="1" customFormat="1" spans="1:3">
      <c r="A6199" s="6"/>
      <c r="B6199" s="6"/>
      <c r="C6199" s="6"/>
    </row>
    <row r="6200" s="1" customFormat="1" spans="1:3">
      <c r="A6200" s="6"/>
      <c r="B6200" s="6"/>
      <c r="C6200" s="6"/>
    </row>
    <row r="6201" s="1" customFormat="1" spans="1:3">
      <c r="A6201" s="6"/>
      <c r="B6201" s="6"/>
      <c r="C6201" s="6"/>
    </row>
    <row r="6202" s="1" customFormat="1" spans="1:3">
      <c r="A6202" s="6"/>
      <c r="B6202" s="6"/>
      <c r="C6202" s="6"/>
    </row>
    <row r="6203" s="1" customFormat="1" spans="1:3">
      <c r="A6203" s="6"/>
      <c r="B6203" s="6"/>
      <c r="C6203" s="6"/>
    </row>
    <row r="6204" s="1" customFormat="1" spans="1:3">
      <c r="A6204" s="6"/>
      <c r="B6204" s="6"/>
      <c r="C6204" s="6"/>
    </row>
    <row r="6205" s="1" customFormat="1" spans="1:3">
      <c r="A6205" s="6"/>
      <c r="B6205" s="6"/>
      <c r="C6205" s="6"/>
    </row>
    <row r="6206" s="1" customFormat="1" spans="1:3">
      <c r="A6206" s="6"/>
      <c r="B6206" s="6"/>
      <c r="C6206" s="6"/>
    </row>
    <row r="6207" s="1" customFormat="1" spans="1:3">
      <c r="A6207" s="6"/>
      <c r="B6207" s="6"/>
      <c r="C6207" s="6"/>
    </row>
    <row r="6208" s="1" customFormat="1" spans="1:3">
      <c r="A6208" s="6"/>
      <c r="B6208" s="6"/>
      <c r="C6208" s="6"/>
    </row>
    <row r="6209" s="1" customFormat="1" spans="1:3">
      <c r="A6209" s="6"/>
      <c r="B6209" s="6"/>
      <c r="C6209" s="6"/>
    </row>
    <row r="6210" s="1" customFormat="1" spans="1:3">
      <c r="A6210" s="6"/>
      <c r="B6210" s="6"/>
      <c r="C6210" s="6"/>
    </row>
    <row r="6211" s="1" customFormat="1" spans="1:3">
      <c r="A6211" s="6"/>
      <c r="B6211" s="6"/>
      <c r="C6211" s="6"/>
    </row>
    <row r="6212" s="1" customFormat="1" spans="1:3">
      <c r="A6212" s="6"/>
      <c r="B6212" s="6"/>
      <c r="C6212" s="6"/>
    </row>
    <row r="6213" s="1" customFormat="1" spans="1:3">
      <c r="A6213" s="6"/>
      <c r="B6213" s="6"/>
      <c r="C6213" s="6"/>
    </row>
    <row r="6214" s="1" customFormat="1" spans="1:3">
      <c r="A6214" s="6"/>
      <c r="B6214" s="6"/>
      <c r="C6214" s="6"/>
    </row>
    <row r="6215" s="1" customFormat="1" spans="1:3">
      <c r="A6215" s="6"/>
      <c r="B6215" s="6"/>
      <c r="C6215" s="6"/>
    </row>
    <row r="6216" s="1" customFormat="1" spans="1:3">
      <c r="A6216" s="6"/>
      <c r="B6216" s="6"/>
      <c r="C6216" s="6"/>
    </row>
    <row r="6217" s="1" customFormat="1" spans="1:3">
      <c r="A6217" s="6"/>
      <c r="B6217" s="6"/>
      <c r="C6217" s="6"/>
    </row>
    <row r="6218" s="1" customFormat="1" spans="1:3">
      <c r="A6218" s="6"/>
      <c r="B6218" s="6"/>
      <c r="C6218" s="6"/>
    </row>
    <row r="6219" s="1" customFormat="1" spans="1:3">
      <c r="A6219" s="6"/>
      <c r="B6219" s="6"/>
      <c r="C6219" s="6"/>
    </row>
    <row r="6220" s="1" customFormat="1" spans="1:3">
      <c r="A6220" s="6"/>
      <c r="B6220" s="6"/>
      <c r="C6220" s="6"/>
    </row>
    <row r="6221" s="1" customFormat="1" spans="1:3">
      <c r="A6221" s="6"/>
      <c r="B6221" s="6"/>
      <c r="C6221" s="6"/>
    </row>
    <row r="6222" s="1" customFormat="1" spans="1:3">
      <c r="A6222" s="6"/>
      <c r="B6222" s="6"/>
      <c r="C6222" s="6"/>
    </row>
    <row r="6223" s="1" customFormat="1" spans="1:3">
      <c r="A6223" s="6"/>
      <c r="B6223" s="6"/>
      <c r="C6223" s="6"/>
    </row>
    <row r="6224" s="1" customFormat="1" spans="1:3">
      <c r="A6224" s="6"/>
      <c r="B6224" s="6"/>
      <c r="C6224" s="6"/>
    </row>
    <row r="6225" s="1" customFormat="1" spans="1:3">
      <c r="A6225" s="6"/>
      <c r="B6225" s="6"/>
      <c r="C6225" s="6"/>
    </row>
    <row r="6226" s="1" customFormat="1" spans="1:3">
      <c r="A6226" s="6"/>
      <c r="B6226" s="6"/>
      <c r="C6226" s="6"/>
    </row>
    <row r="6227" s="1" customFormat="1" spans="1:3">
      <c r="A6227" s="6"/>
      <c r="B6227" s="6"/>
      <c r="C6227" s="6"/>
    </row>
    <row r="6228" s="1" customFormat="1" spans="1:3">
      <c r="A6228" s="6"/>
      <c r="B6228" s="6"/>
      <c r="C6228" s="6"/>
    </row>
    <row r="6229" s="1" customFormat="1" spans="1:3">
      <c r="A6229" s="6"/>
      <c r="B6229" s="6"/>
      <c r="C6229" s="6"/>
    </row>
    <row r="6230" s="1" customFormat="1" spans="1:3">
      <c r="A6230" s="6"/>
      <c r="B6230" s="6"/>
      <c r="C6230" s="6"/>
    </row>
    <row r="6231" s="1" customFormat="1" spans="1:3">
      <c r="A6231" s="6"/>
      <c r="B6231" s="6"/>
      <c r="C6231" s="6"/>
    </row>
    <row r="6232" s="1" customFormat="1" spans="1:3">
      <c r="A6232" s="6"/>
      <c r="B6232" s="6"/>
      <c r="C6232" s="6"/>
    </row>
    <row r="6233" s="1" customFormat="1" spans="1:3">
      <c r="A6233" s="6"/>
      <c r="B6233" s="6"/>
      <c r="C6233" s="6"/>
    </row>
    <row r="6234" s="1" customFormat="1" spans="1:3">
      <c r="A6234" s="6"/>
      <c r="B6234" s="6"/>
      <c r="C6234" s="6"/>
    </row>
    <row r="6235" s="1" customFormat="1" spans="1:3">
      <c r="A6235" s="6"/>
      <c r="B6235" s="6"/>
      <c r="C6235" s="6"/>
    </row>
    <row r="6236" s="1" customFormat="1" spans="1:3">
      <c r="A6236" s="6"/>
      <c r="B6236" s="6"/>
      <c r="C6236" s="6"/>
    </row>
    <row r="6237" s="1" customFormat="1" spans="1:3">
      <c r="A6237" s="6"/>
      <c r="B6237" s="6"/>
      <c r="C6237" s="6"/>
    </row>
    <row r="6238" s="1" customFormat="1" spans="1:3">
      <c r="A6238" s="6"/>
      <c r="B6238" s="6"/>
      <c r="C6238" s="6"/>
    </row>
    <row r="6239" s="1" customFormat="1" spans="1:3">
      <c r="A6239" s="6"/>
      <c r="B6239" s="6"/>
      <c r="C6239" s="6"/>
    </row>
    <row r="6240" s="1" customFormat="1" spans="1:3">
      <c r="A6240" s="6"/>
      <c r="B6240" s="6"/>
      <c r="C6240" s="6"/>
    </row>
    <row r="6241" s="1" customFormat="1" spans="1:3">
      <c r="A6241" s="6"/>
      <c r="B6241" s="6"/>
      <c r="C6241" s="6"/>
    </row>
    <row r="6242" s="1" customFormat="1" spans="1:3">
      <c r="A6242" s="6"/>
      <c r="B6242" s="6"/>
      <c r="C6242" s="6"/>
    </row>
    <row r="6243" s="1" customFormat="1" spans="1:3">
      <c r="A6243" s="6"/>
      <c r="B6243" s="6"/>
      <c r="C6243" s="6"/>
    </row>
    <row r="6244" s="1" customFormat="1" spans="1:3">
      <c r="A6244" s="6"/>
      <c r="B6244" s="6"/>
      <c r="C6244" s="6"/>
    </row>
    <row r="6245" s="1" customFormat="1" spans="1:3">
      <c r="A6245" s="6"/>
      <c r="B6245" s="6"/>
      <c r="C6245" s="6"/>
    </row>
    <row r="6246" s="1" customFormat="1" spans="1:3">
      <c r="A6246" s="6"/>
      <c r="B6246" s="6"/>
      <c r="C6246" s="6"/>
    </row>
    <row r="6247" s="1" customFormat="1" spans="1:3">
      <c r="A6247" s="6"/>
      <c r="B6247" s="6"/>
      <c r="C6247" s="6"/>
    </row>
    <row r="6248" s="1" customFormat="1" spans="1:3">
      <c r="A6248" s="6"/>
      <c r="B6248" s="6"/>
      <c r="C6248" s="6"/>
    </row>
    <row r="6249" s="1" customFormat="1" spans="1:3">
      <c r="A6249" s="6"/>
      <c r="B6249" s="6"/>
      <c r="C6249" s="6"/>
    </row>
    <row r="6250" s="1" customFormat="1" spans="1:3">
      <c r="A6250" s="6"/>
      <c r="B6250" s="6"/>
      <c r="C6250" s="6"/>
    </row>
    <row r="6251" s="1" customFormat="1" spans="1:3">
      <c r="A6251" s="6"/>
      <c r="B6251" s="6"/>
      <c r="C6251" s="6"/>
    </row>
    <row r="6252" s="1" customFormat="1" spans="1:3">
      <c r="A6252" s="6"/>
      <c r="B6252" s="6"/>
      <c r="C6252" s="6"/>
    </row>
    <row r="6253" s="1" customFormat="1" spans="1:3">
      <c r="A6253" s="6"/>
      <c r="B6253" s="6"/>
      <c r="C6253" s="6"/>
    </row>
    <row r="6254" s="1" customFormat="1" spans="1:3">
      <c r="A6254" s="6"/>
      <c r="B6254" s="6"/>
      <c r="C6254" s="6"/>
    </row>
    <row r="6255" s="1" customFormat="1" spans="1:3">
      <c r="A6255" s="6"/>
      <c r="B6255" s="6"/>
      <c r="C6255" s="6"/>
    </row>
    <row r="6256" s="1" customFormat="1" spans="1:3">
      <c r="A6256" s="6"/>
      <c r="B6256" s="6"/>
      <c r="C6256" s="6"/>
    </row>
    <row r="6257" s="1" customFormat="1" spans="1:3">
      <c r="A6257" s="6"/>
      <c r="B6257" s="6"/>
      <c r="C6257" s="6"/>
    </row>
    <row r="6258" s="1" customFormat="1" spans="1:3">
      <c r="A6258" s="6"/>
      <c r="B6258" s="6"/>
      <c r="C6258" s="6"/>
    </row>
    <row r="6259" s="1" customFormat="1" spans="1:3">
      <c r="A6259" s="6"/>
      <c r="B6259" s="6"/>
      <c r="C6259" s="6"/>
    </row>
    <row r="6260" s="1" customFormat="1" spans="1:3">
      <c r="A6260" s="6"/>
      <c r="B6260" s="6"/>
      <c r="C6260" s="6"/>
    </row>
    <row r="6261" s="1" customFormat="1" spans="1:3">
      <c r="A6261" s="6"/>
      <c r="B6261" s="6"/>
      <c r="C6261" s="6"/>
    </row>
    <row r="6262" s="1" customFormat="1" spans="1:3">
      <c r="A6262" s="6"/>
      <c r="B6262" s="6"/>
      <c r="C6262" s="6"/>
    </row>
    <row r="6263" s="1" customFormat="1" spans="1:3">
      <c r="A6263" s="6"/>
      <c r="B6263" s="6"/>
      <c r="C6263" s="6"/>
    </row>
    <row r="6264" s="1" customFormat="1" spans="1:3">
      <c r="A6264" s="6"/>
      <c r="B6264" s="6"/>
      <c r="C6264" s="6"/>
    </row>
    <row r="6265" s="1" customFormat="1" spans="1:3">
      <c r="A6265" s="6"/>
      <c r="B6265" s="6"/>
      <c r="C6265" s="6"/>
    </row>
    <row r="6266" s="1" customFormat="1" spans="1:3">
      <c r="A6266" s="6"/>
      <c r="B6266" s="6"/>
      <c r="C6266" s="6"/>
    </row>
    <row r="6267" s="1" customFormat="1" spans="1:3">
      <c r="A6267" s="6"/>
      <c r="B6267" s="6"/>
      <c r="C6267" s="6"/>
    </row>
    <row r="6268" s="1" customFormat="1" spans="1:3">
      <c r="A6268" s="6"/>
      <c r="B6268" s="6"/>
      <c r="C6268" s="6"/>
    </row>
    <row r="6269" s="1" customFormat="1" spans="1:3">
      <c r="A6269" s="6"/>
      <c r="B6269" s="6"/>
      <c r="C6269" s="6"/>
    </row>
    <row r="6270" s="1" customFormat="1" spans="1:3">
      <c r="A6270" s="6"/>
      <c r="B6270" s="6"/>
      <c r="C6270" s="6"/>
    </row>
    <row r="6271" s="1" customFormat="1" spans="1:3">
      <c r="A6271" s="6"/>
      <c r="B6271" s="6"/>
      <c r="C6271" s="6"/>
    </row>
    <row r="6272" s="1" customFormat="1" spans="1:3">
      <c r="A6272" s="6"/>
      <c r="B6272" s="6"/>
      <c r="C6272" s="6"/>
    </row>
    <row r="6273" s="1" customFormat="1" spans="1:3">
      <c r="A6273" s="6"/>
      <c r="B6273" s="6"/>
      <c r="C6273" s="6"/>
    </row>
    <row r="6274" s="1" customFormat="1" spans="1:3">
      <c r="A6274" s="6"/>
      <c r="B6274" s="6"/>
      <c r="C6274" s="6"/>
    </row>
    <row r="6275" s="1" customFormat="1" spans="1:3">
      <c r="A6275" s="6"/>
      <c r="B6275" s="6"/>
      <c r="C6275" s="6"/>
    </row>
    <row r="6276" s="1" customFormat="1" spans="1:3">
      <c r="A6276" s="6"/>
      <c r="B6276" s="6"/>
      <c r="C6276" s="6"/>
    </row>
    <row r="6277" s="1" customFormat="1" spans="1:3">
      <c r="A6277" s="6"/>
      <c r="B6277" s="6"/>
      <c r="C6277" s="6"/>
    </row>
    <row r="6278" s="1" customFormat="1" spans="1:3">
      <c r="A6278" s="6"/>
      <c r="B6278" s="6"/>
      <c r="C6278" s="6"/>
    </row>
    <row r="6279" s="1" customFormat="1" spans="1:3">
      <c r="A6279" s="6"/>
      <c r="B6279" s="6"/>
      <c r="C6279" s="6"/>
    </row>
    <row r="6280" s="1" customFormat="1" spans="1:3">
      <c r="A6280" s="6"/>
      <c r="B6280" s="6"/>
      <c r="C6280" s="6"/>
    </row>
    <row r="6281" s="1" customFormat="1" spans="1:3">
      <c r="A6281" s="6"/>
      <c r="B6281" s="6"/>
      <c r="C6281" s="6"/>
    </row>
    <row r="6282" s="1" customFormat="1" spans="1:3">
      <c r="A6282" s="6"/>
      <c r="B6282" s="6"/>
      <c r="C6282" s="6"/>
    </row>
    <row r="6283" s="1" customFormat="1" spans="1:3">
      <c r="A6283" s="6"/>
      <c r="B6283" s="6"/>
      <c r="C6283" s="6"/>
    </row>
    <row r="6284" s="1" customFormat="1" spans="1:3">
      <c r="A6284" s="6"/>
      <c r="B6284" s="6"/>
      <c r="C6284" s="6"/>
    </row>
    <row r="6285" s="1" customFormat="1" spans="1:3">
      <c r="A6285" s="6"/>
      <c r="B6285" s="6"/>
      <c r="C6285" s="6"/>
    </row>
    <row r="6286" s="1" customFormat="1" spans="1:3">
      <c r="A6286" s="6"/>
      <c r="B6286" s="6"/>
      <c r="C6286" s="6"/>
    </row>
    <row r="6287" s="1" customFormat="1" spans="1:3">
      <c r="A6287" s="6"/>
      <c r="B6287" s="6"/>
      <c r="C6287" s="6"/>
    </row>
    <row r="6288" s="1" customFormat="1" spans="1:3">
      <c r="A6288" s="6"/>
      <c r="B6288" s="6"/>
      <c r="C6288" s="6"/>
    </row>
    <row r="6289" s="1" customFormat="1" spans="1:3">
      <c r="A6289" s="6"/>
      <c r="B6289" s="6"/>
      <c r="C6289" s="6"/>
    </row>
    <row r="6290" s="1" customFormat="1" spans="1:3">
      <c r="A6290" s="6"/>
      <c r="B6290" s="6"/>
      <c r="C6290" s="6"/>
    </row>
    <row r="6291" s="1" customFormat="1" spans="1:3">
      <c r="A6291" s="6"/>
      <c r="B6291" s="6"/>
      <c r="C6291" s="6"/>
    </row>
    <row r="6292" s="1" customFormat="1" spans="1:3">
      <c r="A6292" s="6"/>
      <c r="B6292" s="6"/>
      <c r="C6292" s="6"/>
    </row>
    <row r="6293" s="1" customFormat="1" spans="1:3">
      <c r="A6293" s="6"/>
      <c r="B6293" s="6"/>
      <c r="C6293" s="6"/>
    </row>
    <row r="6294" s="1" customFormat="1" spans="1:3">
      <c r="A6294" s="6"/>
      <c r="B6294" s="6"/>
      <c r="C6294" s="6"/>
    </row>
    <row r="6295" s="1" customFormat="1" spans="1:3">
      <c r="A6295" s="6"/>
      <c r="B6295" s="6"/>
      <c r="C6295" s="6"/>
    </row>
    <row r="6296" s="1" customFormat="1" spans="1:3">
      <c r="A6296" s="6"/>
      <c r="B6296" s="6"/>
      <c r="C6296" s="6"/>
    </row>
    <row r="6297" s="1" customFormat="1" spans="1:3">
      <c r="A6297" s="6"/>
      <c r="B6297" s="6"/>
      <c r="C6297" s="6"/>
    </row>
    <row r="6298" s="1" customFormat="1" spans="1:3">
      <c r="A6298" s="6"/>
      <c r="B6298" s="6"/>
      <c r="C6298" s="6"/>
    </row>
    <row r="6299" s="1" customFormat="1" spans="1:3">
      <c r="A6299" s="6"/>
      <c r="B6299" s="6"/>
      <c r="C6299" s="6"/>
    </row>
    <row r="6300" s="1" customFormat="1" spans="1:3">
      <c r="A6300" s="6"/>
      <c r="B6300" s="6"/>
      <c r="C6300" s="6"/>
    </row>
    <row r="6301" s="1" customFormat="1" spans="1:3">
      <c r="A6301" s="6"/>
      <c r="B6301" s="6"/>
      <c r="C6301" s="6"/>
    </row>
    <row r="6302" s="1" customFormat="1" spans="1:3">
      <c r="A6302" s="6"/>
      <c r="B6302" s="6"/>
      <c r="C6302" s="6"/>
    </row>
    <row r="6303" s="1" customFormat="1" spans="1:3">
      <c r="A6303" s="6"/>
      <c r="B6303" s="6"/>
      <c r="C6303" s="6"/>
    </row>
    <row r="6304" s="1" customFormat="1" spans="1:3">
      <c r="A6304" s="6"/>
      <c r="B6304" s="6"/>
      <c r="C6304" s="6"/>
    </row>
    <row r="6305" s="1" customFormat="1" spans="1:3">
      <c r="A6305" s="6"/>
      <c r="B6305" s="6"/>
      <c r="C6305" s="6"/>
    </row>
    <row r="6306" s="1" customFormat="1" spans="1:3">
      <c r="A6306" s="6"/>
      <c r="B6306" s="6"/>
      <c r="C6306" s="6"/>
    </row>
    <row r="6307" s="1" customFormat="1" spans="1:3">
      <c r="A6307" s="6"/>
      <c r="B6307" s="6"/>
      <c r="C6307" s="6"/>
    </row>
    <row r="6308" s="1" customFormat="1" spans="1:3">
      <c r="A6308" s="6"/>
      <c r="B6308" s="6"/>
      <c r="C6308" s="6"/>
    </row>
    <row r="6309" s="1" customFormat="1" spans="1:3">
      <c r="A6309" s="6"/>
      <c r="B6309" s="6"/>
      <c r="C6309" s="6"/>
    </row>
    <row r="6310" s="1" customFormat="1" spans="1:3">
      <c r="A6310" s="6"/>
      <c r="B6310" s="6"/>
      <c r="C6310" s="6"/>
    </row>
    <row r="6311" s="1" customFormat="1" spans="1:3">
      <c r="A6311" s="6"/>
      <c r="B6311" s="6"/>
      <c r="C6311" s="6"/>
    </row>
    <row r="6312" s="1" customFormat="1" spans="1:3">
      <c r="A6312" s="6"/>
      <c r="B6312" s="6"/>
      <c r="C6312" s="6"/>
    </row>
    <row r="6313" s="1" customFormat="1" spans="1:3">
      <c r="A6313" s="6"/>
      <c r="B6313" s="6"/>
      <c r="C6313" s="6"/>
    </row>
    <row r="6314" s="1" customFormat="1" spans="1:3">
      <c r="A6314" s="6"/>
      <c r="B6314" s="6"/>
      <c r="C6314" s="6"/>
    </row>
    <row r="6315" s="1" customFormat="1" spans="1:3">
      <c r="A6315" s="6"/>
      <c r="B6315" s="6"/>
      <c r="C6315" s="6"/>
    </row>
    <row r="6316" s="1" customFormat="1" spans="1:3">
      <c r="A6316" s="6"/>
      <c r="B6316" s="6"/>
      <c r="C6316" s="6"/>
    </row>
    <row r="6317" s="1" customFormat="1" spans="1:3">
      <c r="A6317" s="6"/>
      <c r="B6317" s="6"/>
      <c r="C6317" s="6"/>
    </row>
    <row r="6318" s="1" customFormat="1" spans="1:3">
      <c r="A6318" s="6"/>
      <c r="B6318" s="6"/>
      <c r="C6318" s="6"/>
    </row>
    <row r="6319" s="1" customFormat="1" spans="1:3">
      <c r="A6319" s="6"/>
      <c r="B6319" s="6"/>
      <c r="C6319" s="6"/>
    </row>
    <row r="6320" s="1" customFormat="1" spans="1:3">
      <c r="A6320" s="6"/>
      <c r="B6320" s="6"/>
      <c r="C6320" s="6"/>
    </row>
    <row r="6321" s="1" customFormat="1" spans="1:3">
      <c r="A6321" s="6"/>
      <c r="B6321" s="6"/>
      <c r="C6321" s="6"/>
    </row>
    <row r="6322" s="1" customFormat="1" spans="1:3">
      <c r="A6322" s="6"/>
      <c r="B6322" s="6"/>
      <c r="C6322" s="6"/>
    </row>
    <row r="6323" s="1" customFormat="1" spans="1:3">
      <c r="A6323" s="6"/>
      <c r="B6323" s="6"/>
      <c r="C6323" s="6"/>
    </row>
    <row r="6324" s="1" customFormat="1" spans="1:3">
      <c r="A6324" s="6"/>
      <c r="B6324" s="6"/>
      <c r="C6324" s="6"/>
    </row>
    <row r="6325" s="1" customFormat="1" spans="1:3">
      <c r="A6325" s="6"/>
      <c r="B6325" s="6"/>
      <c r="C6325" s="6"/>
    </row>
    <row r="6326" s="1" customFormat="1" spans="1:3">
      <c r="A6326" s="6"/>
      <c r="B6326" s="6"/>
      <c r="C6326" s="6"/>
    </row>
    <row r="6327" s="1" customFormat="1" spans="1:3">
      <c r="A6327" s="6"/>
      <c r="B6327" s="6"/>
      <c r="C6327" s="6"/>
    </row>
    <row r="6328" s="1" customFormat="1" spans="1:3">
      <c r="A6328" s="6"/>
      <c r="B6328" s="6"/>
      <c r="C6328" s="6"/>
    </row>
    <row r="6329" s="1" customFormat="1" spans="1:3">
      <c r="A6329" s="6"/>
      <c r="B6329" s="6"/>
      <c r="C6329" s="6"/>
    </row>
    <row r="6330" s="1" customFormat="1" spans="1:3">
      <c r="A6330" s="6"/>
      <c r="B6330" s="6"/>
      <c r="C6330" s="6"/>
    </row>
    <row r="6331" s="1" customFormat="1" spans="1:3">
      <c r="A6331" s="6"/>
      <c r="B6331" s="6"/>
      <c r="C6331" s="6"/>
    </row>
    <row r="6332" s="1" customFormat="1" spans="1:3">
      <c r="A6332" s="6"/>
      <c r="B6332" s="6"/>
      <c r="C6332" s="6"/>
    </row>
    <row r="6333" s="1" customFormat="1" spans="1:3">
      <c r="A6333" s="6"/>
      <c r="B6333" s="6"/>
      <c r="C6333" s="6"/>
    </row>
    <row r="6334" s="1" customFormat="1" spans="1:3">
      <c r="A6334" s="6"/>
      <c r="B6334" s="6"/>
      <c r="C6334" s="6"/>
    </row>
    <row r="6335" s="1" customFormat="1" spans="1:3">
      <c r="A6335" s="6"/>
      <c r="B6335" s="6"/>
      <c r="C6335" s="6"/>
    </row>
    <row r="6336" s="1" customFormat="1" spans="1:3">
      <c r="A6336" s="6"/>
      <c r="B6336" s="6"/>
      <c r="C6336" s="6"/>
    </row>
    <row r="6337" s="1" customFormat="1" spans="1:3">
      <c r="A6337" s="6"/>
      <c r="B6337" s="6"/>
      <c r="C6337" s="6"/>
    </row>
    <row r="6338" s="1" customFormat="1" spans="1:3">
      <c r="A6338" s="6"/>
      <c r="B6338" s="6"/>
      <c r="C6338" s="6"/>
    </row>
    <row r="6339" s="1" customFormat="1" spans="1:3">
      <c r="A6339" s="6"/>
      <c r="B6339" s="6"/>
      <c r="C6339" s="6"/>
    </row>
    <row r="6340" s="1" customFormat="1" spans="1:3">
      <c r="A6340" s="6"/>
      <c r="B6340" s="6"/>
      <c r="C6340" s="6"/>
    </row>
    <row r="6341" s="1" customFormat="1" spans="1:3">
      <c r="A6341" s="6"/>
      <c r="B6341" s="6"/>
      <c r="C6341" s="6"/>
    </row>
    <row r="6342" s="1" customFormat="1" spans="1:3">
      <c r="A6342" s="6"/>
      <c r="B6342" s="6"/>
      <c r="C6342" s="6"/>
    </row>
    <row r="6343" s="1" customFormat="1" spans="1:3">
      <c r="A6343" s="6"/>
      <c r="B6343" s="6"/>
      <c r="C6343" s="6"/>
    </row>
    <row r="6344" s="1" customFormat="1" spans="1:3">
      <c r="A6344" s="6"/>
      <c r="B6344" s="6"/>
      <c r="C6344" s="6"/>
    </row>
    <row r="6345" s="1" customFormat="1" spans="1:3">
      <c r="A6345" s="6"/>
      <c r="B6345" s="6"/>
      <c r="C6345" s="6"/>
    </row>
    <row r="6346" s="1" customFormat="1" spans="1:3">
      <c r="A6346" s="6"/>
      <c r="B6346" s="6"/>
      <c r="C6346" s="6"/>
    </row>
    <row r="6347" s="1" customFormat="1" spans="1:3">
      <c r="A6347" s="6"/>
      <c r="B6347" s="6"/>
      <c r="C6347" s="6"/>
    </row>
    <row r="6348" s="1" customFormat="1" spans="1:3">
      <c r="A6348" s="6"/>
      <c r="B6348" s="6"/>
      <c r="C6348" s="6"/>
    </row>
    <row r="6349" s="1" customFormat="1" spans="1:3">
      <c r="A6349" s="6"/>
      <c r="B6349" s="6"/>
      <c r="C6349" s="6"/>
    </row>
    <row r="6350" s="1" customFormat="1" spans="1:3">
      <c r="A6350" s="6"/>
      <c r="B6350" s="6"/>
      <c r="C6350" s="6"/>
    </row>
    <row r="6351" s="1" customFormat="1" spans="1:3">
      <c r="A6351" s="6"/>
      <c r="B6351" s="6"/>
      <c r="C6351" s="6"/>
    </row>
    <row r="6352" s="1" customFormat="1" spans="1:3">
      <c r="A6352" s="6"/>
      <c r="B6352" s="6"/>
      <c r="C6352" s="6"/>
    </row>
    <row r="6353" s="1" customFormat="1" spans="1:3">
      <c r="A6353" s="6"/>
      <c r="B6353" s="6"/>
      <c r="C6353" s="6"/>
    </row>
    <row r="6354" s="1" customFormat="1" spans="1:3">
      <c r="A6354" s="6"/>
      <c r="B6354" s="6"/>
      <c r="C6354" s="6"/>
    </row>
    <row r="6355" s="1" customFormat="1" spans="1:3">
      <c r="A6355" s="6"/>
      <c r="B6355" s="6"/>
      <c r="C6355" s="6"/>
    </row>
    <row r="6356" s="1" customFormat="1" spans="1:3">
      <c r="A6356" s="6"/>
      <c r="B6356" s="6"/>
      <c r="C6356" s="6"/>
    </row>
    <row r="6357" s="1" customFormat="1" spans="1:3">
      <c r="A6357" s="6"/>
      <c r="B6357" s="6"/>
      <c r="C6357" s="6"/>
    </row>
    <row r="6358" s="1" customFormat="1" spans="1:3">
      <c r="A6358" s="6"/>
      <c r="B6358" s="6"/>
      <c r="C6358" s="6"/>
    </row>
    <row r="6359" s="1" customFormat="1" spans="1:3">
      <c r="A6359" s="6"/>
      <c r="B6359" s="6"/>
      <c r="C6359" s="6"/>
    </row>
    <row r="6360" s="1" customFormat="1" spans="1:3">
      <c r="A6360" s="6"/>
      <c r="B6360" s="6"/>
      <c r="C6360" s="6"/>
    </row>
    <row r="6361" s="1" customFormat="1" spans="1:3">
      <c r="A6361" s="6"/>
      <c r="B6361" s="6"/>
      <c r="C6361" s="6"/>
    </row>
    <row r="6362" s="1" customFormat="1" spans="1:3">
      <c r="A6362" s="6"/>
      <c r="B6362" s="6"/>
      <c r="C6362" s="6"/>
    </row>
    <row r="6363" s="1" customFormat="1" spans="1:3">
      <c r="A6363" s="6"/>
      <c r="B6363" s="6"/>
      <c r="C6363" s="6"/>
    </row>
    <row r="6364" s="1" customFormat="1" spans="1:3">
      <c r="A6364" s="6"/>
      <c r="B6364" s="6"/>
      <c r="C6364" s="6"/>
    </row>
    <row r="6365" s="1" customFormat="1" spans="1:3">
      <c r="A6365" s="6"/>
      <c r="B6365" s="6"/>
      <c r="C6365" s="6"/>
    </row>
    <row r="6366" s="1" customFormat="1" spans="1:3">
      <c r="A6366" s="6"/>
      <c r="B6366" s="6"/>
      <c r="C6366" s="6"/>
    </row>
    <row r="6367" s="1" customFormat="1" spans="1:3">
      <c r="A6367" s="6"/>
      <c r="B6367" s="6"/>
      <c r="C6367" s="6"/>
    </row>
    <row r="6368" s="1" customFormat="1" spans="1:3">
      <c r="A6368" s="6"/>
      <c r="B6368" s="6"/>
      <c r="C6368" s="6"/>
    </row>
    <row r="6369" s="1" customFormat="1" spans="1:3">
      <c r="A6369" s="6"/>
      <c r="B6369" s="6"/>
      <c r="C6369" s="6"/>
    </row>
    <row r="6370" s="1" customFormat="1" spans="1:3">
      <c r="A6370" s="6"/>
      <c r="B6370" s="6"/>
      <c r="C6370" s="6"/>
    </row>
    <row r="6371" s="1" customFormat="1" spans="1:3">
      <c r="A6371" s="6"/>
      <c r="B6371" s="6"/>
      <c r="C6371" s="6"/>
    </row>
    <row r="6372" s="1" customFormat="1" spans="1:3">
      <c r="A6372" s="6"/>
      <c r="B6372" s="6"/>
      <c r="C6372" s="6"/>
    </row>
    <row r="6373" s="1" customFormat="1" spans="1:3">
      <c r="A6373" s="6"/>
      <c r="B6373" s="6"/>
      <c r="C6373" s="6"/>
    </row>
    <row r="6374" s="1" customFormat="1" spans="1:3">
      <c r="A6374" s="6"/>
      <c r="B6374" s="6"/>
      <c r="C6374" s="6"/>
    </row>
    <row r="6375" s="1" customFormat="1" spans="1:3">
      <c r="A6375" s="6"/>
      <c r="B6375" s="6"/>
      <c r="C6375" s="6"/>
    </row>
    <row r="6376" s="1" customFormat="1" spans="1:3">
      <c r="A6376" s="6"/>
      <c r="B6376" s="6"/>
      <c r="C6376" s="6"/>
    </row>
    <row r="6377" s="1" customFormat="1" spans="1:3">
      <c r="A6377" s="6"/>
      <c r="B6377" s="6"/>
      <c r="C6377" s="6"/>
    </row>
    <row r="6378" s="1" customFormat="1" spans="1:3">
      <c r="A6378" s="6"/>
      <c r="B6378" s="6"/>
      <c r="C6378" s="6"/>
    </row>
    <row r="6379" s="1" customFormat="1" spans="1:3">
      <c r="A6379" s="6"/>
      <c r="B6379" s="6"/>
      <c r="C6379" s="6"/>
    </row>
    <row r="6380" s="1" customFormat="1" spans="1:3">
      <c r="A6380" s="6"/>
      <c r="B6380" s="6"/>
      <c r="C6380" s="6"/>
    </row>
    <row r="6381" s="1" customFormat="1" spans="1:3">
      <c r="A6381" s="6"/>
      <c r="B6381" s="6"/>
      <c r="C6381" s="6"/>
    </row>
    <row r="6382" s="1" customFormat="1" spans="1:3">
      <c r="A6382" s="6"/>
      <c r="B6382" s="6"/>
      <c r="C6382" s="6"/>
    </row>
    <row r="6383" s="1" customFormat="1" spans="1:3">
      <c r="A6383" s="6"/>
      <c r="B6383" s="6"/>
      <c r="C6383" s="6"/>
    </row>
    <row r="6384" s="1" customFormat="1" spans="1:3">
      <c r="A6384" s="6"/>
      <c r="B6384" s="6"/>
      <c r="C6384" s="6"/>
    </row>
    <row r="6385" s="1" customFormat="1" spans="1:3">
      <c r="A6385" s="6"/>
      <c r="B6385" s="6"/>
      <c r="C6385" s="6"/>
    </row>
    <row r="6386" s="1" customFormat="1" spans="1:3">
      <c r="A6386" s="6"/>
      <c r="B6386" s="6"/>
      <c r="C6386" s="6"/>
    </row>
    <row r="6387" s="1" customFormat="1" spans="1:3">
      <c r="A6387" s="6"/>
      <c r="B6387" s="6"/>
      <c r="C6387" s="6"/>
    </row>
    <row r="6388" s="1" customFormat="1" spans="1:3">
      <c r="A6388" s="6"/>
      <c r="B6388" s="6"/>
      <c r="C6388" s="6"/>
    </row>
    <row r="6389" s="1" customFormat="1" spans="1:3">
      <c r="A6389" s="6"/>
      <c r="B6389" s="6"/>
      <c r="C6389" s="6"/>
    </row>
    <row r="6390" s="1" customFormat="1" spans="1:3">
      <c r="A6390" s="6"/>
      <c r="B6390" s="6"/>
      <c r="C6390" s="6"/>
    </row>
    <row r="6391" s="1" customFormat="1" spans="1:3">
      <c r="A6391" s="6"/>
      <c r="B6391" s="6"/>
      <c r="C6391" s="6"/>
    </row>
    <row r="6392" s="1" customFormat="1" spans="1:3">
      <c r="A6392" s="6"/>
      <c r="B6392" s="6"/>
      <c r="C6392" s="6"/>
    </row>
    <row r="6393" s="1" customFormat="1" spans="1:3">
      <c r="A6393" s="6"/>
      <c r="B6393" s="6"/>
      <c r="C6393" s="6"/>
    </row>
    <row r="6394" s="1" customFormat="1" spans="1:3">
      <c r="A6394" s="6"/>
      <c r="B6394" s="6"/>
      <c r="C6394" s="6"/>
    </row>
    <row r="6395" s="1" customFormat="1" spans="1:3">
      <c r="A6395" s="6"/>
      <c r="B6395" s="6"/>
      <c r="C6395" s="6"/>
    </row>
    <row r="6396" s="1" customFormat="1" spans="1:3">
      <c r="A6396" s="6"/>
      <c r="B6396" s="6"/>
      <c r="C6396" s="6"/>
    </row>
    <row r="6397" s="1" customFormat="1" spans="1:3">
      <c r="A6397" s="6"/>
      <c r="B6397" s="6"/>
      <c r="C6397" s="6"/>
    </row>
    <row r="6398" s="1" customFormat="1" spans="1:3">
      <c r="A6398" s="6"/>
      <c r="B6398" s="6"/>
      <c r="C6398" s="6"/>
    </row>
    <row r="6399" s="1" customFormat="1" spans="1:3">
      <c r="A6399" s="6"/>
      <c r="B6399" s="6"/>
      <c r="C6399" s="6"/>
    </row>
    <row r="6400" s="1" customFormat="1" spans="1:3">
      <c r="A6400" s="6"/>
      <c r="B6400" s="6"/>
      <c r="C6400" s="6"/>
    </row>
    <row r="6401" s="1" customFormat="1" spans="1:3">
      <c r="A6401" s="6"/>
      <c r="B6401" s="6"/>
      <c r="C6401" s="6"/>
    </row>
    <row r="6402" s="1" customFormat="1" spans="1:3">
      <c r="A6402" s="6"/>
      <c r="B6402" s="6"/>
      <c r="C6402" s="6"/>
    </row>
    <row r="6403" s="1" customFormat="1" spans="1:3">
      <c r="A6403" s="6"/>
      <c r="B6403" s="6"/>
      <c r="C6403" s="6"/>
    </row>
    <row r="6404" s="1" customFormat="1" spans="1:3">
      <c r="A6404" s="6"/>
      <c r="B6404" s="6"/>
      <c r="C6404" s="6"/>
    </row>
    <row r="6405" s="1" customFormat="1" spans="1:3">
      <c r="A6405" s="6"/>
      <c r="B6405" s="6"/>
      <c r="C6405" s="6"/>
    </row>
    <row r="6406" s="1" customFormat="1" spans="1:3">
      <c r="A6406" s="6"/>
      <c r="B6406" s="6"/>
      <c r="C6406" s="6"/>
    </row>
    <row r="6407" s="1" customFormat="1" spans="1:3">
      <c r="A6407" s="6"/>
      <c r="B6407" s="6"/>
      <c r="C6407" s="6"/>
    </row>
    <row r="6408" s="1" customFormat="1" spans="1:3">
      <c r="A6408" s="6"/>
      <c r="B6408" s="6"/>
      <c r="C6408" s="6"/>
    </row>
    <row r="6409" s="1" customFormat="1" spans="1:3">
      <c r="A6409" s="6"/>
      <c r="B6409" s="6"/>
      <c r="C6409" s="6"/>
    </row>
    <row r="6410" s="1" customFormat="1" spans="1:3">
      <c r="A6410" s="6"/>
      <c r="B6410" s="6"/>
      <c r="C6410" s="6"/>
    </row>
    <row r="6411" s="1" customFormat="1" spans="1:3">
      <c r="A6411" s="6"/>
      <c r="B6411" s="6"/>
      <c r="C6411" s="6"/>
    </row>
    <row r="6412" s="1" customFormat="1" spans="1:3">
      <c r="A6412" s="6"/>
      <c r="B6412" s="6"/>
      <c r="C6412" s="6"/>
    </row>
    <row r="6413" s="1" customFormat="1" spans="1:3">
      <c r="A6413" s="6"/>
      <c r="B6413" s="6"/>
      <c r="C6413" s="6"/>
    </row>
    <row r="6414" s="1" customFormat="1" spans="1:3">
      <c r="A6414" s="6"/>
      <c r="B6414" s="6"/>
      <c r="C6414" s="6"/>
    </row>
    <row r="6415" s="1" customFormat="1" spans="1:3">
      <c r="A6415" s="6"/>
      <c r="B6415" s="6"/>
      <c r="C6415" s="6"/>
    </row>
    <row r="6416" s="1" customFormat="1" spans="1:3">
      <c r="A6416" s="6"/>
      <c r="B6416" s="6"/>
      <c r="C6416" s="6"/>
    </row>
    <row r="6417" s="1" customFormat="1" spans="1:3">
      <c r="A6417" s="6"/>
      <c r="B6417" s="6"/>
      <c r="C6417" s="6"/>
    </row>
    <row r="6418" s="1" customFormat="1" spans="1:3">
      <c r="A6418" s="6"/>
      <c r="B6418" s="6"/>
      <c r="C6418" s="6"/>
    </row>
    <row r="6419" s="1" customFormat="1" spans="1:3">
      <c r="A6419" s="6"/>
      <c r="B6419" s="6"/>
      <c r="C6419" s="6"/>
    </row>
    <row r="6420" s="1" customFormat="1" spans="1:3">
      <c r="A6420" s="6"/>
      <c r="B6420" s="6"/>
      <c r="C6420" s="6"/>
    </row>
    <row r="6421" s="1" customFormat="1" spans="1:3">
      <c r="A6421" s="6"/>
      <c r="B6421" s="6"/>
      <c r="C6421" s="6"/>
    </row>
    <row r="6422" s="1" customFormat="1" spans="1:3">
      <c r="A6422" s="6"/>
      <c r="B6422" s="6"/>
      <c r="C6422" s="6"/>
    </row>
    <row r="6423" s="1" customFormat="1" spans="1:3">
      <c r="A6423" s="6"/>
      <c r="B6423" s="6"/>
      <c r="C6423" s="6"/>
    </row>
    <row r="6424" s="1" customFormat="1" spans="1:3">
      <c r="A6424" s="6"/>
      <c r="B6424" s="6"/>
      <c r="C6424" s="6"/>
    </row>
    <row r="6425" s="1" customFormat="1" spans="1:3">
      <c r="A6425" s="6"/>
      <c r="B6425" s="6"/>
      <c r="C6425" s="6"/>
    </row>
    <row r="6426" s="1" customFormat="1" spans="1:3">
      <c r="A6426" s="6"/>
      <c r="B6426" s="6"/>
      <c r="C6426" s="6"/>
    </row>
    <row r="6427" s="1" customFormat="1" spans="1:3">
      <c r="A6427" s="6"/>
      <c r="B6427" s="6"/>
      <c r="C6427" s="6"/>
    </row>
    <row r="6428" s="1" customFormat="1" spans="1:3">
      <c r="A6428" s="6"/>
      <c r="B6428" s="6"/>
      <c r="C6428" s="6"/>
    </row>
    <row r="6429" s="1" customFormat="1" spans="1:3">
      <c r="A6429" s="6"/>
      <c r="B6429" s="6"/>
      <c r="C6429" s="6"/>
    </row>
    <row r="6430" s="1" customFormat="1" spans="1:3">
      <c r="A6430" s="6"/>
      <c r="B6430" s="6"/>
      <c r="C6430" s="6"/>
    </row>
    <row r="6431" s="1" customFormat="1" spans="1:3">
      <c r="A6431" s="6"/>
      <c r="B6431" s="6"/>
      <c r="C6431" s="6"/>
    </row>
    <row r="6432" s="1" customFormat="1" spans="1:3">
      <c r="A6432" s="6"/>
      <c r="B6432" s="6"/>
      <c r="C6432" s="6"/>
    </row>
    <row r="6433" s="1" customFormat="1" spans="1:3">
      <c r="A6433" s="6"/>
      <c r="B6433" s="6"/>
      <c r="C6433" s="6"/>
    </row>
    <row r="6434" s="1" customFormat="1" spans="1:3">
      <c r="A6434" s="6"/>
      <c r="B6434" s="6"/>
      <c r="C6434" s="6"/>
    </row>
    <row r="6435" s="1" customFormat="1" spans="1:3">
      <c r="A6435" s="6"/>
      <c r="B6435" s="6"/>
      <c r="C6435" s="6"/>
    </row>
    <row r="6436" s="1" customFormat="1" spans="1:3">
      <c r="A6436" s="6"/>
      <c r="B6436" s="6"/>
      <c r="C6436" s="6"/>
    </row>
    <row r="6437" s="1" customFormat="1" spans="1:3">
      <c r="A6437" s="6"/>
      <c r="B6437" s="6"/>
      <c r="C6437" s="6"/>
    </row>
    <row r="6438" s="1" customFormat="1" spans="1:3">
      <c r="A6438" s="6"/>
      <c r="B6438" s="6"/>
      <c r="C6438" s="6"/>
    </row>
    <row r="6439" s="1" customFormat="1" spans="1:3">
      <c r="A6439" s="6"/>
      <c r="B6439" s="6"/>
      <c r="C6439" s="6"/>
    </row>
    <row r="6440" s="1" customFormat="1" spans="1:3">
      <c r="A6440" s="6"/>
      <c r="B6440" s="6"/>
      <c r="C6440" s="6"/>
    </row>
    <row r="6441" s="1" customFormat="1" spans="1:3">
      <c r="A6441" s="6"/>
      <c r="B6441" s="6"/>
      <c r="C6441" s="6"/>
    </row>
    <row r="6442" s="1" customFormat="1" spans="1:3">
      <c r="A6442" s="6"/>
      <c r="B6442" s="6"/>
      <c r="C6442" s="6"/>
    </row>
    <row r="6443" s="1" customFormat="1" spans="1:3">
      <c r="A6443" s="6"/>
      <c r="B6443" s="6"/>
      <c r="C6443" s="6"/>
    </row>
    <row r="6444" s="1" customFormat="1" spans="1:3">
      <c r="A6444" s="6"/>
      <c r="B6444" s="6"/>
      <c r="C6444" s="6"/>
    </row>
    <row r="6445" s="1" customFormat="1" spans="1:3">
      <c r="A6445" s="6"/>
      <c r="B6445" s="6"/>
      <c r="C6445" s="6"/>
    </row>
    <row r="6446" s="1" customFormat="1" spans="1:3">
      <c r="A6446" s="6"/>
      <c r="B6446" s="6"/>
      <c r="C6446" s="6"/>
    </row>
    <row r="6447" s="1" customFormat="1" spans="1:3">
      <c r="A6447" s="6"/>
      <c r="B6447" s="6"/>
      <c r="C6447" s="6"/>
    </row>
    <row r="6448" s="1" customFormat="1" spans="1:3">
      <c r="A6448" s="6"/>
      <c r="B6448" s="6"/>
      <c r="C6448" s="6"/>
    </row>
    <row r="6449" s="1" customFormat="1" spans="1:3">
      <c r="A6449" s="6"/>
      <c r="B6449" s="6"/>
      <c r="C6449" s="6"/>
    </row>
    <row r="6450" s="1" customFormat="1" spans="1:3">
      <c r="A6450" s="6"/>
      <c r="B6450" s="6"/>
      <c r="C6450" s="6"/>
    </row>
    <row r="6451" s="1" customFormat="1" spans="1:3">
      <c r="A6451" s="6"/>
      <c r="B6451" s="6"/>
      <c r="C6451" s="6"/>
    </row>
    <row r="6452" s="1" customFormat="1" spans="1:3">
      <c r="A6452" s="6"/>
      <c r="B6452" s="6"/>
      <c r="C6452" s="6"/>
    </row>
    <row r="6453" s="1" customFormat="1" spans="1:3">
      <c r="A6453" s="6"/>
      <c r="B6453" s="6"/>
      <c r="C6453" s="6"/>
    </row>
    <row r="6454" s="1" customFormat="1" spans="1:3">
      <c r="A6454" s="6"/>
      <c r="B6454" s="6"/>
      <c r="C6454" s="6"/>
    </row>
    <row r="6455" s="1" customFormat="1" spans="1:3">
      <c r="A6455" s="6"/>
      <c r="B6455" s="6"/>
      <c r="C6455" s="6"/>
    </row>
    <row r="6456" s="1" customFormat="1" spans="1:3">
      <c r="A6456" s="6"/>
      <c r="B6456" s="6"/>
      <c r="C6456" s="6"/>
    </row>
    <row r="6457" s="1" customFormat="1" spans="1:3">
      <c r="A6457" s="6"/>
      <c r="B6457" s="6"/>
      <c r="C6457" s="6"/>
    </row>
    <row r="6458" s="1" customFormat="1" spans="1:3">
      <c r="A6458" s="6"/>
      <c r="B6458" s="6"/>
      <c r="C6458" s="6"/>
    </row>
    <row r="6459" s="1" customFormat="1" spans="1:3">
      <c r="A6459" s="6"/>
      <c r="B6459" s="6"/>
      <c r="C6459" s="6"/>
    </row>
    <row r="6460" s="1" customFormat="1" spans="1:3">
      <c r="A6460" s="6"/>
      <c r="B6460" s="6"/>
      <c r="C6460" s="6"/>
    </row>
    <row r="6461" s="1" customFormat="1" spans="1:3">
      <c r="A6461" s="6"/>
      <c r="B6461" s="6"/>
      <c r="C6461" s="6"/>
    </row>
    <row r="6462" s="1" customFormat="1" spans="1:3">
      <c r="A6462" s="6"/>
      <c r="B6462" s="6"/>
      <c r="C6462" s="6"/>
    </row>
    <row r="6463" s="1" customFormat="1" spans="1:3">
      <c r="A6463" s="6"/>
      <c r="B6463" s="6"/>
      <c r="C6463" s="6"/>
    </row>
    <row r="6464" s="1" customFormat="1" spans="1:3">
      <c r="A6464" s="6"/>
      <c r="B6464" s="6"/>
      <c r="C6464" s="6"/>
    </row>
    <row r="6465" s="1" customFormat="1" spans="1:3">
      <c r="A6465" s="6"/>
      <c r="B6465" s="6"/>
      <c r="C6465" s="6"/>
    </row>
    <row r="6466" s="1" customFormat="1" spans="1:3">
      <c r="A6466" s="6"/>
      <c r="B6466" s="6"/>
      <c r="C6466" s="6"/>
    </row>
    <row r="6467" s="1" customFormat="1" spans="1:3">
      <c r="A6467" s="6"/>
      <c r="B6467" s="6"/>
      <c r="C6467" s="6"/>
    </row>
    <row r="6468" s="1" customFormat="1" spans="1:3">
      <c r="A6468" s="6"/>
      <c r="B6468" s="6"/>
      <c r="C6468" s="6"/>
    </row>
    <row r="6469" s="1" customFormat="1" spans="1:3">
      <c r="A6469" s="6"/>
      <c r="B6469" s="6"/>
      <c r="C6469" s="6"/>
    </row>
    <row r="6470" s="1" customFormat="1" spans="1:3">
      <c r="A6470" s="6"/>
      <c r="B6470" s="6"/>
      <c r="C6470" s="6"/>
    </row>
    <row r="6471" s="1" customFormat="1" spans="1:3">
      <c r="A6471" s="6"/>
      <c r="B6471" s="6"/>
      <c r="C6471" s="6"/>
    </row>
    <row r="6472" s="1" customFormat="1" spans="1:3">
      <c r="A6472" s="6"/>
      <c r="B6472" s="6"/>
      <c r="C6472" s="6"/>
    </row>
    <row r="6473" s="1" customFormat="1" spans="1:3">
      <c r="A6473" s="6"/>
      <c r="B6473" s="6"/>
      <c r="C6473" s="6"/>
    </row>
    <row r="6474" s="1" customFormat="1" spans="1:3">
      <c r="A6474" s="6"/>
      <c r="B6474" s="6"/>
      <c r="C6474" s="6"/>
    </row>
    <row r="6475" s="1" customFormat="1" spans="1:3">
      <c r="A6475" s="6"/>
      <c r="B6475" s="6"/>
      <c r="C6475" s="6"/>
    </row>
    <row r="6476" s="1" customFormat="1" spans="1:3">
      <c r="A6476" s="6"/>
      <c r="B6476" s="6"/>
      <c r="C6476" s="6"/>
    </row>
    <row r="6477" s="1" customFormat="1" spans="1:3">
      <c r="A6477" s="6"/>
      <c r="B6477" s="6"/>
      <c r="C6477" s="6"/>
    </row>
    <row r="6478" s="1" customFormat="1" spans="1:3">
      <c r="A6478" s="6"/>
      <c r="B6478" s="6"/>
      <c r="C6478" s="6"/>
    </row>
    <row r="6479" s="1" customFormat="1" spans="1:3">
      <c r="A6479" s="6"/>
      <c r="B6479" s="6"/>
      <c r="C6479" s="6"/>
    </row>
    <row r="6480" s="1" customFormat="1" spans="1:3">
      <c r="A6480" s="6"/>
      <c r="B6480" s="6"/>
      <c r="C6480" s="6"/>
    </row>
    <row r="6481" s="1" customFormat="1" spans="1:3">
      <c r="A6481" s="6"/>
      <c r="B6481" s="6"/>
      <c r="C6481" s="6"/>
    </row>
    <row r="6482" s="1" customFormat="1" spans="1:3">
      <c r="A6482" s="6"/>
      <c r="B6482" s="6"/>
      <c r="C6482" s="6"/>
    </row>
    <row r="6483" s="1" customFormat="1" spans="1:3">
      <c r="A6483" s="6"/>
      <c r="B6483" s="6"/>
      <c r="C6483" s="6"/>
    </row>
    <row r="6484" s="1" customFormat="1" spans="1:3">
      <c r="A6484" s="6"/>
      <c r="B6484" s="6"/>
      <c r="C6484" s="6"/>
    </row>
    <row r="6485" s="1" customFormat="1" spans="1:3">
      <c r="A6485" s="6"/>
      <c r="B6485" s="6"/>
      <c r="C6485" s="6"/>
    </row>
    <row r="6486" s="1" customFormat="1" spans="1:3">
      <c r="A6486" s="6"/>
      <c r="B6486" s="6"/>
      <c r="C6486" s="6"/>
    </row>
    <row r="6487" s="1" customFormat="1" spans="1:3">
      <c r="A6487" s="6"/>
      <c r="B6487" s="6"/>
      <c r="C6487" s="6"/>
    </row>
    <row r="6488" s="1" customFormat="1" spans="1:3">
      <c r="A6488" s="6"/>
      <c r="B6488" s="6"/>
      <c r="C6488" s="6"/>
    </row>
    <row r="6489" s="1" customFormat="1" spans="1:3">
      <c r="A6489" s="6"/>
      <c r="B6489" s="6"/>
      <c r="C6489" s="6"/>
    </row>
    <row r="6490" s="1" customFormat="1" spans="1:3">
      <c r="A6490" s="6"/>
      <c r="B6490" s="6"/>
      <c r="C6490" s="6"/>
    </row>
    <row r="6491" s="1" customFormat="1" spans="1:3">
      <c r="A6491" s="6"/>
      <c r="B6491" s="6"/>
      <c r="C6491" s="6"/>
    </row>
    <row r="6492" s="1" customFormat="1" spans="1:3">
      <c r="A6492" s="6"/>
      <c r="B6492" s="6"/>
      <c r="C6492" s="6"/>
    </row>
    <row r="6493" s="1" customFormat="1" spans="1:3">
      <c r="A6493" s="6"/>
      <c r="B6493" s="6"/>
      <c r="C6493" s="6"/>
    </row>
    <row r="6494" s="1" customFormat="1" spans="1:3">
      <c r="A6494" s="6"/>
      <c r="B6494" s="6"/>
      <c r="C6494" s="6"/>
    </row>
    <row r="6495" s="1" customFormat="1" spans="1:3">
      <c r="A6495" s="6"/>
      <c r="B6495" s="6"/>
      <c r="C6495" s="6"/>
    </row>
    <row r="6496" s="1" customFormat="1" spans="1:3">
      <c r="A6496" s="6"/>
      <c r="B6496" s="6"/>
      <c r="C6496" s="6"/>
    </row>
    <row r="6497" s="1" customFormat="1" spans="1:3">
      <c r="A6497" s="6"/>
      <c r="B6497" s="6"/>
      <c r="C6497" s="6"/>
    </row>
    <row r="6498" s="1" customFormat="1" spans="1:3">
      <c r="A6498" s="6"/>
      <c r="B6498" s="6"/>
      <c r="C6498" s="6"/>
    </row>
    <row r="6499" s="1" customFormat="1" spans="1:3">
      <c r="A6499" s="6"/>
      <c r="B6499" s="6"/>
      <c r="C6499" s="6"/>
    </row>
    <row r="6500" s="1" customFormat="1" spans="1:3">
      <c r="A6500" s="6"/>
      <c r="B6500" s="6"/>
      <c r="C6500" s="6"/>
    </row>
    <row r="6501" s="1" customFormat="1" spans="1:3">
      <c r="A6501" s="6"/>
      <c r="B6501" s="6"/>
      <c r="C6501" s="6"/>
    </row>
    <row r="6502" s="1" customFormat="1" spans="1:3">
      <c r="A6502" s="6"/>
      <c r="B6502" s="6"/>
      <c r="C6502" s="6"/>
    </row>
    <row r="6503" s="1" customFormat="1" spans="1:3">
      <c r="A6503" s="6"/>
      <c r="B6503" s="6"/>
      <c r="C6503" s="6"/>
    </row>
    <row r="6504" s="1" customFormat="1" spans="1:3">
      <c r="A6504" s="6"/>
      <c r="B6504" s="6"/>
      <c r="C6504" s="6"/>
    </row>
    <row r="6505" s="1" customFormat="1" spans="1:3">
      <c r="A6505" s="6"/>
      <c r="B6505" s="6"/>
      <c r="C6505" s="6"/>
    </row>
    <row r="6506" s="1" customFormat="1" spans="1:3">
      <c r="A6506" s="6"/>
      <c r="B6506" s="6"/>
      <c r="C6506" s="6"/>
    </row>
    <row r="6507" s="1" customFormat="1" spans="1:3">
      <c r="A6507" s="6"/>
      <c r="B6507" s="6"/>
      <c r="C6507" s="6"/>
    </row>
    <row r="6508" s="1" customFormat="1" spans="1:3">
      <c r="A6508" s="6"/>
      <c r="B6508" s="6"/>
      <c r="C6508" s="6"/>
    </row>
    <row r="6509" s="1" customFormat="1" spans="1:3">
      <c r="A6509" s="6"/>
      <c r="B6509" s="6"/>
      <c r="C6509" s="6"/>
    </row>
    <row r="6510" s="1" customFormat="1" spans="1:3">
      <c r="A6510" s="6"/>
      <c r="B6510" s="6"/>
      <c r="C6510" s="6"/>
    </row>
    <row r="6511" s="1" customFormat="1" spans="1:3">
      <c r="A6511" s="6"/>
      <c r="B6511" s="6"/>
      <c r="C6511" s="6"/>
    </row>
    <row r="6512" s="1" customFormat="1" spans="1:3">
      <c r="A6512" s="6"/>
      <c r="B6512" s="6"/>
      <c r="C6512" s="6"/>
    </row>
    <row r="6513" s="1" customFormat="1" spans="1:3">
      <c r="A6513" s="6"/>
      <c r="B6513" s="6"/>
      <c r="C6513" s="6"/>
    </row>
    <row r="6514" s="1" customFormat="1" spans="1:3">
      <c r="A6514" s="6"/>
      <c r="B6514" s="6"/>
      <c r="C6514" s="6"/>
    </row>
    <row r="6515" s="1" customFormat="1" spans="1:3">
      <c r="A6515" s="6"/>
      <c r="B6515" s="6"/>
      <c r="C6515" s="6"/>
    </row>
    <row r="6516" s="1" customFormat="1" spans="1:3">
      <c r="A6516" s="6"/>
      <c r="B6516" s="6"/>
      <c r="C6516" s="6"/>
    </row>
    <row r="6517" s="1" customFormat="1" spans="1:3">
      <c r="A6517" s="6"/>
      <c r="B6517" s="6"/>
      <c r="C6517" s="6"/>
    </row>
    <row r="6518" s="1" customFormat="1" spans="1:3">
      <c r="A6518" s="6"/>
      <c r="B6518" s="6"/>
      <c r="C6518" s="6"/>
    </row>
    <row r="6519" s="1" customFormat="1" spans="1:3">
      <c r="A6519" s="6"/>
      <c r="B6519" s="6"/>
      <c r="C6519" s="6"/>
    </row>
    <row r="6520" s="1" customFormat="1" spans="1:3">
      <c r="A6520" s="6"/>
      <c r="B6520" s="6"/>
      <c r="C6520" s="6"/>
    </row>
    <row r="6521" s="1" customFormat="1" spans="1:3">
      <c r="A6521" s="6"/>
      <c r="B6521" s="6"/>
      <c r="C6521" s="6"/>
    </row>
    <row r="6522" s="1" customFormat="1" spans="1:3">
      <c r="A6522" s="6"/>
      <c r="B6522" s="6"/>
      <c r="C6522" s="6"/>
    </row>
    <row r="6523" s="1" customFormat="1" spans="1:3">
      <c r="A6523" s="6"/>
      <c r="B6523" s="6"/>
      <c r="C6523" s="6"/>
    </row>
    <row r="6524" s="1" customFormat="1" spans="1:3">
      <c r="A6524" s="6"/>
      <c r="B6524" s="6"/>
      <c r="C6524" s="6"/>
    </row>
    <row r="6525" s="1" customFormat="1" spans="1:3">
      <c r="A6525" s="6"/>
      <c r="B6525" s="6"/>
      <c r="C6525" s="6"/>
    </row>
    <row r="6526" s="1" customFormat="1" spans="1:3">
      <c r="A6526" s="6"/>
      <c r="B6526" s="6"/>
      <c r="C6526" s="6"/>
    </row>
    <row r="6527" s="1" customFormat="1" spans="1:3">
      <c r="A6527" s="6"/>
      <c r="B6527" s="6"/>
      <c r="C6527" s="6"/>
    </row>
    <row r="6528" s="1" customFormat="1" spans="1:3">
      <c r="A6528" s="6"/>
      <c r="B6528" s="6"/>
      <c r="C6528" s="6"/>
    </row>
    <row r="6529" s="1" customFormat="1" spans="1:3">
      <c r="A6529" s="6"/>
      <c r="B6529" s="6"/>
      <c r="C6529" s="6"/>
    </row>
    <row r="6530" s="1" customFormat="1" spans="1:3">
      <c r="A6530" s="6"/>
      <c r="B6530" s="6"/>
      <c r="C6530" s="6"/>
    </row>
    <row r="6531" s="1" customFormat="1" spans="1:3">
      <c r="A6531" s="6"/>
      <c r="B6531" s="6"/>
      <c r="C6531" s="6"/>
    </row>
    <row r="6532" s="1" customFormat="1" spans="1:3">
      <c r="A6532" s="6"/>
      <c r="B6532" s="6"/>
      <c r="C6532" s="6"/>
    </row>
    <row r="6533" s="1" customFormat="1" spans="1:3">
      <c r="A6533" s="6"/>
      <c r="B6533" s="6"/>
      <c r="C6533" s="6"/>
    </row>
    <row r="6534" s="1" customFormat="1" spans="1:3">
      <c r="A6534" s="6"/>
      <c r="B6534" s="6"/>
      <c r="C6534" s="6"/>
    </row>
    <row r="6535" s="1" customFormat="1" spans="1:3">
      <c r="A6535" s="6"/>
      <c r="B6535" s="6"/>
      <c r="C6535" s="6"/>
    </row>
    <row r="6536" s="1" customFormat="1" spans="1:3">
      <c r="A6536" s="6"/>
      <c r="B6536" s="6"/>
      <c r="C6536" s="6"/>
    </row>
    <row r="6537" s="1" customFormat="1" spans="1:3">
      <c r="A6537" s="6"/>
      <c r="B6537" s="6"/>
      <c r="C6537" s="6"/>
    </row>
    <row r="6538" s="1" customFormat="1" spans="1:3">
      <c r="A6538" s="6"/>
      <c r="B6538" s="6"/>
      <c r="C6538" s="6"/>
    </row>
    <row r="6539" s="1" customFormat="1" spans="1:3">
      <c r="A6539" s="6"/>
      <c r="B6539" s="6"/>
      <c r="C6539" s="6"/>
    </row>
    <row r="6540" s="1" customFormat="1" spans="1:3">
      <c r="A6540" s="6"/>
      <c r="B6540" s="6"/>
      <c r="C6540" s="6"/>
    </row>
    <row r="6541" s="1" customFormat="1" spans="1:3">
      <c r="A6541" s="6"/>
      <c r="B6541" s="6"/>
      <c r="C6541" s="6"/>
    </row>
    <row r="6542" s="1" customFormat="1" spans="1:3">
      <c r="A6542" s="6"/>
      <c r="B6542" s="6"/>
      <c r="C6542" s="6"/>
    </row>
    <row r="6543" s="1" customFormat="1" spans="1:3">
      <c r="A6543" s="6"/>
      <c r="B6543" s="6"/>
      <c r="C6543" s="6"/>
    </row>
    <row r="6544" s="1" customFormat="1" spans="1:3">
      <c r="A6544" s="6"/>
      <c r="B6544" s="6"/>
      <c r="C6544" s="6"/>
    </row>
    <row r="6545" s="1" customFormat="1" spans="1:3">
      <c r="A6545" s="6"/>
      <c r="B6545" s="6"/>
      <c r="C6545" s="6"/>
    </row>
    <row r="6546" s="1" customFormat="1" spans="1:3">
      <c r="A6546" s="6"/>
      <c r="B6546" s="6"/>
      <c r="C6546" s="6"/>
    </row>
    <row r="6547" s="1" customFormat="1" spans="1:3">
      <c r="A6547" s="6"/>
      <c r="B6547" s="6"/>
      <c r="C6547" s="6"/>
    </row>
    <row r="6548" s="1" customFormat="1" spans="1:3">
      <c r="A6548" s="6"/>
      <c r="B6548" s="6"/>
      <c r="C6548" s="6"/>
    </row>
    <row r="6549" s="1" customFormat="1" spans="1:3">
      <c r="A6549" s="6"/>
      <c r="B6549" s="6"/>
      <c r="C6549" s="6"/>
    </row>
    <row r="6550" s="1" customFormat="1" spans="1:3">
      <c r="A6550" s="6"/>
      <c r="B6550" s="6"/>
      <c r="C6550" s="6"/>
    </row>
    <row r="6551" s="1" customFormat="1" spans="1:3">
      <c r="A6551" s="6"/>
      <c r="B6551" s="6"/>
      <c r="C6551" s="6"/>
    </row>
    <row r="6552" s="1" customFormat="1" spans="1:3">
      <c r="A6552" s="6"/>
      <c r="B6552" s="6"/>
      <c r="C6552" s="6"/>
    </row>
    <row r="6553" s="1" customFormat="1" spans="1:3">
      <c r="A6553" s="6"/>
      <c r="B6553" s="6"/>
      <c r="C6553" s="6"/>
    </row>
    <row r="6554" s="1" customFormat="1" spans="1:3">
      <c r="A6554" s="6"/>
      <c r="B6554" s="6"/>
      <c r="C6554" s="6"/>
    </row>
    <row r="6555" s="1" customFormat="1" spans="1:3">
      <c r="A6555" s="6"/>
      <c r="B6555" s="6"/>
      <c r="C6555" s="6"/>
    </row>
    <row r="6556" s="1" customFormat="1" spans="1:3">
      <c r="A6556" s="6"/>
      <c r="B6556" s="6"/>
      <c r="C6556" s="6"/>
    </row>
    <row r="6557" s="1" customFormat="1" spans="1:3">
      <c r="A6557" s="6"/>
      <c r="B6557" s="6"/>
      <c r="C6557" s="6"/>
    </row>
    <row r="6558" s="1" customFormat="1" spans="1:3">
      <c r="A6558" s="6"/>
      <c r="B6558" s="6"/>
      <c r="C6558" s="6"/>
    </row>
    <row r="6559" s="1" customFormat="1" spans="1:3">
      <c r="A6559" s="6"/>
      <c r="B6559" s="6"/>
      <c r="C6559" s="6"/>
    </row>
    <row r="6560" s="1" customFormat="1" spans="1:3">
      <c r="A6560" s="6"/>
      <c r="B6560" s="6"/>
      <c r="C6560" s="6"/>
    </row>
    <row r="6561" s="1" customFormat="1" spans="1:3">
      <c r="A6561" s="6"/>
      <c r="B6561" s="6"/>
      <c r="C6561" s="6"/>
    </row>
    <row r="6562" s="1" customFormat="1" spans="1:3">
      <c r="A6562" s="6"/>
      <c r="B6562" s="6"/>
      <c r="C6562" s="6"/>
    </row>
    <row r="6563" s="1" customFormat="1" spans="1:3">
      <c r="A6563" s="6"/>
      <c r="B6563" s="6"/>
      <c r="C6563" s="6"/>
    </row>
    <row r="6564" s="1" customFormat="1" spans="1:3">
      <c r="A6564" s="6"/>
      <c r="B6564" s="6"/>
      <c r="C6564" s="6"/>
    </row>
    <row r="6565" s="1" customFormat="1" spans="1:3">
      <c r="A6565" s="6"/>
      <c r="B6565" s="6"/>
      <c r="C6565" s="6"/>
    </row>
    <row r="6566" s="1" customFormat="1" spans="1:3">
      <c r="A6566" s="6"/>
      <c r="B6566" s="6"/>
      <c r="C6566" s="6"/>
    </row>
    <row r="6567" s="1" customFormat="1" spans="1:3">
      <c r="A6567" s="6"/>
      <c r="B6567" s="6"/>
      <c r="C6567" s="6"/>
    </row>
    <row r="6568" s="1" customFormat="1" spans="1:3">
      <c r="A6568" s="6"/>
      <c r="B6568" s="6"/>
      <c r="C6568" s="6"/>
    </row>
    <row r="6569" s="1" customFormat="1" spans="1:3">
      <c r="A6569" s="6"/>
      <c r="B6569" s="6"/>
      <c r="C6569" s="6"/>
    </row>
    <row r="6570" s="1" customFormat="1" spans="1:3">
      <c r="A6570" s="6"/>
      <c r="B6570" s="6"/>
      <c r="C6570" s="6"/>
    </row>
    <row r="6571" s="1" customFormat="1" spans="1:3">
      <c r="A6571" s="6"/>
      <c r="B6571" s="6"/>
      <c r="C6571" s="6"/>
    </row>
    <row r="6572" s="1" customFormat="1" spans="1:3">
      <c r="A6572" s="6"/>
      <c r="B6572" s="6"/>
      <c r="C6572" s="6"/>
    </row>
    <row r="6573" s="1" customFormat="1" spans="1:3">
      <c r="A6573" s="6"/>
      <c r="B6573" s="6"/>
      <c r="C6573" s="6"/>
    </row>
    <row r="6574" s="1" customFormat="1" spans="1:3">
      <c r="A6574" s="6"/>
      <c r="B6574" s="6"/>
      <c r="C6574" s="6"/>
    </row>
    <row r="6575" s="1" customFormat="1" spans="1:3">
      <c r="A6575" s="6"/>
      <c r="B6575" s="6"/>
      <c r="C6575" s="6"/>
    </row>
    <row r="6576" s="1" customFormat="1" spans="1:3">
      <c r="A6576" s="6"/>
      <c r="B6576" s="6"/>
      <c r="C6576" s="6"/>
    </row>
    <row r="6577" s="1" customFormat="1" spans="1:3">
      <c r="A6577" s="6"/>
      <c r="B6577" s="6"/>
      <c r="C6577" s="6"/>
    </row>
    <row r="6578" s="1" customFormat="1" spans="1:3">
      <c r="A6578" s="6"/>
      <c r="B6578" s="6"/>
      <c r="C6578" s="6"/>
    </row>
    <row r="6579" s="1" customFormat="1" spans="1:3">
      <c r="A6579" s="6"/>
      <c r="B6579" s="6"/>
      <c r="C6579" s="6"/>
    </row>
    <row r="6580" s="1" customFormat="1" spans="1:3">
      <c r="A6580" s="6"/>
      <c r="B6580" s="6"/>
      <c r="C6580" s="6"/>
    </row>
    <row r="6581" s="1" customFormat="1" spans="1:3">
      <c r="A6581" s="6"/>
      <c r="B6581" s="6"/>
      <c r="C6581" s="6"/>
    </row>
    <row r="6582" s="1" customFormat="1" spans="1:3">
      <c r="A6582" s="6"/>
      <c r="B6582" s="6"/>
      <c r="C6582" s="6"/>
    </row>
    <row r="6583" s="1" customFormat="1" spans="1:3">
      <c r="A6583" s="6"/>
      <c r="B6583" s="6"/>
      <c r="C6583" s="6"/>
    </row>
    <row r="6584" s="1" customFormat="1" spans="1:3">
      <c r="A6584" s="6"/>
      <c r="B6584" s="6"/>
      <c r="C6584" s="6"/>
    </row>
    <row r="6585" s="1" customFormat="1" spans="1:3">
      <c r="A6585" s="6"/>
      <c r="B6585" s="6"/>
      <c r="C6585" s="6"/>
    </row>
    <row r="6586" s="1" customFormat="1" spans="1:3">
      <c r="A6586" s="6"/>
      <c r="B6586" s="6"/>
      <c r="C6586" s="6"/>
    </row>
    <row r="6587" s="1" customFormat="1" spans="1:3">
      <c r="A6587" s="6"/>
      <c r="B6587" s="6"/>
      <c r="C6587" s="6"/>
    </row>
    <row r="6588" s="1" customFormat="1" spans="1:3">
      <c r="A6588" s="6"/>
      <c r="B6588" s="6"/>
      <c r="C6588" s="6"/>
    </row>
    <row r="6589" s="1" customFormat="1" spans="1:3">
      <c r="A6589" s="6"/>
      <c r="B6589" s="6"/>
      <c r="C6589" s="6"/>
    </row>
    <row r="6590" s="1" customFormat="1" spans="1:3">
      <c r="A6590" s="6"/>
      <c r="B6590" s="6"/>
      <c r="C6590" s="6"/>
    </row>
    <row r="6591" s="1" customFormat="1" spans="1:3">
      <c r="A6591" s="6"/>
      <c r="B6591" s="6"/>
      <c r="C6591" s="6"/>
    </row>
    <row r="6592" s="1" customFormat="1" spans="1:3">
      <c r="A6592" s="6"/>
      <c r="B6592" s="6"/>
      <c r="C6592" s="6"/>
    </row>
    <row r="6593" s="1" customFormat="1" spans="1:3">
      <c r="A6593" s="6"/>
      <c r="B6593" s="6"/>
      <c r="C6593" s="6"/>
    </row>
    <row r="6594" s="1" customFormat="1" spans="1:3">
      <c r="A6594" s="6"/>
      <c r="B6594" s="6"/>
      <c r="C6594" s="6"/>
    </row>
    <row r="6595" s="1" customFormat="1" spans="1:3">
      <c r="A6595" s="6"/>
      <c r="B6595" s="6"/>
      <c r="C6595" s="6"/>
    </row>
    <row r="6596" s="1" customFormat="1" spans="1:3">
      <c r="A6596" s="6"/>
      <c r="B6596" s="6"/>
      <c r="C6596" s="6"/>
    </row>
    <row r="6597" s="1" customFormat="1" spans="1:3">
      <c r="A6597" s="6"/>
      <c r="B6597" s="6"/>
      <c r="C6597" s="6"/>
    </row>
    <row r="6598" s="1" customFormat="1" spans="1:3">
      <c r="A6598" s="6"/>
      <c r="B6598" s="6"/>
      <c r="C6598" s="6"/>
    </row>
    <row r="6599" s="1" customFormat="1" spans="1:3">
      <c r="A6599" s="6"/>
      <c r="B6599" s="6"/>
      <c r="C6599" s="6"/>
    </row>
    <row r="6600" s="1" customFormat="1" spans="1:3">
      <c r="A6600" s="6"/>
      <c r="B6600" s="6"/>
      <c r="C6600" s="6"/>
    </row>
    <row r="6601" s="1" customFormat="1" spans="1:3">
      <c r="A6601" s="6"/>
      <c r="B6601" s="6"/>
      <c r="C6601" s="6"/>
    </row>
    <row r="6602" s="1" customFormat="1" spans="1:3">
      <c r="A6602" s="6"/>
      <c r="B6602" s="6"/>
      <c r="C6602" s="6"/>
    </row>
    <row r="6603" s="1" customFormat="1" spans="1:3">
      <c r="A6603" s="6"/>
      <c r="B6603" s="6"/>
      <c r="C6603" s="6"/>
    </row>
    <row r="6604" s="1" customFormat="1" spans="1:3">
      <c r="A6604" s="6"/>
      <c r="B6604" s="6"/>
      <c r="C6604" s="6"/>
    </row>
    <row r="6605" s="1" customFormat="1" spans="1:3">
      <c r="A6605" s="6"/>
      <c r="B6605" s="6"/>
      <c r="C6605" s="6"/>
    </row>
    <row r="6606" s="1" customFormat="1" spans="1:3">
      <c r="A6606" s="6"/>
      <c r="B6606" s="6"/>
      <c r="C6606" s="6"/>
    </row>
    <row r="6607" s="1" customFormat="1" spans="1:3">
      <c r="A6607" s="6"/>
      <c r="B6607" s="6"/>
      <c r="C6607" s="6"/>
    </row>
    <row r="6608" s="1" customFormat="1" spans="1:3">
      <c r="A6608" s="6"/>
      <c r="B6608" s="6"/>
      <c r="C6608" s="6"/>
    </row>
    <row r="6609" s="1" customFormat="1" spans="1:3">
      <c r="A6609" s="6"/>
      <c r="B6609" s="6"/>
      <c r="C6609" s="6"/>
    </row>
    <row r="6610" s="1" customFormat="1" spans="1:3">
      <c r="A6610" s="6"/>
      <c r="B6610" s="6"/>
      <c r="C6610" s="6"/>
    </row>
    <row r="6611" s="1" customFormat="1" spans="1:3">
      <c r="A6611" s="6"/>
      <c r="B6611" s="6"/>
      <c r="C6611" s="6"/>
    </row>
    <row r="6612" s="1" customFormat="1" spans="1:3">
      <c r="A6612" s="6"/>
      <c r="B6612" s="6"/>
      <c r="C6612" s="6"/>
    </row>
    <row r="6613" s="1" customFormat="1" spans="1:3">
      <c r="A6613" s="6"/>
      <c r="B6613" s="6"/>
      <c r="C6613" s="6"/>
    </row>
    <row r="6614" s="1" customFormat="1" spans="1:3">
      <c r="A6614" s="6"/>
      <c r="B6614" s="6"/>
      <c r="C6614" s="6"/>
    </row>
    <row r="6615" s="1" customFormat="1" spans="1:3">
      <c r="A6615" s="6"/>
      <c r="B6615" s="6"/>
      <c r="C6615" s="6"/>
    </row>
    <row r="6616" s="1" customFormat="1" spans="1:3">
      <c r="A6616" s="6"/>
      <c r="B6616" s="6"/>
      <c r="C6616" s="6"/>
    </row>
    <row r="6617" s="1" customFormat="1" spans="1:3">
      <c r="A6617" s="6"/>
      <c r="B6617" s="6"/>
      <c r="C6617" s="6"/>
    </row>
    <row r="6618" s="1" customFormat="1" spans="1:3">
      <c r="A6618" s="6"/>
      <c r="B6618" s="6"/>
      <c r="C6618" s="6"/>
    </row>
    <row r="6619" s="1" customFormat="1" spans="1:3">
      <c r="A6619" s="6"/>
      <c r="B6619" s="6"/>
      <c r="C6619" s="6"/>
    </row>
    <row r="6620" s="1" customFormat="1" spans="1:3">
      <c r="A6620" s="6"/>
      <c r="B6620" s="6"/>
      <c r="C6620" s="6"/>
    </row>
    <row r="6621" s="1" customFormat="1" spans="1:3">
      <c r="A6621" s="6"/>
      <c r="B6621" s="6"/>
      <c r="C6621" s="6"/>
    </row>
    <row r="6622" s="1" customFormat="1" spans="1:3">
      <c r="A6622" s="6"/>
      <c r="B6622" s="6"/>
      <c r="C6622" s="6"/>
    </row>
    <row r="6623" s="1" customFormat="1" spans="1:3">
      <c r="A6623" s="6"/>
      <c r="B6623" s="6"/>
      <c r="C6623" s="6"/>
    </row>
    <row r="6624" s="1" customFormat="1" spans="1:3">
      <c r="A6624" s="6"/>
      <c r="B6624" s="6"/>
      <c r="C6624" s="6"/>
    </row>
    <row r="6625" s="1" customFormat="1" spans="1:3">
      <c r="A6625" s="6"/>
      <c r="B6625" s="6"/>
      <c r="C6625" s="6"/>
    </row>
    <row r="6626" s="1" customFormat="1" spans="1:3">
      <c r="A6626" s="6"/>
      <c r="B6626" s="6"/>
      <c r="C6626" s="6"/>
    </row>
    <row r="6627" s="1" customFormat="1" spans="1:3">
      <c r="A6627" s="6"/>
      <c r="B6627" s="6"/>
      <c r="C6627" s="6"/>
    </row>
    <row r="6628" s="1" customFormat="1" spans="1:3">
      <c r="A6628" s="6"/>
      <c r="B6628" s="6"/>
      <c r="C6628" s="6"/>
    </row>
    <row r="6629" s="1" customFormat="1" spans="1:3">
      <c r="A6629" s="6"/>
      <c r="B6629" s="6"/>
      <c r="C6629" s="6"/>
    </row>
    <row r="6630" s="1" customFormat="1" spans="1:3">
      <c r="A6630" s="6"/>
      <c r="B6630" s="6"/>
      <c r="C6630" s="6"/>
    </row>
    <row r="6631" s="1" customFormat="1" spans="1:3">
      <c r="A6631" s="6"/>
      <c r="B6631" s="6"/>
      <c r="C6631" s="6"/>
    </row>
    <row r="6632" s="1" customFormat="1" spans="1:3">
      <c r="A6632" s="6"/>
      <c r="B6632" s="6"/>
      <c r="C6632" s="6"/>
    </row>
    <row r="6633" s="1" customFormat="1" spans="1:3">
      <c r="A6633" s="6"/>
      <c r="B6633" s="6"/>
      <c r="C6633" s="6"/>
    </row>
    <row r="6634" s="1" customFormat="1" spans="1:3">
      <c r="A6634" s="6"/>
      <c r="B6634" s="6"/>
      <c r="C6634" s="6"/>
    </row>
    <row r="6635" s="1" customFormat="1" spans="1:3">
      <c r="A6635" s="6"/>
      <c r="B6635" s="6"/>
      <c r="C6635" s="6"/>
    </row>
    <row r="6636" s="1" customFormat="1" spans="1:3">
      <c r="A6636" s="6"/>
      <c r="B6636" s="6"/>
      <c r="C6636" s="6"/>
    </row>
    <row r="6637" s="1" customFormat="1" spans="1:3">
      <c r="A6637" s="6"/>
      <c r="B6637" s="6"/>
      <c r="C6637" s="6"/>
    </row>
    <row r="6638" s="1" customFormat="1" spans="1:3">
      <c r="A6638" s="6"/>
      <c r="B6638" s="6"/>
      <c r="C6638" s="6"/>
    </row>
    <row r="6639" s="1" customFormat="1" spans="1:3">
      <c r="A6639" s="6"/>
      <c r="B6639" s="6"/>
      <c r="C6639" s="6"/>
    </row>
    <row r="6640" s="1" customFormat="1" spans="1:3">
      <c r="A6640" s="6"/>
      <c r="B6640" s="6"/>
      <c r="C6640" s="6"/>
    </row>
    <row r="6641" s="1" customFormat="1" spans="1:3">
      <c r="A6641" s="6"/>
      <c r="B6641" s="6"/>
      <c r="C6641" s="6"/>
    </row>
    <row r="6642" s="1" customFormat="1" spans="1:3">
      <c r="A6642" s="6"/>
      <c r="B6642" s="6"/>
      <c r="C6642" s="6"/>
    </row>
    <row r="6643" s="1" customFormat="1" spans="1:3">
      <c r="A6643" s="6"/>
      <c r="B6643" s="6"/>
      <c r="C6643" s="6"/>
    </row>
    <row r="6644" s="1" customFormat="1" spans="1:3">
      <c r="A6644" s="6"/>
      <c r="B6644" s="6"/>
      <c r="C6644" s="6"/>
    </row>
    <row r="6645" s="1" customFormat="1" spans="1:3">
      <c r="A6645" s="6"/>
      <c r="B6645" s="6"/>
      <c r="C6645" s="6"/>
    </row>
    <row r="6646" s="1" customFormat="1" spans="1:3">
      <c r="A6646" s="6"/>
      <c r="B6646" s="6"/>
      <c r="C6646" s="6"/>
    </row>
    <row r="6647" s="1" customFormat="1" spans="1:3">
      <c r="A6647" s="6"/>
      <c r="B6647" s="6"/>
      <c r="C6647" s="6"/>
    </row>
    <row r="6648" s="1" customFormat="1" spans="1:3">
      <c r="A6648" s="6"/>
      <c r="B6648" s="6"/>
      <c r="C6648" s="6"/>
    </row>
    <row r="6649" s="1" customFormat="1" spans="1:3">
      <c r="A6649" s="6"/>
      <c r="B6649" s="6"/>
      <c r="C6649" s="6"/>
    </row>
    <row r="6650" s="1" customFormat="1" spans="1:3">
      <c r="A6650" s="6"/>
      <c r="B6650" s="6"/>
      <c r="C6650" s="6"/>
    </row>
    <row r="6651" s="1" customFormat="1" spans="1:3">
      <c r="A6651" s="6"/>
      <c r="B6651" s="6"/>
      <c r="C6651" s="6"/>
    </row>
    <row r="6652" s="1" customFormat="1" spans="1:3">
      <c r="A6652" s="6"/>
      <c r="B6652" s="6"/>
      <c r="C6652" s="6"/>
    </row>
    <row r="6653" s="1" customFormat="1" spans="1:3">
      <c r="A6653" s="6"/>
      <c r="B6653" s="6"/>
      <c r="C6653" s="6"/>
    </row>
    <row r="6654" s="1" customFormat="1" spans="1:3">
      <c r="A6654" s="6"/>
      <c r="B6654" s="6"/>
      <c r="C6654" s="6"/>
    </row>
    <row r="6655" s="1" customFormat="1" spans="1:3">
      <c r="A6655" s="6"/>
      <c r="B6655" s="6"/>
      <c r="C6655" s="6"/>
    </row>
    <row r="6656" s="1" customFormat="1" spans="1:3">
      <c r="A6656" s="6"/>
      <c r="B6656" s="6"/>
      <c r="C6656" s="6"/>
    </row>
    <row r="6657" s="1" customFormat="1" spans="1:3">
      <c r="A6657" s="6"/>
      <c r="B6657" s="6"/>
      <c r="C6657" s="6"/>
    </row>
    <row r="6658" s="1" customFormat="1" spans="1:3">
      <c r="A6658" s="6"/>
      <c r="B6658" s="6"/>
      <c r="C6658" s="6"/>
    </row>
    <row r="6659" s="1" customFormat="1" spans="1:3">
      <c r="A6659" s="6"/>
      <c r="B6659" s="6"/>
      <c r="C6659" s="6"/>
    </row>
    <row r="6660" s="1" customFormat="1" spans="1:3">
      <c r="A6660" s="6"/>
      <c r="B6660" s="6"/>
      <c r="C6660" s="6"/>
    </row>
    <row r="6661" s="1" customFormat="1" spans="1:3">
      <c r="A6661" s="6"/>
      <c r="B6661" s="6"/>
      <c r="C6661" s="6"/>
    </row>
    <row r="6662" s="1" customFormat="1" spans="1:3">
      <c r="A6662" s="6"/>
      <c r="B6662" s="6"/>
      <c r="C6662" s="6"/>
    </row>
    <row r="6663" s="1" customFormat="1" spans="1:3">
      <c r="A6663" s="6"/>
      <c r="B6663" s="6"/>
      <c r="C6663" s="6"/>
    </row>
    <row r="6664" s="1" customFormat="1" spans="1:3">
      <c r="A6664" s="6"/>
      <c r="B6664" s="6"/>
      <c r="C6664" s="6"/>
    </row>
    <row r="6665" s="1" customFormat="1" spans="1:3">
      <c r="A6665" s="6"/>
      <c r="B6665" s="6"/>
      <c r="C6665" s="6"/>
    </row>
    <row r="6666" s="1" customFormat="1" spans="1:3">
      <c r="A6666" s="6"/>
      <c r="B6666" s="6"/>
      <c r="C6666" s="6"/>
    </row>
    <row r="6667" s="1" customFormat="1" spans="1:3">
      <c r="A6667" s="6"/>
      <c r="B6667" s="6"/>
      <c r="C6667" s="6"/>
    </row>
    <row r="6668" s="1" customFormat="1" spans="1:3">
      <c r="A6668" s="6"/>
      <c r="B6668" s="6"/>
      <c r="C6668" s="6"/>
    </row>
    <row r="6669" s="1" customFormat="1" spans="1:3">
      <c r="A6669" s="6"/>
      <c r="B6669" s="6"/>
      <c r="C6669" s="6"/>
    </row>
    <row r="6670" s="1" customFormat="1" spans="1:3">
      <c r="A6670" s="6"/>
      <c r="B6670" s="6"/>
      <c r="C6670" s="6"/>
    </row>
    <row r="6671" s="1" customFormat="1" spans="1:3">
      <c r="A6671" s="6"/>
      <c r="B6671" s="6"/>
      <c r="C6671" s="6"/>
    </row>
    <row r="6672" s="1" customFormat="1" spans="1:3">
      <c r="A6672" s="6"/>
      <c r="B6672" s="6"/>
      <c r="C6672" s="6"/>
    </row>
    <row r="6673" s="1" customFormat="1" spans="1:3">
      <c r="A6673" s="6"/>
      <c r="B6673" s="6"/>
      <c r="C6673" s="6"/>
    </row>
    <row r="6674" s="1" customFormat="1" spans="1:3">
      <c r="A6674" s="6"/>
      <c r="B6674" s="6"/>
      <c r="C6674" s="6"/>
    </row>
    <row r="6675" s="1" customFormat="1" spans="1:3">
      <c r="A6675" s="6"/>
      <c r="B6675" s="6"/>
      <c r="C6675" s="6"/>
    </row>
    <row r="6676" s="1" customFormat="1" spans="1:3">
      <c r="A6676" s="6"/>
      <c r="B6676" s="6"/>
      <c r="C6676" s="6"/>
    </row>
    <row r="6677" s="1" customFormat="1" spans="1:3">
      <c r="A6677" s="6"/>
      <c r="B6677" s="6"/>
      <c r="C6677" s="6"/>
    </row>
    <row r="6678" s="1" customFormat="1" spans="1:3">
      <c r="A6678" s="6"/>
      <c r="B6678" s="6"/>
      <c r="C6678" s="6"/>
    </row>
    <row r="6679" s="1" customFormat="1" spans="1:3">
      <c r="A6679" s="6"/>
      <c r="B6679" s="6"/>
      <c r="C6679" s="6"/>
    </row>
    <row r="6680" s="1" customFormat="1" spans="1:3">
      <c r="A6680" s="6"/>
      <c r="B6680" s="6"/>
      <c r="C6680" s="6"/>
    </row>
    <row r="6681" s="1" customFormat="1" spans="1:3">
      <c r="A6681" s="6"/>
      <c r="B6681" s="6"/>
      <c r="C6681" s="6"/>
    </row>
    <row r="6682" s="1" customFormat="1" spans="1:3">
      <c r="A6682" s="6"/>
      <c r="B6682" s="6"/>
      <c r="C6682" s="6"/>
    </row>
    <row r="6683" s="1" customFormat="1" spans="1:3">
      <c r="A6683" s="6"/>
      <c r="B6683" s="6"/>
      <c r="C6683" s="6"/>
    </row>
    <row r="6684" s="1" customFormat="1" spans="1:3">
      <c r="A6684" s="6"/>
      <c r="B6684" s="6"/>
      <c r="C6684" s="6"/>
    </row>
    <row r="6685" s="1" customFormat="1" spans="1:3">
      <c r="A6685" s="6"/>
      <c r="B6685" s="6"/>
      <c r="C6685" s="6"/>
    </row>
    <row r="6686" s="1" customFormat="1" spans="1:3">
      <c r="A6686" s="6"/>
      <c r="B6686" s="6"/>
      <c r="C6686" s="6"/>
    </row>
    <row r="6687" s="1" customFormat="1" spans="1:3">
      <c r="A6687" s="6"/>
      <c r="B6687" s="6"/>
      <c r="C6687" s="6"/>
    </row>
    <row r="6688" s="1" customFormat="1" spans="1:3">
      <c r="A6688" s="6"/>
      <c r="B6688" s="6"/>
      <c r="C6688" s="6"/>
    </row>
    <row r="6689" s="1" customFormat="1" spans="1:3">
      <c r="A6689" s="6"/>
      <c r="B6689" s="6"/>
      <c r="C6689" s="6"/>
    </row>
    <row r="6690" s="1" customFormat="1" spans="1:3">
      <c r="A6690" s="6"/>
      <c r="B6690" s="6"/>
      <c r="C6690" s="6"/>
    </row>
    <row r="6691" s="1" customFormat="1" spans="1:3">
      <c r="A6691" s="6"/>
      <c r="B6691" s="6"/>
      <c r="C6691" s="6"/>
    </row>
    <row r="6692" s="1" customFormat="1" spans="1:3">
      <c r="A6692" s="6"/>
      <c r="B6692" s="6"/>
      <c r="C6692" s="6"/>
    </row>
    <row r="6693" s="1" customFormat="1" spans="1:3">
      <c r="A6693" s="6"/>
      <c r="B6693" s="6"/>
      <c r="C6693" s="6"/>
    </row>
    <row r="6694" s="1" customFormat="1" spans="1:3">
      <c r="A6694" s="6"/>
      <c r="B6694" s="6"/>
      <c r="C6694" s="6"/>
    </row>
    <row r="6695" s="1" customFormat="1" spans="1:3">
      <c r="A6695" s="6"/>
      <c r="B6695" s="6"/>
      <c r="C6695" s="6"/>
    </row>
    <row r="6696" s="1" customFormat="1" spans="1:3">
      <c r="A6696" s="6"/>
      <c r="B6696" s="6"/>
      <c r="C6696" s="6"/>
    </row>
    <row r="6697" s="1" customFormat="1" spans="1:3">
      <c r="A6697" s="6"/>
      <c r="B6697" s="6"/>
      <c r="C6697" s="6"/>
    </row>
    <row r="6698" s="1" customFormat="1" spans="1:3">
      <c r="A6698" s="6"/>
      <c r="B6698" s="6"/>
      <c r="C6698" s="6"/>
    </row>
    <row r="6699" s="1" customFormat="1" spans="1:3">
      <c r="A6699" s="6"/>
      <c r="B6699" s="6"/>
      <c r="C6699" s="6"/>
    </row>
    <row r="6700" s="1" customFormat="1" spans="1:3">
      <c r="A6700" s="6"/>
      <c r="B6700" s="6"/>
      <c r="C6700" s="6"/>
    </row>
    <row r="6701" s="1" customFormat="1" spans="1:3">
      <c r="A6701" s="6"/>
      <c r="B6701" s="6"/>
      <c r="C6701" s="6"/>
    </row>
    <row r="6702" s="1" customFormat="1" spans="1:3">
      <c r="A6702" s="6"/>
      <c r="B6702" s="6"/>
      <c r="C6702" s="6"/>
    </row>
    <row r="6703" s="1" customFormat="1" spans="1:3">
      <c r="A6703" s="6"/>
      <c r="B6703" s="6"/>
      <c r="C6703" s="6"/>
    </row>
    <row r="6704" s="1" customFormat="1" spans="1:3">
      <c r="A6704" s="6"/>
      <c r="B6704" s="6"/>
      <c r="C6704" s="6"/>
    </row>
    <row r="6705" s="1" customFormat="1" spans="1:3">
      <c r="A6705" s="6"/>
      <c r="B6705" s="6"/>
      <c r="C6705" s="6"/>
    </row>
    <row r="6706" s="1" customFormat="1" spans="1:3">
      <c r="A6706" s="6"/>
      <c r="B6706" s="6"/>
      <c r="C6706" s="6"/>
    </row>
    <row r="6707" s="1" customFormat="1" spans="1:3">
      <c r="A6707" s="6"/>
      <c r="B6707" s="6"/>
      <c r="C6707" s="6"/>
    </row>
    <row r="6708" s="1" customFormat="1" spans="1:3">
      <c r="A6708" s="6"/>
      <c r="B6708" s="6"/>
      <c r="C6708" s="6"/>
    </row>
    <row r="6709" s="1" customFormat="1" spans="1:3">
      <c r="A6709" s="6"/>
      <c r="B6709" s="6"/>
      <c r="C6709" s="6"/>
    </row>
    <row r="6710" s="1" customFormat="1" spans="1:3">
      <c r="A6710" s="6"/>
      <c r="B6710" s="6"/>
      <c r="C6710" s="6"/>
    </row>
    <row r="6711" s="1" customFormat="1" spans="1:3">
      <c r="A6711" s="6"/>
      <c r="B6711" s="6"/>
      <c r="C6711" s="6"/>
    </row>
    <row r="6712" s="1" customFormat="1" spans="1:3">
      <c r="A6712" s="6"/>
      <c r="B6712" s="6"/>
      <c r="C6712" s="6"/>
    </row>
    <row r="6713" s="1" customFormat="1" spans="1:3">
      <c r="A6713" s="6"/>
      <c r="B6713" s="6"/>
      <c r="C6713" s="6"/>
    </row>
    <row r="6714" s="1" customFormat="1" spans="1:3">
      <c r="A6714" s="6"/>
      <c r="B6714" s="6"/>
      <c r="C6714" s="6"/>
    </row>
    <row r="6715" s="1" customFormat="1" spans="1:3">
      <c r="A6715" s="6"/>
      <c r="B6715" s="6"/>
      <c r="C6715" s="6"/>
    </row>
    <row r="6716" s="1" customFormat="1" spans="1:3">
      <c r="A6716" s="6"/>
      <c r="B6716" s="6"/>
      <c r="C6716" s="6"/>
    </row>
    <row r="6717" s="1" customFormat="1" spans="1:3">
      <c r="A6717" s="6"/>
      <c r="B6717" s="6"/>
      <c r="C6717" s="6"/>
    </row>
    <row r="6718" s="1" customFormat="1" spans="1:3">
      <c r="A6718" s="6"/>
      <c r="B6718" s="6"/>
      <c r="C6718" s="6"/>
    </row>
    <row r="6719" s="1" customFormat="1" spans="1:3">
      <c r="A6719" s="6"/>
      <c r="B6719" s="6"/>
      <c r="C6719" s="6"/>
    </row>
    <row r="6720" s="1" customFormat="1" spans="1:3">
      <c r="A6720" s="6"/>
      <c r="B6720" s="6"/>
      <c r="C6720" s="6"/>
    </row>
    <row r="6721" s="1" customFormat="1" spans="1:3">
      <c r="A6721" s="6"/>
      <c r="B6721" s="6"/>
      <c r="C6721" s="6"/>
    </row>
    <row r="6722" s="1" customFormat="1" spans="1:3">
      <c r="A6722" s="6"/>
      <c r="B6722" s="6"/>
      <c r="C6722" s="6"/>
    </row>
    <row r="6723" s="1" customFormat="1" spans="1:3">
      <c r="A6723" s="6"/>
      <c r="B6723" s="6"/>
      <c r="C6723" s="6"/>
    </row>
    <row r="6724" s="1" customFormat="1" spans="1:3">
      <c r="A6724" s="6"/>
      <c r="B6724" s="6"/>
      <c r="C6724" s="6"/>
    </row>
    <row r="6725" s="1" customFormat="1" spans="1:3">
      <c r="A6725" s="6"/>
      <c r="B6725" s="6"/>
      <c r="C6725" s="6"/>
    </row>
    <row r="6726" s="1" customFormat="1" spans="1:3">
      <c r="A6726" s="6"/>
      <c r="B6726" s="6"/>
      <c r="C6726" s="6"/>
    </row>
    <row r="6727" s="1" customFormat="1" spans="1:3">
      <c r="A6727" s="6"/>
      <c r="B6727" s="6"/>
      <c r="C6727" s="6"/>
    </row>
    <row r="6728" s="1" customFormat="1" spans="1:3">
      <c r="A6728" s="6"/>
      <c r="B6728" s="6"/>
      <c r="C6728" s="6"/>
    </row>
    <row r="6729" s="1" customFormat="1" spans="1:3">
      <c r="A6729" s="6"/>
      <c r="B6729" s="6"/>
      <c r="C6729" s="6"/>
    </row>
    <row r="6730" s="1" customFormat="1" spans="1:3">
      <c r="A6730" s="6"/>
      <c r="B6730" s="6"/>
      <c r="C6730" s="6"/>
    </row>
    <row r="6731" s="1" customFormat="1" spans="1:3">
      <c r="A6731" s="6"/>
      <c r="B6731" s="6"/>
      <c r="C6731" s="6"/>
    </row>
    <row r="6732" s="1" customFormat="1" spans="1:3">
      <c r="A6732" s="6"/>
      <c r="B6732" s="6"/>
      <c r="C6732" s="6"/>
    </row>
    <row r="6733" s="1" customFormat="1" spans="1:3">
      <c r="A6733" s="6"/>
      <c r="B6733" s="6"/>
      <c r="C6733" s="6"/>
    </row>
    <row r="6734" s="1" customFormat="1" spans="1:3">
      <c r="A6734" s="6"/>
      <c r="B6734" s="6"/>
      <c r="C6734" s="6"/>
    </row>
    <row r="6735" s="1" customFormat="1" spans="1:3">
      <c r="A6735" s="6"/>
      <c r="B6735" s="6"/>
      <c r="C6735" s="6"/>
    </row>
    <row r="6736" s="1" customFormat="1" spans="1:3">
      <c r="A6736" s="6"/>
      <c r="B6736" s="6"/>
      <c r="C6736" s="6"/>
    </row>
    <row r="6737" s="1" customFormat="1" spans="1:3">
      <c r="A6737" s="6"/>
      <c r="B6737" s="6"/>
      <c r="C6737" s="6"/>
    </row>
    <row r="6738" s="1" customFormat="1" spans="1:3">
      <c r="A6738" s="6"/>
      <c r="B6738" s="6"/>
      <c r="C6738" s="6"/>
    </row>
    <row r="6739" s="1" customFormat="1" spans="1:3">
      <c r="A6739" s="6"/>
      <c r="B6739" s="6"/>
      <c r="C6739" s="6"/>
    </row>
    <row r="6740" s="1" customFormat="1" spans="1:3">
      <c r="A6740" s="6"/>
      <c r="B6740" s="6"/>
      <c r="C6740" s="6"/>
    </row>
    <row r="6741" s="1" customFormat="1" spans="1:3">
      <c r="A6741" s="6"/>
      <c r="B6741" s="6"/>
      <c r="C6741" s="6"/>
    </row>
    <row r="6742" s="1" customFormat="1" spans="1:3">
      <c r="A6742" s="6"/>
      <c r="B6742" s="6"/>
      <c r="C6742" s="6"/>
    </row>
    <row r="6743" s="1" customFormat="1" spans="1:3">
      <c r="A6743" s="6"/>
      <c r="B6743" s="6"/>
      <c r="C6743" s="6"/>
    </row>
    <row r="6744" s="1" customFormat="1" spans="1:3">
      <c r="A6744" s="6"/>
      <c r="B6744" s="6"/>
      <c r="C6744" s="6"/>
    </row>
    <row r="6745" s="1" customFormat="1" spans="1:3">
      <c r="A6745" s="6"/>
      <c r="B6745" s="6"/>
      <c r="C6745" s="6"/>
    </row>
    <row r="6746" s="1" customFormat="1" spans="1:3">
      <c r="A6746" s="6"/>
      <c r="B6746" s="6"/>
      <c r="C6746" s="6"/>
    </row>
    <row r="6747" s="1" customFormat="1" spans="1:3">
      <c r="A6747" s="6"/>
      <c r="B6747" s="6"/>
      <c r="C6747" s="6"/>
    </row>
    <row r="6748" s="1" customFormat="1" spans="1:3">
      <c r="A6748" s="6"/>
      <c r="B6748" s="6"/>
      <c r="C6748" s="6"/>
    </row>
    <row r="6749" s="1" customFormat="1" spans="1:3">
      <c r="A6749" s="6"/>
      <c r="B6749" s="6"/>
      <c r="C6749" s="6"/>
    </row>
    <row r="6750" s="1" customFormat="1" spans="1:3">
      <c r="A6750" s="6"/>
      <c r="B6750" s="6"/>
      <c r="C6750" s="6"/>
    </row>
    <row r="6751" s="1" customFormat="1" spans="1:3">
      <c r="A6751" s="6"/>
      <c r="B6751" s="6"/>
      <c r="C6751" s="6"/>
    </row>
    <row r="6752" s="1" customFormat="1" spans="1:3">
      <c r="A6752" s="6"/>
      <c r="B6752" s="6"/>
      <c r="C6752" s="6"/>
    </row>
    <row r="6753" s="1" customFormat="1" spans="1:3">
      <c r="A6753" s="6"/>
      <c r="B6753" s="6"/>
      <c r="C6753" s="6"/>
    </row>
    <row r="6754" s="1" customFormat="1" spans="1:3">
      <c r="A6754" s="6"/>
      <c r="B6754" s="6"/>
      <c r="C6754" s="6"/>
    </row>
    <row r="6755" s="1" customFormat="1" spans="1:3">
      <c r="A6755" s="6"/>
      <c r="B6755" s="6"/>
      <c r="C6755" s="6"/>
    </row>
    <row r="6756" s="1" customFormat="1" spans="1:3">
      <c r="A6756" s="6"/>
      <c r="B6756" s="6"/>
      <c r="C6756" s="6"/>
    </row>
    <row r="6757" s="1" customFormat="1" spans="1:3">
      <c r="A6757" s="6"/>
      <c r="B6757" s="6"/>
      <c r="C6757" s="6"/>
    </row>
    <row r="6758" s="1" customFormat="1" spans="1:3">
      <c r="A6758" s="6"/>
      <c r="B6758" s="6"/>
      <c r="C6758" s="6"/>
    </row>
    <row r="6759" s="1" customFormat="1" spans="1:3">
      <c r="A6759" s="6"/>
      <c r="B6759" s="6"/>
      <c r="C6759" s="6"/>
    </row>
    <row r="6760" s="1" customFormat="1" spans="1:3">
      <c r="A6760" s="6"/>
      <c r="B6760" s="6"/>
      <c r="C6760" s="6"/>
    </row>
    <row r="6761" s="1" customFormat="1" spans="1:3">
      <c r="A6761" s="6"/>
      <c r="B6761" s="6"/>
      <c r="C6761" s="6"/>
    </row>
    <row r="6762" s="1" customFormat="1" spans="1:3">
      <c r="A6762" s="6"/>
      <c r="B6762" s="6"/>
      <c r="C6762" s="6"/>
    </row>
    <row r="6763" s="1" customFormat="1" spans="1:3">
      <c r="A6763" s="6"/>
      <c r="B6763" s="6"/>
      <c r="C6763" s="6"/>
    </row>
    <row r="6764" s="1" customFormat="1" spans="1:3">
      <c r="A6764" s="6"/>
      <c r="B6764" s="6"/>
      <c r="C6764" s="6"/>
    </row>
    <row r="6765" s="1" customFormat="1" spans="1:3">
      <c r="A6765" s="6"/>
      <c r="B6765" s="6"/>
      <c r="C6765" s="6"/>
    </row>
    <row r="6766" s="1" customFormat="1" spans="1:3">
      <c r="A6766" s="6"/>
      <c r="B6766" s="6"/>
      <c r="C6766" s="6"/>
    </row>
    <row r="6767" s="1" customFormat="1" spans="1:3">
      <c r="A6767" s="6"/>
      <c r="B6767" s="6"/>
      <c r="C6767" s="6"/>
    </row>
    <row r="6768" s="1" customFormat="1" spans="1:3">
      <c r="A6768" s="6"/>
      <c r="B6768" s="6"/>
      <c r="C6768" s="6"/>
    </row>
    <row r="6769" s="1" customFormat="1" spans="1:3">
      <c r="A6769" s="6"/>
      <c r="B6769" s="6"/>
      <c r="C6769" s="6"/>
    </row>
    <row r="6770" s="1" customFormat="1" spans="1:3">
      <c r="A6770" s="6"/>
      <c r="B6770" s="6"/>
      <c r="C6770" s="6"/>
    </row>
    <row r="6771" s="1" customFormat="1" spans="1:3">
      <c r="A6771" s="6"/>
      <c r="B6771" s="6"/>
      <c r="C6771" s="6"/>
    </row>
    <row r="6772" s="1" customFormat="1" spans="1:3">
      <c r="A6772" s="6"/>
      <c r="B6772" s="6"/>
      <c r="C6772" s="6"/>
    </row>
    <row r="6773" s="1" customFormat="1" spans="1:3">
      <c r="A6773" s="6"/>
      <c r="B6773" s="6"/>
      <c r="C6773" s="6"/>
    </row>
    <row r="6774" s="1" customFormat="1" spans="1:3">
      <c r="A6774" s="6"/>
      <c r="B6774" s="6"/>
      <c r="C6774" s="6"/>
    </row>
    <row r="6775" s="1" customFormat="1" spans="1:3">
      <c r="A6775" s="6"/>
      <c r="B6775" s="6"/>
      <c r="C6775" s="6"/>
    </row>
    <row r="6776" s="1" customFormat="1" spans="1:3">
      <c r="A6776" s="6"/>
      <c r="B6776" s="6"/>
      <c r="C6776" s="6"/>
    </row>
    <row r="6777" s="1" customFormat="1" spans="1:3">
      <c r="A6777" s="6"/>
      <c r="B6777" s="6"/>
      <c r="C6777" s="6"/>
    </row>
    <row r="6778" s="1" customFormat="1" spans="1:3">
      <c r="A6778" s="6"/>
      <c r="B6778" s="6"/>
      <c r="C6778" s="6"/>
    </row>
    <row r="6779" s="1" customFormat="1" spans="1:3">
      <c r="A6779" s="6"/>
      <c r="B6779" s="6"/>
      <c r="C6779" s="6"/>
    </row>
    <row r="6780" s="1" customFormat="1" spans="1:3">
      <c r="A6780" s="6"/>
      <c r="B6780" s="6"/>
      <c r="C6780" s="6"/>
    </row>
    <row r="6781" s="1" customFormat="1" spans="1:3">
      <c r="A6781" s="6"/>
      <c r="B6781" s="6"/>
      <c r="C6781" s="6"/>
    </row>
    <row r="6782" s="1" customFormat="1" spans="1:3">
      <c r="A6782" s="6"/>
      <c r="B6782" s="6"/>
      <c r="C6782" s="6"/>
    </row>
    <row r="6783" s="1" customFormat="1" spans="1:3">
      <c r="A6783" s="6"/>
      <c r="B6783" s="6"/>
      <c r="C6783" s="6"/>
    </row>
    <row r="6784" s="1" customFormat="1" spans="1:3">
      <c r="A6784" s="6"/>
      <c r="B6784" s="6"/>
      <c r="C6784" s="6"/>
    </row>
    <row r="6785" s="1" customFormat="1" spans="1:3">
      <c r="A6785" s="6"/>
      <c r="B6785" s="6"/>
      <c r="C6785" s="6"/>
    </row>
    <row r="6786" s="1" customFormat="1" spans="1:3">
      <c r="A6786" s="6"/>
      <c r="B6786" s="6"/>
      <c r="C6786" s="6"/>
    </row>
    <row r="6787" s="1" customFormat="1" spans="1:3">
      <c r="A6787" s="6"/>
      <c r="B6787" s="6"/>
      <c r="C6787" s="6"/>
    </row>
    <row r="6788" s="1" customFormat="1" spans="1:3">
      <c r="A6788" s="6"/>
      <c r="B6788" s="6"/>
      <c r="C6788" s="6"/>
    </row>
    <row r="6789" s="1" customFormat="1" spans="1:3">
      <c r="A6789" s="6"/>
      <c r="B6789" s="6"/>
      <c r="C6789" s="6"/>
    </row>
    <row r="6790" s="1" customFormat="1" spans="1:3">
      <c r="A6790" s="6"/>
      <c r="B6790" s="6"/>
      <c r="C6790" s="6"/>
    </row>
    <row r="6791" s="1" customFormat="1" spans="1:3">
      <c r="A6791" s="6"/>
      <c r="B6791" s="6"/>
      <c r="C6791" s="6"/>
    </row>
    <row r="6792" s="1" customFormat="1" spans="1:3">
      <c r="A6792" s="6"/>
      <c r="B6792" s="6"/>
      <c r="C6792" s="6"/>
    </row>
    <row r="6793" s="1" customFormat="1" spans="1:3">
      <c r="A6793" s="6"/>
      <c r="B6793" s="6"/>
      <c r="C6793" s="6"/>
    </row>
    <row r="6794" s="1" customFormat="1" spans="1:3">
      <c r="A6794" s="6"/>
      <c r="B6794" s="6"/>
      <c r="C6794" s="6"/>
    </row>
    <row r="6795" s="1" customFormat="1" spans="1:3">
      <c r="A6795" s="6"/>
      <c r="B6795" s="6"/>
      <c r="C6795" s="6"/>
    </row>
    <row r="6796" s="1" customFormat="1" spans="1:3">
      <c r="A6796" s="6"/>
      <c r="B6796" s="6"/>
      <c r="C6796" s="6"/>
    </row>
    <row r="6797" s="1" customFormat="1" spans="1:3">
      <c r="A6797" s="6"/>
      <c r="B6797" s="6"/>
      <c r="C6797" s="6"/>
    </row>
    <row r="6798" s="1" customFormat="1" spans="1:3">
      <c r="A6798" s="6"/>
      <c r="B6798" s="6"/>
      <c r="C6798" s="6"/>
    </row>
    <row r="6799" s="1" customFormat="1" spans="1:3">
      <c r="A6799" s="6"/>
      <c r="B6799" s="6"/>
      <c r="C6799" s="6"/>
    </row>
    <row r="6800" s="1" customFormat="1" spans="1:3">
      <c r="A6800" s="6"/>
      <c r="B6800" s="6"/>
      <c r="C6800" s="6"/>
    </row>
    <row r="6801" s="1" customFormat="1" spans="1:3">
      <c r="A6801" s="6"/>
      <c r="B6801" s="6"/>
      <c r="C6801" s="6"/>
    </row>
    <row r="6802" s="1" customFormat="1" spans="1:3">
      <c r="A6802" s="6"/>
      <c r="B6802" s="6"/>
      <c r="C6802" s="6"/>
    </row>
    <row r="6803" s="1" customFormat="1" spans="1:3">
      <c r="A6803" s="6"/>
      <c r="B6803" s="6"/>
      <c r="C6803" s="6"/>
    </row>
    <row r="6804" s="1" customFormat="1" spans="1:3">
      <c r="A6804" s="6"/>
      <c r="B6804" s="6"/>
      <c r="C6804" s="6"/>
    </row>
    <row r="6805" s="1" customFormat="1" spans="1:3">
      <c r="A6805" s="6"/>
      <c r="B6805" s="6"/>
      <c r="C6805" s="6"/>
    </row>
    <row r="6806" s="1" customFormat="1" spans="1:3">
      <c r="A6806" s="6"/>
      <c r="B6806" s="6"/>
      <c r="C6806" s="6"/>
    </row>
    <row r="6807" s="1" customFormat="1" spans="1:3">
      <c r="A6807" s="6"/>
      <c r="B6807" s="6"/>
      <c r="C6807" s="6"/>
    </row>
    <row r="6808" s="1" customFormat="1" spans="1:3">
      <c r="A6808" s="6"/>
      <c r="B6808" s="6"/>
      <c r="C6808" s="6"/>
    </row>
    <row r="6809" s="1" customFormat="1" spans="1:3">
      <c r="A6809" s="6"/>
      <c r="B6809" s="6"/>
      <c r="C6809" s="6"/>
    </row>
    <row r="6810" s="1" customFormat="1" spans="1:3">
      <c r="A6810" s="6"/>
      <c r="B6810" s="6"/>
      <c r="C6810" s="6"/>
    </row>
    <row r="6811" s="1" customFormat="1" spans="1:3">
      <c r="A6811" s="6"/>
      <c r="B6811" s="6"/>
      <c r="C6811" s="6"/>
    </row>
    <row r="6812" s="1" customFormat="1" spans="1:3">
      <c r="A6812" s="6"/>
      <c r="B6812" s="6"/>
      <c r="C6812" s="6"/>
    </row>
    <row r="6813" s="1" customFormat="1" spans="1:3">
      <c r="A6813" s="6"/>
      <c r="B6813" s="6"/>
      <c r="C6813" s="6"/>
    </row>
    <row r="6814" s="1" customFormat="1" spans="1:3">
      <c r="A6814" s="6"/>
      <c r="B6814" s="6"/>
      <c r="C6814" s="6"/>
    </row>
    <row r="6815" s="1" customFormat="1" spans="1:3">
      <c r="A6815" s="6"/>
      <c r="B6815" s="6"/>
      <c r="C6815" s="6"/>
    </row>
    <row r="6816" s="1" customFormat="1" spans="1:3">
      <c r="A6816" s="6"/>
      <c r="B6816" s="6"/>
      <c r="C6816" s="6"/>
    </row>
    <row r="6817" s="1" customFormat="1" spans="1:3">
      <c r="A6817" s="6"/>
      <c r="B6817" s="6"/>
      <c r="C6817" s="6"/>
    </row>
    <row r="6818" s="1" customFormat="1" spans="1:3">
      <c r="A6818" s="6"/>
      <c r="B6818" s="6"/>
      <c r="C6818" s="6"/>
    </row>
    <row r="6819" s="1" customFormat="1" spans="1:3">
      <c r="A6819" s="6"/>
      <c r="B6819" s="6"/>
      <c r="C6819" s="6"/>
    </row>
    <row r="6820" s="1" customFormat="1" spans="1:3">
      <c r="A6820" s="6"/>
      <c r="B6820" s="6"/>
      <c r="C6820" s="6"/>
    </row>
    <row r="6821" s="1" customFormat="1" spans="1:3">
      <c r="A6821" s="6"/>
      <c r="B6821" s="6"/>
      <c r="C6821" s="6"/>
    </row>
    <row r="6822" s="1" customFormat="1" spans="1:3">
      <c r="A6822" s="6"/>
      <c r="B6822" s="6"/>
      <c r="C6822" s="6"/>
    </row>
    <row r="6823" s="1" customFormat="1" spans="1:3">
      <c r="A6823" s="6"/>
      <c r="B6823" s="6"/>
      <c r="C6823" s="6"/>
    </row>
    <row r="6824" s="1" customFormat="1" spans="1:3">
      <c r="A6824" s="6"/>
      <c r="B6824" s="6"/>
      <c r="C6824" s="6"/>
    </row>
    <row r="6825" s="1" customFormat="1" spans="1:3">
      <c r="A6825" s="6"/>
      <c r="B6825" s="6"/>
      <c r="C6825" s="6"/>
    </row>
    <row r="6826" s="1" customFormat="1" spans="1:3">
      <c r="A6826" s="6"/>
      <c r="B6826" s="6"/>
      <c r="C6826" s="6"/>
    </row>
    <row r="6827" s="1" customFormat="1" spans="1:3">
      <c r="A6827" s="6"/>
      <c r="B6827" s="6"/>
      <c r="C6827" s="6"/>
    </row>
    <row r="6828" s="1" customFormat="1" spans="1:3">
      <c r="A6828" s="6"/>
      <c r="B6828" s="6"/>
      <c r="C6828" s="6"/>
    </row>
    <row r="6829" s="1" customFormat="1" spans="1:3">
      <c r="A6829" s="6"/>
      <c r="B6829" s="6"/>
      <c r="C6829" s="6"/>
    </row>
    <row r="6830" s="1" customFormat="1" spans="1:3">
      <c r="A6830" s="6"/>
      <c r="B6830" s="6"/>
      <c r="C6830" s="6"/>
    </row>
    <row r="6831" s="1" customFormat="1" spans="1:3">
      <c r="A6831" s="6"/>
      <c r="B6831" s="6"/>
      <c r="C6831" s="6"/>
    </row>
    <row r="6832" s="1" customFormat="1" spans="1:3">
      <c r="A6832" s="6"/>
      <c r="B6832" s="6"/>
      <c r="C6832" s="6"/>
    </row>
    <row r="6833" s="1" customFormat="1" spans="1:3">
      <c r="A6833" s="6"/>
      <c r="B6833" s="6"/>
      <c r="C6833" s="6"/>
    </row>
    <row r="6834" s="1" customFormat="1" spans="1:3">
      <c r="A6834" s="6"/>
      <c r="B6834" s="6"/>
      <c r="C6834" s="6"/>
    </row>
    <row r="6835" s="1" customFormat="1" spans="1:3">
      <c r="A6835" s="6"/>
      <c r="B6835" s="6"/>
      <c r="C6835" s="6"/>
    </row>
    <row r="6836" s="1" customFormat="1" spans="1:3">
      <c r="A6836" s="6"/>
      <c r="B6836" s="6"/>
      <c r="C6836" s="6"/>
    </row>
    <row r="6837" s="1" customFormat="1" spans="1:3">
      <c r="A6837" s="6"/>
      <c r="B6837" s="6"/>
      <c r="C6837" s="6"/>
    </row>
    <row r="6838" s="1" customFormat="1" spans="1:3">
      <c r="A6838" s="6"/>
      <c r="B6838" s="6"/>
      <c r="C6838" s="6"/>
    </row>
    <row r="6839" s="1" customFormat="1" spans="1:3">
      <c r="A6839" s="6"/>
      <c r="B6839" s="6"/>
      <c r="C6839" s="6"/>
    </row>
    <row r="6840" s="1" customFormat="1" spans="1:3">
      <c r="A6840" s="6"/>
      <c r="B6840" s="6"/>
      <c r="C6840" s="6"/>
    </row>
    <row r="6841" s="1" customFormat="1" spans="1:3">
      <c r="A6841" s="6"/>
      <c r="B6841" s="6"/>
      <c r="C6841" s="6"/>
    </row>
    <row r="6842" s="1" customFormat="1" spans="1:3">
      <c r="A6842" s="6"/>
      <c r="B6842" s="6"/>
      <c r="C6842" s="6"/>
    </row>
    <row r="6843" s="1" customFormat="1" spans="1:3">
      <c r="A6843" s="6"/>
      <c r="B6843" s="6"/>
      <c r="C6843" s="6"/>
    </row>
    <row r="6844" s="1" customFormat="1" spans="1:3">
      <c r="A6844" s="6"/>
      <c r="B6844" s="6"/>
      <c r="C6844" s="6"/>
    </row>
    <row r="6845" s="1" customFormat="1" spans="1:3">
      <c r="A6845" s="6"/>
      <c r="B6845" s="6"/>
      <c r="C6845" s="6"/>
    </row>
    <row r="6846" s="1" customFormat="1" spans="1:3">
      <c r="A6846" s="6"/>
      <c r="B6846" s="6"/>
      <c r="C6846" s="6"/>
    </row>
    <row r="6847" s="1" customFormat="1" spans="1:3">
      <c r="A6847" s="6"/>
      <c r="B6847" s="6"/>
      <c r="C6847" s="6"/>
    </row>
    <row r="6848" s="1" customFormat="1" spans="1:3">
      <c r="A6848" s="6"/>
      <c r="B6848" s="6"/>
      <c r="C6848" s="6"/>
    </row>
    <row r="6849" s="1" customFormat="1" spans="1:3">
      <c r="A6849" s="6"/>
      <c r="B6849" s="6"/>
      <c r="C6849" s="6"/>
    </row>
    <row r="6850" s="1" customFormat="1" spans="1:3">
      <c r="A6850" s="6"/>
      <c r="B6850" s="6"/>
      <c r="C6850" s="6"/>
    </row>
    <row r="6851" s="1" customFormat="1" spans="1:3">
      <c r="A6851" s="6"/>
      <c r="B6851" s="6"/>
      <c r="C6851" s="6"/>
    </row>
    <row r="6852" s="1" customFormat="1" spans="1:3">
      <c r="A6852" s="6"/>
      <c r="B6852" s="6"/>
      <c r="C6852" s="6"/>
    </row>
    <row r="6853" s="1" customFormat="1" spans="1:3">
      <c r="A6853" s="6"/>
      <c r="B6853" s="6"/>
      <c r="C6853" s="6"/>
    </row>
    <row r="6854" s="1" customFormat="1" spans="1:3">
      <c r="A6854" s="6"/>
      <c r="B6854" s="6"/>
      <c r="C6854" s="6"/>
    </row>
    <row r="6855" s="1" customFormat="1" spans="1:3">
      <c r="A6855" s="6"/>
      <c r="B6855" s="6"/>
      <c r="C6855" s="6"/>
    </row>
    <row r="6856" s="1" customFormat="1" spans="1:3">
      <c r="A6856" s="6"/>
      <c r="B6856" s="6"/>
      <c r="C6856" s="6"/>
    </row>
    <row r="6857" s="1" customFormat="1" spans="1:3">
      <c r="A6857" s="6"/>
      <c r="B6857" s="6"/>
      <c r="C6857" s="6"/>
    </row>
    <row r="6858" s="1" customFormat="1" spans="1:3">
      <c r="A6858" s="6"/>
      <c r="B6858" s="6"/>
      <c r="C6858" s="6"/>
    </row>
    <row r="6859" s="1" customFormat="1" spans="1:3">
      <c r="A6859" s="6"/>
      <c r="B6859" s="6"/>
      <c r="C6859" s="6"/>
    </row>
    <row r="6860" s="1" customFormat="1" spans="1:3">
      <c r="A6860" s="6"/>
      <c r="B6860" s="6"/>
      <c r="C6860" s="6"/>
    </row>
    <row r="6861" s="1" customFormat="1" spans="1:3">
      <c r="A6861" s="6"/>
      <c r="B6861" s="6"/>
      <c r="C6861" s="6"/>
    </row>
    <row r="6862" s="1" customFormat="1" spans="1:3">
      <c r="A6862" s="6"/>
      <c r="B6862" s="6"/>
      <c r="C6862" s="6"/>
    </row>
    <row r="6863" s="1" customFormat="1" spans="1:3">
      <c r="A6863" s="6"/>
      <c r="B6863" s="6"/>
      <c r="C6863" s="6"/>
    </row>
    <row r="6864" s="1" customFormat="1" spans="1:3">
      <c r="A6864" s="6"/>
      <c r="B6864" s="6"/>
      <c r="C6864" s="6"/>
    </row>
    <row r="6865" s="1" customFormat="1" spans="1:3">
      <c r="A6865" s="6"/>
      <c r="B6865" s="6"/>
      <c r="C6865" s="6"/>
    </row>
    <row r="6866" s="1" customFormat="1" spans="1:3">
      <c r="A6866" s="6"/>
      <c r="B6866" s="6"/>
      <c r="C6866" s="6"/>
    </row>
    <row r="6867" s="1" customFormat="1" spans="1:3">
      <c r="A6867" s="6"/>
      <c r="B6867" s="6"/>
      <c r="C6867" s="6"/>
    </row>
    <row r="6868" s="1" customFormat="1" spans="1:3">
      <c r="A6868" s="6"/>
      <c r="B6868" s="6"/>
      <c r="C6868" s="6"/>
    </row>
    <row r="6869" s="1" customFormat="1" spans="1:3">
      <c r="A6869" s="6"/>
      <c r="B6869" s="6"/>
      <c r="C6869" s="6"/>
    </row>
    <row r="6870" s="1" customFormat="1" spans="1:3">
      <c r="A6870" s="6"/>
      <c r="B6870" s="6"/>
      <c r="C6870" s="6"/>
    </row>
    <row r="6871" s="1" customFormat="1" spans="1:3">
      <c r="A6871" s="6"/>
      <c r="B6871" s="6"/>
      <c r="C6871" s="6"/>
    </row>
    <row r="6872" s="1" customFormat="1" spans="1:3">
      <c r="A6872" s="6"/>
      <c r="B6872" s="6"/>
      <c r="C6872" s="6"/>
    </row>
    <row r="6873" s="1" customFormat="1" spans="1:3">
      <c r="A6873" s="6"/>
      <c r="B6873" s="6"/>
      <c r="C6873" s="6"/>
    </row>
    <row r="6874" s="1" customFormat="1" spans="1:3">
      <c r="A6874" s="6"/>
      <c r="B6874" s="6"/>
      <c r="C6874" s="6"/>
    </row>
    <row r="6875" s="1" customFormat="1" spans="1:3">
      <c r="A6875" s="6"/>
      <c r="B6875" s="6"/>
      <c r="C6875" s="6"/>
    </row>
    <row r="6876" s="1" customFormat="1" spans="1:3">
      <c r="A6876" s="6"/>
      <c r="B6876" s="6"/>
      <c r="C6876" s="6"/>
    </row>
    <row r="6877" s="1" customFormat="1" spans="1:3">
      <c r="A6877" s="6"/>
      <c r="B6877" s="6"/>
      <c r="C6877" s="6"/>
    </row>
    <row r="6878" s="1" customFormat="1" spans="1:3">
      <c r="A6878" s="6"/>
      <c r="B6878" s="6"/>
      <c r="C6878" s="6"/>
    </row>
    <row r="6879" s="1" customFormat="1" spans="1:3">
      <c r="A6879" s="6"/>
      <c r="B6879" s="6"/>
      <c r="C6879" s="6"/>
    </row>
    <row r="6880" s="1" customFormat="1" spans="1:3">
      <c r="A6880" s="6"/>
      <c r="B6880" s="6"/>
      <c r="C6880" s="6"/>
    </row>
    <row r="6881" s="1" customFormat="1" spans="1:3">
      <c r="A6881" s="6"/>
      <c r="B6881" s="6"/>
      <c r="C6881" s="6"/>
    </row>
    <row r="6882" s="1" customFormat="1" spans="1:3">
      <c r="A6882" s="6"/>
      <c r="B6882" s="6"/>
      <c r="C6882" s="6"/>
    </row>
    <row r="6883" s="1" customFormat="1" spans="1:3">
      <c r="A6883" s="6"/>
      <c r="B6883" s="6"/>
      <c r="C6883" s="6"/>
    </row>
    <row r="6884" s="1" customFormat="1" spans="1:3">
      <c r="A6884" s="6"/>
      <c r="B6884" s="6"/>
      <c r="C6884" s="6"/>
    </row>
    <row r="6885" s="1" customFormat="1" spans="1:3">
      <c r="A6885" s="6"/>
      <c r="B6885" s="6"/>
      <c r="C6885" s="6"/>
    </row>
    <row r="6886" s="1" customFormat="1" spans="1:3">
      <c r="A6886" s="6"/>
      <c r="B6886" s="6"/>
      <c r="C6886" s="6"/>
    </row>
    <row r="6887" s="1" customFormat="1" spans="1:3">
      <c r="A6887" s="6"/>
      <c r="B6887" s="6"/>
      <c r="C6887" s="6"/>
    </row>
    <row r="6888" s="1" customFormat="1" spans="1:3">
      <c r="A6888" s="6"/>
      <c r="B6888" s="6"/>
      <c r="C6888" s="6"/>
    </row>
    <row r="6889" s="1" customFormat="1" spans="1:3">
      <c r="A6889" s="6"/>
      <c r="B6889" s="6"/>
      <c r="C6889" s="6"/>
    </row>
    <row r="6890" s="1" customFormat="1" spans="1:3">
      <c r="A6890" s="6"/>
      <c r="B6890" s="6"/>
      <c r="C6890" s="6"/>
    </row>
    <row r="6891" s="1" customFormat="1" spans="1:3">
      <c r="A6891" s="6"/>
      <c r="B6891" s="6"/>
      <c r="C6891" s="6"/>
    </row>
    <row r="6892" s="1" customFormat="1" spans="1:3">
      <c r="A6892" s="6"/>
      <c r="B6892" s="6"/>
      <c r="C6892" s="6"/>
    </row>
    <row r="6893" s="1" customFormat="1" spans="1:3">
      <c r="A6893" s="6"/>
      <c r="B6893" s="6"/>
      <c r="C6893" s="6"/>
    </row>
    <row r="6894" s="1" customFormat="1" spans="1:3">
      <c r="A6894" s="6"/>
      <c r="B6894" s="6"/>
      <c r="C6894" s="6"/>
    </row>
    <row r="6895" s="1" customFormat="1" spans="1:3">
      <c r="A6895" s="6"/>
      <c r="B6895" s="6"/>
      <c r="C6895" s="6"/>
    </row>
    <row r="6896" s="1" customFormat="1" spans="1:3">
      <c r="A6896" s="6"/>
      <c r="B6896" s="6"/>
      <c r="C6896" s="6"/>
    </row>
    <row r="6897" s="1" customFormat="1" spans="1:3">
      <c r="A6897" s="6"/>
      <c r="B6897" s="6"/>
      <c r="C6897" s="6"/>
    </row>
    <row r="6898" s="1" customFormat="1" spans="1:3">
      <c r="A6898" s="6"/>
      <c r="B6898" s="6"/>
      <c r="C6898" s="6"/>
    </row>
    <row r="6899" s="1" customFormat="1" spans="1:3">
      <c r="A6899" s="6"/>
      <c r="B6899" s="6"/>
      <c r="C6899" s="6"/>
    </row>
    <row r="6900" s="1" customFormat="1" spans="1:3">
      <c r="A6900" s="6"/>
      <c r="B6900" s="6"/>
      <c r="C6900" s="6"/>
    </row>
    <row r="6901" s="1" customFormat="1" spans="1:3">
      <c r="A6901" s="6"/>
      <c r="B6901" s="6"/>
      <c r="C6901" s="6"/>
    </row>
    <row r="6902" s="1" customFormat="1" spans="1:3">
      <c r="A6902" s="6"/>
      <c r="B6902" s="6"/>
      <c r="C6902" s="6"/>
    </row>
    <row r="6903" s="1" customFormat="1" spans="1:3">
      <c r="A6903" s="6"/>
      <c r="B6903" s="6"/>
      <c r="C6903" s="6"/>
    </row>
    <row r="6904" s="1" customFormat="1" spans="1:3">
      <c r="A6904" s="6"/>
      <c r="B6904" s="6"/>
      <c r="C6904" s="6"/>
    </row>
    <row r="6905" s="1" customFormat="1" spans="1:3">
      <c r="A6905" s="6"/>
      <c r="B6905" s="6"/>
      <c r="C6905" s="6"/>
    </row>
    <row r="6906" s="1" customFormat="1" spans="1:3">
      <c r="A6906" s="6"/>
      <c r="B6906" s="6"/>
      <c r="C6906" s="6"/>
    </row>
    <row r="6907" s="1" customFormat="1" spans="1:3">
      <c r="A6907" s="6"/>
      <c r="B6907" s="6"/>
      <c r="C6907" s="6"/>
    </row>
    <row r="6908" s="1" customFormat="1" spans="1:3">
      <c r="A6908" s="6"/>
      <c r="B6908" s="6"/>
      <c r="C6908" s="6"/>
    </row>
    <row r="6909" s="1" customFormat="1" spans="1:3">
      <c r="A6909" s="6"/>
      <c r="B6909" s="6"/>
      <c r="C6909" s="6"/>
    </row>
    <row r="6910" s="1" customFormat="1" spans="1:3">
      <c r="A6910" s="6"/>
      <c r="B6910" s="6"/>
      <c r="C6910" s="6"/>
    </row>
    <row r="6911" s="1" customFormat="1" spans="1:3">
      <c r="A6911" s="6"/>
      <c r="B6911" s="6"/>
      <c r="C6911" s="6"/>
    </row>
    <row r="6912" s="1" customFormat="1" spans="1:3">
      <c r="A6912" s="6"/>
      <c r="B6912" s="6"/>
      <c r="C6912" s="6"/>
    </row>
    <row r="6913" s="1" customFormat="1" spans="1:3">
      <c r="A6913" s="6"/>
      <c r="B6913" s="6"/>
      <c r="C6913" s="6"/>
    </row>
    <row r="6914" s="1" customFormat="1" spans="1:3">
      <c r="A6914" s="6"/>
      <c r="B6914" s="6"/>
      <c r="C6914" s="6"/>
    </row>
    <row r="6915" s="1" customFormat="1" spans="1:3">
      <c r="A6915" s="6"/>
      <c r="B6915" s="6"/>
      <c r="C6915" s="6"/>
    </row>
    <row r="6916" s="1" customFormat="1" spans="1:3">
      <c r="A6916" s="6"/>
      <c r="B6916" s="6"/>
      <c r="C6916" s="6"/>
    </row>
    <row r="6917" s="1" customFormat="1" spans="1:3">
      <c r="A6917" s="6"/>
      <c r="B6917" s="6"/>
      <c r="C6917" s="6"/>
    </row>
    <row r="6918" s="1" customFormat="1" spans="1:3">
      <c r="A6918" s="6"/>
      <c r="B6918" s="6"/>
      <c r="C6918" s="6"/>
    </row>
    <row r="6919" s="1" customFormat="1" spans="1:3">
      <c r="A6919" s="6"/>
      <c r="B6919" s="6"/>
      <c r="C6919" s="6"/>
    </row>
    <row r="6920" s="1" customFormat="1" spans="1:3">
      <c r="A6920" s="6"/>
      <c r="B6920" s="6"/>
      <c r="C6920" s="6"/>
    </row>
    <row r="6921" s="1" customFormat="1" spans="1:3">
      <c r="A6921" s="6"/>
      <c r="B6921" s="6"/>
      <c r="C6921" s="6"/>
    </row>
    <row r="6922" s="1" customFormat="1" spans="1:3">
      <c r="A6922" s="6"/>
      <c r="B6922" s="6"/>
      <c r="C6922" s="6"/>
    </row>
    <row r="6923" s="1" customFormat="1" spans="1:3">
      <c r="A6923" s="6"/>
      <c r="B6923" s="6"/>
      <c r="C6923" s="6"/>
    </row>
    <row r="6924" s="1" customFormat="1" spans="1:3">
      <c r="A6924" s="6"/>
      <c r="B6924" s="6"/>
      <c r="C6924" s="6"/>
    </row>
    <row r="6925" s="1" customFormat="1" spans="1:3">
      <c r="A6925" s="6"/>
      <c r="B6925" s="6"/>
      <c r="C6925" s="6"/>
    </row>
    <row r="6926" s="1" customFormat="1" spans="1:3">
      <c r="A6926" s="6"/>
      <c r="B6926" s="6"/>
      <c r="C6926" s="6"/>
    </row>
    <row r="6927" s="1" customFormat="1" spans="1:3">
      <c r="A6927" s="6"/>
      <c r="B6927" s="6"/>
      <c r="C6927" s="6"/>
    </row>
    <row r="6928" s="1" customFormat="1" spans="1:3">
      <c r="A6928" s="6"/>
      <c r="B6928" s="6"/>
      <c r="C6928" s="6"/>
    </row>
    <row r="6929" s="1" customFormat="1" spans="1:3">
      <c r="A6929" s="6"/>
      <c r="B6929" s="6"/>
      <c r="C6929" s="6"/>
    </row>
    <row r="6930" s="1" customFormat="1" spans="1:3">
      <c r="A6930" s="6"/>
      <c r="B6930" s="6"/>
      <c r="C6930" s="6"/>
    </row>
    <row r="6931" s="1" customFormat="1" spans="1:3">
      <c r="A6931" s="6"/>
      <c r="B6931" s="6"/>
      <c r="C6931" s="6"/>
    </row>
    <row r="6932" s="1" customFormat="1" spans="1:3">
      <c r="A6932" s="6"/>
      <c r="B6932" s="6"/>
      <c r="C6932" s="6"/>
    </row>
    <row r="6933" s="1" customFormat="1" spans="1:3">
      <c r="A6933" s="6"/>
      <c r="B6933" s="6"/>
      <c r="C6933" s="6"/>
    </row>
    <row r="6934" s="1" customFormat="1" spans="1:3">
      <c r="A6934" s="6"/>
      <c r="B6934" s="6"/>
      <c r="C6934" s="6"/>
    </row>
    <row r="6935" s="1" customFormat="1" spans="1:3">
      <c r="A6935" s="6"/>
      <c r="B6935" s="6"/>
      <c r="C6935" s="6"/>
    </row>
    <row r="6936" s="1" customFormat="1" spans="1:3">
      <c r="A6936" s="6"/>
      <c r="B6936" s="6"/>
      <c r="C6936" s="6"/>
    </row>
    <row r="6937" s="1" customFormat="1" spans="1:3">
      <c r="A6937" s="6"/>
      <c r="B6937" s="6"/>
      <c r="C6937" s="6"/>
    </row>
    <row r="6938" s="1" customFormat="1" spans="1:3">
      <c r="A6938" s="6"/>
      <c r="B6938" s="6"/>
      <c r="C6938" s="6"/>
    </row>
    <row r="6939" s="1" customFormat="1" spans="1:3">
      <c r="A6939" s="6"/>
      <c r="B6939" s="6"/>
      <c r="C6939" s="6"/>
    </row>
    <row r="6940" s="1" customFormat="1" spans="1:3">
      <c r="A6940" s="6"/>
      <c r="B6940" s="6"/>
      <c r="C6940" s="6"/>
    </row>
    <row r="6941" s="1" customFormat="1" spans="1:3">
      <c r="A6941" s="6"/>
      <c r="B6941" s="6"/>
      <c r="C6941" s="6"/>
    </row>
    <row r="6942" s="1" customFormat="1" spans="1:3">
      <c r="A6942" s="6"/>
      <c r="B6942" s="6"/>
      <c r="C6942" s="6"/>
    </row>
    <row r="6943" s="1" customFormat="1" spans="1:3">
      <c r="A6943" s="6"/>
      <c r="B6943" s="6"/>
      <c r="C6943" s="6"/>
    </row>
    <row r="6944" s="1" customFormat="1" spans="1:3">
      <c r="A6944" s="6"/>
      <c r="B6944" s="6"/>
      <c r="C6944" s="6"/>
    </row>
    <row r="6945" s="1" customFormat="1" spans="1:3">
      <c r="A6945" s="6"/>
      <c r="B6945" s="6"/>
      <c r="C6945" s="6"/>
    </row>
    <row r="6946" s="1" customFormat="1" spans="1:3">
      <c r="A6946" s="6"/>
      <c r="B6946" s="6"/>
      <c r="C6946" s="6"/>
    </row>
    <row r="6947" s="1" customFormat="1" spans="1:3">
      <c r="A6947" s="6"/>
      <c r="B6947" s="6"/>
      <c r="C6947" s="6"/>
    </row>
    <row r="6948" s="1" customFormat="1" spans="1:3">
      <c r="A6948" s="6"/>
      <c r="B6948" s="6"/>
      <c r="C6948" s="6"/>
    </row>
    <row r="6949" s="1" customFormat="1" spans="1:3">
      <c r="A6949" s="6"/>
      <c r="B6949" s="6"/>
      <c r="C6949" s="6"/>
    </row>
    <row r="6950" s="1" customFormat="1" spans="1:3">
      <c r="A6950" s="6"/>
      <c r="B6950" s="6"/>
      <c r="C6950" s="6"/>
    </row>
    <row r="6951" s="1" customFormat="1" spans="1:3">
      <c r="A6951" s="6"/>
      <c r="B6951" s="6"/>
      <c r="C6951" s="6"/>
    </row>
    <row r="6952" s="1" customFormat="1" spans="1:3">
      <c r="A6952" s="6"/>
      <c r="B6952" s="6"/>
      <c r="C6952" s="6"/>
    </row>
    <row r="6953" s="1" customFormat="1" spans="1:3">
      <c r="A6953" s="6"/>
      <c r="B6953" s="6"/>
      <c r="C6953" s="6"/>
    </row>
    <row r="6954" s="1" customFormat="1" spans="1:3">
      <c r="A6954" s="6"/>
      <c r="B6954" s="6"/>
      <c r="C6954" s="6"/>
    </row>
    <row r="6955" s="1" customFormat="1" spans="1:3">
      <c r="A6955" s="6"/>
      <c r="B6955" s="6"/>
      <c r="C6955" s="6"/>
    </row>
    <row r="6956" s="1" customFormat="1" spans="1:3">
      <c r="A6956" s="6"/>
      <c r="B6956" s="6"/>
      <c r="C6956" s="6"/>
    </row>
    <row r="6957" s="1" customFormat="1" spans="1:3">
      <c r="A6957" s="6"/>
      <c r="B6957" s="6"/>
      <c r="C6957" s="6"/>
    </row>
    <row r="6958" s="1" customFormat="1" spans="1:3">
      <c r="A6958" s="6"/>
      <c r="B6958" s="6"/>
      <c r="C6958" s="6"/>
    </row>
    <row r="6959" s="1" customFormat="1" spans="1:3">
      <c r="A6959" s="6"/>
      <c r="B6959" s="6"/>
      <c r="C6959" s="6"/>
    </row>
    <row r="6960" s="1" customFormat="1" spans="1:3">
      <c r="A6960" s="6"/>
      <c r="B6960" s="6"/>
      <c r="C6960" s="6"/>
    </row>
    <row r="6961" s="1" customFormat="1" spans="1:3">
      <c r="A6961" s="6"/>
      <c r="B6961" s="6"/>
      <c r="C6961" s="6"/>
    </row>
    <row r="6962" s="1" customFormat="1" spans="1:3">
      <c r="A6962" s="6"/>
      <c r="B6962" s="6"/>
      <c r="C6962" s="6"/>
    </row>
    <row r="6963" s="1" customFormat="1" spans="1:3">
      <c r="A6963" s="6"/>
      <c r="B6963" s="6"/>
      <c r="C6963" s="6"/>
    </row>
    <row r="6964" s="1" customFormat="1" spans="1:3">
      <c r="A6964" s="6"/>
      <c r="B6964" s="6"/>
      <c r="C6964" s="6"/>
    </row>
    <row r="6965" s="1" customFormat="1" spans="1:3">
      <c r="A6965" s="6"/>
      <c r="B6965" s="6"/>
      <c r="C6965" s="6"/>
    </row>
    <row r="6966" s="1" customFormat="1" spans="1:3">
      <c r="A6966" s="6"/>
      <c r="B6966" s="6"/>
      <c r="C6966" s="6"/>
    </row>
    <row r="6967" s="1" customFormat="1" spans="1:3">
      <c r="A6967" s="6"/>
      <c r="B6967" s="6"/>
      <c r="C6967" s="6"/>
    </row>
    <row r="6968" s="1" customFormat="1" spans="1:3">
      <c r="A6968" s="6"/>
      <c r="B6968" s="6"/>
      <c r="C6968" s="6"/>
    </row>
    <row r="6969" s="1" customFormat="1" spans="1:3">
      <c r="A6969" s="6"/>
      <c r="B6969" s="6"/>
      <c r="C6969" s="6"/>
    </row>
    <row r="6970" s="1" customFormat="1" spans="1:3">
      <c r="A6970" s="6"/>
      <c r="B6970" s="6"/>
      <c r="C6970" s="6"/>
    </row>
    <row r="6971" s="1" customFormat="1" spans="1:3">
      <c r="A6971" s="6"/>
      <c r="B6971" s="6"/>
      <c r="C6971" s="6"/>
    </row>
    <row r="6972" s="1" customFormat="1" spans="1:3">
      <c r="A6972" s="6"/>
      <c r="B6972" s="6"/>
      <c r="C6972" s="6"/>
    </row>
    <row r="6973" s="1" customFormat="1" spans="1:3">
      <c r="A6973" s="6"/>
      <c r="B6973" s="6"/>
      <c r="C6973" s="6"/>
    </row>
    <row r="6974" s="1" customFormat="1" spans="1:3">
      <c r="A6974" s="6"/>
      <c r="B6974" s="6"/>
      <c r="C6974" s="6"/>
    </row>
    <row r="6975" s="1" customFormat="1" spans="1:3">
      <c r="A6975" s="6"/>
      <c r="B6975" s="6"/>
      <c r="C6975" s="6"/>
    </row>
    <row r="6976" s="1" customFormat="1" spans="1:3">
      <c r="A6976" s="6"/>
      <c r="B6976" s="6"/>
      <c r="C6976" s="6"/>
    </row>
    <row r="6977" s="1" customFormat="1" spans="1:3">
      <c r="A6977" s="6"/>
      <c r="B6977" s="6"/>
      <c r="C6977" s="6"/>
    </row>
    <row r="6978" s="1" customFormat="1" spans="1:3">
      <c r="A6978" s="6"/>
      <c r="B6978" s="6"/>
      <c r="C6978" s="6"/>
    </row>
    <row r="6979" s="1" customFormat="1" spans="1:3">
      <c r="A6979" s="6"/>
      <c r="B6979" s="6"/>
      <c r="C6979" s="6"/>
    </row>
    <row r="6980" s="1" customFormat="1" spans="1:3">
      <c r="A6980" s="6"/>
      <c r="B6980" s="6"/>
      <c r="C6980" s="6"/>
    </row>
    <row r="6981" s="1" customFormat="1" spans="1:3">
      <c r="A6981" s="6"/>
      <c r="B6981" s="6"/>
      <c r="C6981" s="6"/>
    </row>
    <row r="6982" s="1" customFormat="1" spans="1:3">
      <c r="A6982" s="6"/>
      <c r="B6982" s="6"/>
      <c r="C6982" s="6"/>
    </row>
    <row r="6983" s="1" customFormat="1" spans="1:3">
      <c r="A6983" s="6"/>
      <c r="B6983" s="6"/>
      <c r="C6983" s="6"/>
    </row>
    <row r="6984" s="1" customFormat="1" spans="1:3">
      <c r="A6984" s="6"/>
      <c r="B6984" s="6"/>
      <c r="C6984" s="6"/>
    </row>
    <row r="6985" s="1" customFormat="1" spans="1:3">
      <c r="A6985" s="6"/>
      <c r="B6985" s="6"/>
      <c r="C6985" s="6"/>
    </row>
    <row r="6986" s="1" customFormat="1" spans="1:3">
      <c r="A6986" s="6"/>
      <c r="B6986" s="6"/>
      <c r="C6986" s="6"/>
    </row>
    <row r="6987" s="1" customFormat="1" spans="1:3">
      <c r="A6987" s="6"/>
      <c r="B6987" s="6"/>
      <c r="C6987" s="6"/>
    </row>
    <row r="6988" s="1" customFormat="1" spans="1:3">
      <c r="A6988" s="6"/>
      <c r="B6988" s="6"/>
      <c r="C6988" s="6"/>
    </row>
    <row r="6989" s="1" customFormat="1" spans="1:3">
      <c r="A6989" s="6"/>
      <c r="B6989" s="6"/>
      <c r="C6989" s="6"/>
    </row>
    <row r="6990" s="1" customFormat="1" spans="1:3">
      <c r="A6990" s="6"/>
      <c r="B6990" s="6"/>
      <c r="C6990" s="6"/>
    </row>
    <row r="6991" s="1" customFormat="1" spans="1:3">
      <c r="A6991" s="6"/>
      <c r="B6991" s="6"/>
      <c r="C6991" s="6"/>
    </row>
    <row r="6992" s="1" customFormat="1" spans="1:3">
      <c r="A6992" s="6"/>
      <c r="B6992" s="6"/>
      <c r="C6992" s="6"/>
    </row>
    <row r="6993" s="1" customFormat="1" spans="1:3">
      <c r="A6993" s="6"/>
      <c r="B6993" s="6"/>
      <c r="C6993" s="6"/>
    </row>
    <row r="6994" s="1" customFormat="1" spans="1:3">
      <c r="A6994" s="6"/>
      <c r="B6994" s="6"/>
      <c r="C6994" s="6"/>
    </row>
    <row r="6995" s="1" customFormat="1" spans="1:3">
      <c r="A6995" s="6"/>
      <c r="B6995" s="6"/>
      <c r="C6995" s="6"/>
    </row>
    <row r="6996" s="1" customFormat="1" spans="1:3">
      <c r="A6996" s="6"/>
      <c r="B6996" s="6"/>
      <c r="C6996" s="6"/>
    </row>
    <row r="6997" s="1" customFormat="1" spans="1:3">
      <c r="A6997" s="6"/>
      <c r="B6997" s="6"/>
      <c r="C6997" s="6"/>
    </row>
    <row r="6998" s="1" customFormat="1" spans="1:3">
      <c r="A6998" s="6"/>
      <c r="B6998" s="6"/>
      <c r="C6998" s="6"/>
    </row>
    <row r="6999" s="1" customFormat="1" spans="1:3">
      <c r="A6999" s="6"/>
      <c r="B6999" s="6"/>
      <c r="C6999" s="6"/>
    </row>
    <row r="7000" s="1" customFormat="1" spans="1:3">
      <c r="A7000" s="6"/>
      <c r="B7000" s="6"/>
      <c r="C7000" s="6"/>
    </row>
    <row r="7001" s="1" customFormat="1" spans="1:3">
      <c r="A7001" s="6"/>
      <c r="B7001" s="6"/>
      <c r="C7001" s="6"/>
    </row>
    <row r="7002" s="1" customFormat="1" spans="1:3">
      <c r="A7002" s="6"/>
      <c r="B7002" s="6"/>
      <c r="C7002" s="6"/>
    </row>
    <row r="7003" s="1" customFormat="1" spans="1:3">
      <c r="A7003" s="6"/>
      <c r="B7003" s="6"/>
      <c r="C7003" s="6"/>
    </row>
    <row r="7004" s="1" customFormat="1" spans="1:3">
      <c r="A7004" s="6"/>
      <c r="B7004" s="6"/>
      <c r="C7004" s="6"/>
    </row>
    <row r="7005" s="1" customFormat="1" spans="1:3">
      <c r="A7005" s="6"/>
      <c r="B7005" s="6"/>
      <c r="C7005" s="6"/>
    </row>
    <row r="7006" s="1" customFormat="1" spans="1:3">
      <c r="A7006" s="6"/>
      <c r="B7006" s="6"/>
      <c r="C7006" s="6"/>
    </row>
    <row r="7007" s="1" customFormat="1" spans="1:3">
      <c r="A7007" s="6"/>
      <c r="B7007" s="6"/>
      <c r="C7007" s="6"/>
    </row>
    <row r="7008" s="1" customFormat="1" spans="1:3">
      <c r="A7008" s="6"/>
      <c r="B7008" s="6"/>
      <c r="C7008" s="6"/>
    </row>
    <row r="7009" s="1" customFormat="1" spans="1:3">
      <c r="A7009" s="6"/>
      <c r="B7009" s="6"/>
      <c r="C7009" s="6"/>
    </row>
    <row r="7010" s="1" customFormat="1" spans="1:3">
      <c r="A7010" s="6"/>
      <c r="B7010" s="6"/>
      <c r="C7010" s="6"/>
    </row>
    <row r="7011" s="1" customFormat="1" spans="1:3">
      <c r="A7011" s="6"/>
      <c r="B7011" s="6"/>
      <c r="C7011" s="6"/>
    </row>
    <row r="7012" s="1" customFormat="1" spans="1:3">
      <c r="A7012" s="6"/>
      <c r="B7012" s="6"/>
      <c r="C7012" s="6"/>
    </row>
    <row r="7013" s="1" customFormat="1" spans="1:3">
      <c r="A7013" s="6"/>
      <c r="B7013" s="6"/>
      <c r="C7013" s="6"/>
    </row>
    <row r="7014" s="1" customFormat="1" spans="1:3">
      <c r="A7014" s="6"/>
      <c r="B7014" s="6"/>
      <c r="C7014" s="6"/>
    </row>
    <row r="7015" s="1" customFormat="1" spans="1:3">
      <c r="A7015" s="6"/>
      <c r="B7015" s="6"/>
      <c r="C7015" s="6"/>
    </row>
    <row r="7016" s="1" customFormat="1" spans="1:3">
      <c r="A7016" s="6"/>
      <c r="B7016" s="6"/>
      <c r="C7016" s="6"/>
    </row>
    <row r="7017" s="1" customFormat="1" spans="1:3">
      <c r="A7017" s="6"/>
      <c r="B7017" s="6"/>
      <c r="C7017" s="6"/>
    </row>
    <row r="7018" s="1" customFormat="1" spans="1:3">
      <c r="A7018" s="6"/>
      <c r="B7018" s="6"/>
      <c r="C7018" s="6"/>
    </row>
    <row r="7019" s="1" customFormat="1" spans="1:3">
      <c r="A7019" s="6"/>
      <c r="B7019" s="6"/>
      <c r="C7019" s="6"/>
    </row>
    <row r="7020" s="1" customFormat="1" spans="1:3">
      <c r="A7020" s="6"/>
      <c r="B7020" s="6"/>
      <c r="C7020" s="6"/>
    </row>
    <row r="7021" s="1" customFormat="1" spans="1:3">
      <c r="A7021" s="6"/>
      <c r="B7021" s="6"/>
      <c r="C7021" s="6"/>
    </row>
    <row r="7022" s="1" customFormat="1" spans="1:3">
      <c r="A7022" s="6"/>
      <c r="B7022" s="6"/>
      <c r="C7022" s="6"/>
    </row>
    <row r="7023" s="1" customFormat="1" spans="1:3">
      <c r="A7023" s="6"/>
      <c r="B7023" s="6"/>
      <c r="C7023" s="6"/>
    </row>
    <row r="7024" s="1" customFormat="1" spans="1:3">
      <c r="A7024" s="6"/>
      <c r="B7024" s="6"/>
      <c r="C7024" s="6"/>
    </row>
    <row r="7025" s="1" customFormat="1" spans="1:3">
      <c r="A7025" s="6"/>
      <c r="B7025" s="6"/>
      <c r="C7025" s="6"/>
    </row>
    <row r="7026" s="1" customFormat="1" spans="1:3">
      <c r="A7026" s="6"/>
      <c r="B7026" s="6"/>
      <c r="C7026" s="6"/>
    </row>
    <row r="7027" s="1" customFormat="1" spans="1:3">
      <c r="A7027" s="6"/>
      <c r="B7027" s="6"/>
      <c r="C7027" s="6"/>
    </row>
    <row r="7028" s="1" customFormat="1" spans="1:3">
      <c r="A7028" s="6"/>
      <c r="B7028" s="6"/>
      <c r="C7028" s="6"/>
    </row>
    <row r="7029" s="1" customFormat="1" spans="1:3">
      <c r="A7029" s="6"/>
      <c r="B7029" s="6"/>
      <c r="C7029" s="6"/>
    </row>
    <row r="7030" s="1" customFormat="1" spans="1:3">
      <c r="A7030" s="6"/>
      <c r="B7030" s="6"/>
      <c r="C7030" s="6"/>
    </row>
    <row r="7031" s="1" customFormat="1" spans="1:3">
      <c r="A7031" s="6"/>
      <c r="B7031" s="6"/>
      <c r="C7031" s="6"/>
    </row>
    <row r="7032" s="1" customFormat="1" spans="1:3">
      <c r="A7032" s="6"/>
      <c r="B7032" s="6"/>
      <c r="C7032" s="6"/>
    </row>
    <row r="7033" s="1" customFormat="1" spans="1:3">
      <c r="A7033" s="6"/>
      <c r="B7033" s="6"/>
      <c r="C7033" s="6"/>
    </row>
    <row r="7034" s="1" customFormat="1" spans="1:3">
      <c r="A7034" s="6"/>
      <c r="B7034" s="6"/>
      <c r="C7034" s="6"/>
    </row>
    <row r="7035" s="1" customFormat="1" spans="1:3">
      <c r="A7035" s="6"/>
      <c r="B7035" s="6"/>
      <c r="C7035" s="6"/>
    </row>
    <row r="7036" s="1" customFormat="1" spans="1:3">
      <c r="A7036" s="6"/>
      <c r="B7036" s="6"/>
      <c r="C7036" s="6"/>
    </row>
    <row r="7037" s="1" customFormat="1" spans="1:3">
      <c r="A7037" s="6"/>
      <c r="B7037" s="6"/>
      <c r="C7037" s="6"/>
    </row>
    <row r="7038" s="1" customFormat="1" spans="1:3">
      <c r="A7038" s="6"/>
      <c r="B7038" s="6"/>
      <c r="C7038" s="6"/>
    </row>
    <row r="7039" s="1" customFormat="1" spans="1:3">
      <c r="A7039" s="6"/>
      <c r="B7039" s="6"/>
      <c r="C7039" s="6"/>
    </row>
    <row r="7040" s="1" customFormat="1" spans="1:3">
      <c r="A7040" s="6"/>
      <c r="B7040" s="6"/>
      <c r="C7040" s="6"/>
    </row>
    <row r="7041" s="1" customFormat="1" spans="1:3">
      <c r="A7041" s="6"/>
      <c r="B7041" s="6"/>
      <c r="C7041" s="6"/>
    </row>
    <row r="7042" s="1" customFormat="1" spans="1:3">
      <c r="A7042" s="6"/>
      <c r="B7042" s="6"/>
      <c r="C7042" s="6"/>
    </row>
    <row r="7043" s="1" customFormat="1" spans="1:3">
      <c r="A7043" s="6"/>
      <c r="B7043" s="6"/>
      <c r="C7043" s="6"/>
    </row>
    <row r="7044" s="1" customFormat="1" spans="1:3">
      <c r="A7044" s="6"/>
      <c r="B7044" s="6"/>
      <c r="C7044" s="6"/>
    </row>
    <row r="7045" s="1" customFormat="1" spans="1:3">
      <c r="A7045" s="6"/>
      <c r="B7045" s="6"/>
      <c r="C7045" s="6"/>
    </row>
    <row r="7046" s="1" customFormat="1" spans="1:3">
      <c r="A7046" s="6"/>
      <c r="B7046" s="6"/>
      <c r="C7046" s="6"/>
    </row>
    <row r="7047" s="1" customFormat="1" spans="1:3">
      <c r="A7047" s="6"/>
      <c r="B7047" s="6"/>
      <c r="C7047" s="6"/>
    </row>
    <row r="7048" s="1" customFormat="1" spans="1:3">
      <c r="A7048" s="6"/>
      <c r="B7048" s="6"/>
      <c r="C7048" s="6"/>
    </row>
    <row r="7049" s="1" customFormat="1" spans="1:3">
      <c r="A7049" s="6"/>
      <c r="B7049" s="6"/>
      <c r="C7049" s="6"/>
    </row>
    <row r="7050" s="1" customFormat="1" spans="1:3">
      <c r="A7050" s="6"/>
      <c r="B7050" s="6"/>
      <c r="C7050" s="6"/>
    </row>
    <row r="7051" s="1" customFormat="1" spans="1:3">
      <c r="A7051" s="6"/>
      <c r="B7051" s="6"/>
      <c r="C7051" s="6"/>
    </row>
    <row r="7052" s="1" customFormat="1" spans="1:3">
      <c r="A7052" s="6"/>
      <c r="B7052" s="6"/>
      <c r="C7052" s="6"/>
    </row>
    <row r="7053" s="1" customFormat="1" spans="1:3">
      <c r="A7053" s="6"/>
      <c r="B7053" s="6"/>
      <c r="C7053" s="6"/>
    </row>
    <row r="7054" s="1" customFormat="1" spans="1:3">
      <c r="A7054" s="6"/>
      <c r="B7054" s="6"/>
      <c r="C7054" s="6"/>
    </row>
    <row r="7055" s="1" customFormat="1" spans="1:3">
      <c r="A7055" s="6"/>
      <c r="B7055" s="6"/>
      <c r="C7055" s="6"/>
    </row>
    <row r="7056" s="1" customFormat="1" spans="1:3">
      <c r="A7056" s="6"/>
      <c r="B7056" s="6"/>
      <c r="C7056" s="6"/>
    </row>
    <row r="7057" s="1" customFormat="1" spans="1:3">
      <c r="A7057" s="6"/>
      <c r="B7057" s="6"/>
      <c r="C7057" s="6"/>
    </row>
    <row r="7058" s="1" customFormat="1" spans="1:3">
      <c r="A7058" s="6"/>
      <c r="B7058" s="6"/>
      <c r="C7058" s="6"/>
    </row>
    <row r="7059" s="1" customFormat="1" spans="1:3">
      <c r="A7059" s="6"/>
      <c r="B7059" s="6"/>
      <c r="C7059" s="6"/>
    </row>
    <row r="7060" s="1" customFormat="1" spans="1:3">
      <c r="A7060" s="6"/>
      <c r="B7060" s="6"/>
      <c r="C7060" s="6"/>
    </row>
    <row r="7061" s="1" customFormat="1" spans="1:3">
      <c r="A7061" s="6"/>
      <c r="B7061" s="6"/>
      <c r="C7061" s="6"/>
    </row>
    <row r="7062" s="1" customFormat="1" spans="1:3">
      <c r="A7062" s="6"/>
      <c r="B7062" s="6"/>
      <c r="C7062" s="6"/>
    </row>
    <row r="7063" s="1" customFormat="1" spans="1:3">
      <c r="A7063" s="6"/>
      <c r="B7063" s="6"/>
      <c r="C7063" s="6"/>
    </row>
    <row r="7064" s="1" customFormat="1" spans="1:3">
      <c r="A7064" s="6"/>
      <c r="B7064" s="6"/>
      <c r="C7064" s="6"/>
    </row>
    <row r="7065" s="1" customFormat="1" spans="1:3">
      <c r="A7065" s="6"/>
      <c r="B7065" s="6"/>
      <c r="C7065" s="6"/>
    </row>
    <row r="7066" s="1" customFormat="1" spans="1:3">
      <c r="A7066" s="6"/>
      <c r="B7066" s="6"/>
      <c r="C7066" s="6"/>
    </row>
    <row r="7067" s="1" customFormat="1" spans="1:3">
      <c r="A7067" s="6"/>
      <c r="B7067" s="6"/>
      <c r="C7067" s="6"/>
    </row>
    <row r="7068" s="1" customFormat="1" spans="1:3">
      <c r="A7068" s="6"/>
      <c r="B7068" s="6"/>
      <c r="C7068" s="6"/>
    </row>
    <row r="7069" s="1" customFormat="1" spans="1:3">
      <c r="A7069" s="6"/>
      <c r="B7069" s="6"/>
      <c r="C7069" s="6"/>
    </row>
    <row r="7070" s="1" customFormat="1" spans="1:3">
      <c r="A7070" s="6"/>
      <c r="B7070" s="6"/>
      <c r="C7070" s="6"/>
    </row>
    <row r="7071" s="1" customFormat="1" spans="1:3">
      <c r="A7071" s="6"/>
      <c r="B7071" s="6"/>
      <c r="C7071" s="6"/>
    </row>
    <row r="7072" s="1" customFormat="1" spans="1:3">
      <c r="A7072" s="6"/>
      <c r="B7072" s="6"/>
      <c r="C7072" s="6"/>
    </row>
    <row r="7073" s="1" customFormat="1" spans="1:3">
      <c r="A7073" s="6"/>
      <c r="B7073" s="6"/>
      <c r="C7073" s="6"/>
    </row>
    <row r="7074" s="1" customFormat="1" spans="1:3">
      <c r="A7074" s="6"/>
      <c r="B7074" s="6"/>
      <c r="C7074" s="6"/>
    </row>
    <row r="7075" s="1" customFormat="1" spans="1:3">
      <c r="A7075" s="6"/>
      <c r="B7075" s="6"/>
      <c r="C7075" s="6"/>
    </row>
    <row r="7076" s="1" customFormat="1" spans="1:3">
      <c r="A7076" s="6"/>
      <c r="B7076" s="6"/>
      <c r="C7076" s="6"/>
    </row>
    <row r="7077" s="1" customFormat="1" spans="1:3">
      <c r="A7077" s="6"/>
      <c r="B7077" s="6"/>
      <c r="C7077" s="6"/>
    </row>
    <row r="7078" s="1" customFormat="1" spans="1:3">
      <c r="A7078" s="6"/>
      <c r="B7078" s="6"/>
      <c r="C7078" s="6"/>
    </row>
    <row r="7079" s="1" customFormat="1" spans="1:3">
      <c r="A7079" s="6"/>
      <c r="B7079" s="6"/>
      <c r="C7079" s="6"/>
    </row>
    <row r="7080" s="1" customFormat="1" spans="1:3">
      <c r="A7080" s="6"/>
      <c r="B7080" s="6"/>
      <c r="C7080" s="6"/>
    </row>
    <row r="7081" s="1" customFormat="1" spans="1:3">
      <c r="A7081" s="6"/>
      <c r="B7081" s="6"/>
      <c r="C7081" s="6"/>
    </row>
    <row r="7082" s="1" customFormat="1" spans="1:3">
      <c r="A7082" s="6"/>
      <c r="B7082" s="6"/>
      <c r="C7082" s="6"/>
    </row>
    <row r="7083" s="1" customFormat="1" spans="1:3">
      <c r="A7083" s="6"/>
      <c r="B7083" s="6"/>
      <c r="C7083" s="6"/>
    </row>
    <row r="7084" s="1" customFormat="1" spans="1:3">
      <c r="A7084" s="6"/>
      <c r="B7084" s="6"/>
      <c r="C7084" s="6"/>
    </row>
    <row r="7085" s="1" customFormat="1" spans="1:3">
      <c r="A7085" s="6"/>
      <c r="B7085" s="6"/>
      <c r="C7085" s="6"/>
    </row>
    <row r="7086" s="1" customFormat="1" spans="1:3">
      <c r="A7086" s="6"/>
      <c r="B7086" s="6"/>
      <c r="C7086" s="6"/>
    </row>
    <row r="7087" s="1" customFormat="1" spans="1:3">
      <c r="A7087" s="6"/>
      <c r="B7087" s="6"/>
      <c r="C7087" s="6"/>
    </row>
    <row r="7088" s="1" customFormat="1" spans="1:3">
      <c r="A7088" s="6"/>
      <c r="B7088" s="6"/>
      <c r="C7088" s="6"/>
    </row>
    <row r="7089" s="1" customFormat="1" spans="1:3">
      <c r="A7089" s="6"/>
      <c r="B7089" s="6"/>
      <c r="C7089" s="6"/>
    </row>
    <row r="7090" s="1" customFormat="1" spans="1:3">
      <c r="A7090" s="6"/>
      <c r="B7090" s="6"/>
      <c r="C7090" s="6"/>
    </row>
    <row r="7091" s="1" customFormat="1" spans="1:3">
      <c r="A7091" s="6"/>
      <c r="B7091" s="6"/>
      <c r="C7091" s="6"/>
    </row>
    <row r="7092" s="1" customFormat="1" spans="1:3">
      <c r="A7092" s="6"/>
      <c r="B7092" s="6"/>
      <c r="C7092" s="6"/>
    </row>
    <row r="7093" s="1" customFormat="1" spans="1:3">
      <c r="A7093" s="6"/>
      <c r="B7093" s="6"/>
      <c r="C7093" s="6"/>
    </row>
    <row r="7094" s="1" customFormat="1" spans="1:3">
      <c r="A7094" s="6"/>
      <c r="B7094" s="6"/>
      <c r="C7094" s="6"/>
    </row>
    <row r="7095" s="1" customFormat="1" spans="1:3">
      <c r="A7095" s="6"/>
      <c r="B7095" s="6"/>
      <c r="C7095" s="6"/>
    </row>
    <row r="7096" s="1" customFormat="1" spans="1:3">
      <c r="A7096" s="6"/>
      <c r="B7096" s="6"/>
      <c r="C7096" s="6"/>
    </row>
    <row r="7097" s="1" customFormat="1" spans="1:3">
      <c r="A7097" s="6"/>
      <c r="B7097" s="6"/>
      <c r="C7097" s="6"/>
    </row>
    <row r="7098" s="1" customFormat="1" spans="1:3">
      <c r="A7098" s="6"/>
      <c r="B7098" s="6"/>
      <c r="C7098" s="6"/>
    </row>
    <row r="7099" s="1" customFormat="1" spans="1:3">
      <c r="A7099" s="6"/>
      <c r="B7099" s="6"/>
      <c r="C7099" s="6"/>
    </row>
    <row r="7100" s="1" customFormat="1" spans="1:3">
      <c r="A7100" s="6"/>
      <c r="B7100" s="6"/>
      <c r="C7100" s="6"/>
    </row>
    <row r="7101" s="1" customFormat="1" spans="1:3">
      <c r="A7101" s="6"/>
      <c r="B7101" s="6"/>
      <c r="C7101" s="6"/>
    </row>
    <row r="7102" s="1" customFormat="1" spans="1:3">
      <c r="A7102" s="6"/>
      <c r="B7102" s="6"/>
      <c r="C7102" s="6"/>
    </row>
    <row r="7103" s="1" customFormat="1" spans="1:3">
      <c r="A7103" s="6"/>
      <c r="B7103" s="6"/>
      <c r="C7103" s="6"/>
    </row>
    <row r="7104" s="1" customFormat="1" spans="1:3">
      <c r="A7104" s="6"/>
      <c r="B7104" s="6"/>
      <c r="C7104" s="6"/>
    </row>
    <row r="7105" s="1" customFormat="1" spans="1:3">
      <c r="A7105" s="6"/>
      <c r="B7105" s="6"/>
      <c r="C7105" s="6"/>
    </row>
    <row r="7106" s="1" customFormat="1" spans="1:3">
      <c r="A7106" s="6"/>
      <c r="B7106" s="6"/>
      <c r="C7106" s="6"/>
    </row>
    <row r="7107" s="1" customFormat="1" spans="1:3">
      <c r="A7107" s="6"/>
      <c r="B7107" s="6"/>
      <c r="C7107" s="6"/>
    </row>
    <row r="7108" s="1" customFormat="1" spans="1:3">
      <c r="A7108" s="6"/>
      <c r="B7108" s="6"/>
      <c r="C7108" s="6"/>
    </row>
    <row r="7109" s="1" customFormat="1" spans="1:3">
      <c r="A7109" s="6"/>
      <c r="B7109" s="6"/>
      <c r="C7109" s="6"/>
    </row>
    <row r="7110" s="1" customFormat="1" spans="1:3">
      <c r="A7110" s="6"/>
      <c r="B7110" s="6"/>
      <c r="C7110" s="6"/>
    </row>
    <row r="7111" s="1" customFormat="1" spans="1:3">
      <c r="A7111" s="6"/>
      <c r="B7111" s="6"/>
      <c r="C7111" s="6"/>
    </row>
    <row r="7112" s="1" customFormat="1" spans="1:3">
      <c r="A7112" s="6"/>
      <c r="B7112" s="6"/>
      <c r="C7112" s="6"/>
    </row>
    <row r="7113" s="1" customFormat="1" spans="1:3">
      <c r="A7113" s="6"/>
      <c r="B7113" s="6"/>
      <c r="C7113" s="6"/>
    </row>
    <row r="7114" s="1" customFormat="1" spans="1:3">
      <c r="A7114" s="6"/>
      <c r="B7114" s="6"/>
      <c r="C7114" s="6"/>
    </row>
    <row r="7115" s="1" customFormat="1" spans="1:3">
      <c r="A7115" s="6"/>
      <c r="B7115" s="6"/>
      <c r="C7115" s="6"/>
    </row>
    <row r="7116" s="1" customFormat="1" spans="1:3">
      <c r="A7116" s="6"/>
      <c r="B7116" s="6"/>
      <c r="C7116" s="6"/>
    </row>
    <row r="7117" s="1" customFormat="1" spans="1:3">
      <c r="A7117" s="6"/>
      <c r="B7117" s="6"/>
      <c r="C7117" s="6"/>
    </row>
    <row r="7118" s="1" customFormat="1" spans="1:3">
      <c r="A7118" s="6"/>
      <c r="B7118" s="6"/>
      <c r="C7118" s="6"/>
    </row>
    <row r="7119" s="1" customFormat="1" spans="1:3">
      <c r="A7119" s="6"/>
      <c r="B7119" s="6"/>
      <c r="C7119" s="6"/>
    </row>
    <row r="7120" s="1" customFormat="1" spans="1:3">
      <c r="A7120" s="6"/>
      <c r="B7120" s="6"/>
      <c r="C7120" s="6"/>
    </row>
    <row r="7121" s="1" customFormat="1" spans="1:3">
      <c r="A7121" s="6"/>
      <c r="B7121" s="6"/>
      <c r="C7121" s="6"/>
    </row>
    <row r="7122" s="1" customFormat="1" spans="1:3">
      <c r="A7122" s="6"/>
      <c r="B7122" s="6"/>
      <c r="C7122" s="6"/>
    </row>
    <row r="7123" s="1" customFormat="1" spans="1:3">
      <c r="A7123" s="6"/>
      <c r="B7123" s="6"/>
      <c r="C7123" s="6"/>
    </row>
    <row r="7124" s="1" customFormat="1" spans="1:3">
      <c r="A7124" s="6"/>
      <c r="B7124" s="6"/>
      <c r="C7124" s="6"/>
    </row>
    <row r="7125" s="1" customFormat="1" spans="1:3">
      <c r="A7125" s="6"/>
      <c r="B7125" s="6"/>
      <c r="C7125" s="6"/>
    </row>
    <row r="7126" s="1" customFormat="1" spans="1:3">
      <c r="A7126" s="6"/>
      <c r="B7126" s="6"/>
      <c r="C7126" s="6"/>
    </row>
    <row r="7127" s="1" customFormat="1" spans="1:3">
      <c r="A7127" s="6"/>
      <c r="B7127" s="6"/>
      <c r="C7127" s="6"/>
    </row>
    <row r="7128" s="1" customFormat="1" spans="1:3">
      <c r="A7128" s="6"/>
      <c r="B7128" s="6"/>
      <c r="C7128" s="6"/>
    </row>
    <row r="7129" s="1" customFormat="1" spans="1:3">
      <c r="A7129" s="6"/>
      <c r="B7129" s="6"/>
      <c r="C7129" s="6"/>
    </row>
    <row r="7130" s="1" customFormat="1" spans="1:3">
      <c r="A7130" s="6"/>
      <c r="B7130" s="6"/>
      <c r="C7130" s="6"/>
    </row>
    <row r="7131" s="1" customFormat="1" spans="1:3">
      <c r="A7131" s="6"/>
      <c r="B7131" s="6"/>
      <c r="C7131" s="6"/>
    </row>
    <row r="7132" s="1" customFormat="1" spans="1:3">
      <c r="A7132" s="6"/>
      <c r="B7132" s="6"/>
      <c r="C7132" s="6"/>
    </row>
    <row r="7133" s="1" customFormat="1" spans="1:3">
      <c r="A7133" s="6"/>
      <c r="B7133" s="6"/>
      <c r="C7133" s="6"/>
    </row>
    <row r="7134" s="1" customFormat="1" spans="1:3">
      <c r="A7134" s="6"/>
      <c r="B7134" s="6"/>
      <c r="C7134" s="6"/>
    </row>
    <row r="7135" s="1" customFormat="1" spans="1:3">
      <c r="A7135" s="6"/>
      <c r="B7135" s="6"/>
      <c r="C7135" s="6"/>
    </row>
    <row r="7136" s="1" customFormat="1" spans="1:3">
      <c r="A7136" s="6"/>
      <c r="B7136" s="6"/>
      <c r="C7136" s="6"/>
    </row>
    <row r="7137" s="1" customFormat="1" spans="1:3">
      <c r="A7137" s="6"/>
      <c r="B7137" s="6"/>
      <c r="C7137" s="6"/>
    </row>
    <row r="7138" s="1" customFormat="1" spans="1:3">
      <c r="A7138" s="6"/>
      <c r="B7138" s="6"/>
      <c r="C7138" s="6"/>
    </row>
    <row r="7139" s="1" customFormat="1" spans="1:3">
      <c r="A7139" s="6"/>
      <c r="B7139" s="6"/>
      <c r="C7139" s="6"/>
    </row>
    <row r="7140" s="1" customFormat="1" spans="1:3">
      <c r="A7140" s="6"/>
      <c r="B7140" s="6"/>
      <c r="C7140" s="6"/>
    </row>
    <row r="7141" s="1" customFormat="1" spans="1:3">
      <c r="A7141" s="6"/>
      <c r="B7141" s="6"/>
      <c r="C7141" s="6"/>
    </row>
    <row r="7142" s="1" customFormat="1" spans="1:3">
      <c r="A7142" s="6"/>
      <c r="B7142" s="6"/>
      <c r="C7142" s="6"/>
    </row>
    <row r="7143" s="1" customFormat="1" spans="1:3">
      <c r="A7143" s="6"/>
      <c r="B7143" s="6"/>
      <c r="C7143" s="6"/>
    </row>
    <row r="7144" s="1" customFormat="1" spans="1:3">
      <c r="A7144" s="6"/>
      <c r="B7144" s="6"/>
      <c r="C7144" s="6"/>
    </row>
    <row r="7145" s="1" customFormat="1" spans="1:3">
      <c r="A7145" s="6"/>
      <c r="B7145" s="6"/>
      <c r="C7145" s="6"/>
    </row>
    <row r="7146" s="1" customFormat="1" spans="1:3">
      <c r="A7146" s="6"/>
      <c r="B7146" s="6"/>
      <c r="C7146" s="6"/>
    </row>
    <row r="7147" s="1" customFormat="1" spans="1:3">
      <c r="A7147" s="6"/>
      <c r="B7147" s="6"/>
      <c r="C7147" s="6"/>
    </row>
    <row r="7148" s="1" customFormat="1" spans="1:3">
      <c r="A7148" s="6"/>
      <c r="B7148" s="6"/>
      <c r="C7148" s="6"/>
    </row>
    <row r="7149" s="1" customFormat="1" spans="1:3">
      <c r="A7149" s="6"/>
      <c r="B7149" s="6"/>
      <c r="C7149" s="6"/>
    </row>
    <row r="7150" s="1" customFormat="1" spans="1:3">
      <c r="A7150" s="6"/>
      <c r="B7150" s="6"/>
      <c r="C7150" s="6"/>
    </row>
    <row r="7151" s="1" customFormat="1" spans="1:3">
      <c r="A7151" s="6"/>
      <c r="B7151" s="6"/>
      <c r="C7151" s="6"/>
    </row>
    <row r="7152" s="1" customFormat="1" spans="1:3">
      <c r="A7152" s="6"/>
      <c r="B7152" s="6"/>
      <c r="C7152" s="6"/>
    </row>
    <row r="7153" s="1" customFormat="1" spans="1:3">
      <c r="A7153" s="6"/>
      <c r="B7153" s="6"/>
      <c r="C7153" s="6"/>
    </row>
    <row r="7154" s="1" customFormat="1" spans="1:3">
      <c r="A7154" s="6"/>
      <c r="B7154" s="6"/>
      <c r="C7154" s="6"/>
    </row>
    <row r="7155" s="1" customFormat="1" spans="1:3">
      <c r="A7155" s="6"/>
      <c r="B7155" s="6"/>
      <c r="C7155" s="6"/>
    </row>
    <row r="7156" s="1" customFormat="1" spans="1:3">
      <c r="A7156" s="6"/>
      <c r="B7156" s="6"/>
      <c r="C7156" s="6"/>
    </row>
    <row r="7157" s="1" customFormat="1" spans="1:3">
      <c r="A7157" s="6"/>
      <c r="B7157" s="6"/>
      <c r="C7157" s="6"/>
    </row>
    <row r="7158" s="1" customFormat="1" spans="1:3">
      <c r="A7158" s="6"/>
      <c r="B7158" s="6"/>
      <c r="C7158" s="6"/>
    </row>
    <row r="7159" s="1" customFormat="1" spans="1:3">
      <c r="A7159" s="6"/>
      <c r="B7159" s="6"/>
      <c r="C7159" s="6"/>
    </row>
    <row r="7160" s="1" customFormat="1" spans="1:3">
      <c r="A7160" s="6"/>
      <c r="B7160" s="6"/>
      <c r="C7160" s="6"/>
    </row>
    <row r="7161" s="1" customFormat="1" spans="1:3">
      <c r="A7161" s="6"/>
      <c r="B7161" s="6"/>
      <c r="C7161" s="6"/>
    </row>
    <row r="7162" s="1" customFormat="1" spans="1:3">
      <c r="A7162" s="6"/>
      <c r="B7162" s="6"/>
      <c r="C7162" s="6"/>
    </row>
    <row r="7163" s="1" customFormat="1" spans="1:3">
      <c r="A7163" s="6"/>
      <c r="B7163" s="6"/>
      <c r="C7163" s="6"/>
    </row>
    <row r="7164" s="1" customFormat="1" spans="1:3">
      <c r="A7164" s="6"/>
      <c r="B7164" s="6"/>
      <c r="C7164" s="6"/>
    </row>
    <row r="7165" s="1" customFormat="1" spans="1:3">
      <c r="A7165" s="6"/>
      <c r="B7165" s="6"/>
      <c r="C7165" s="6"/>
    </row>
    <row r="7166" s="1" customFormat="1" spans="1:3">
      <c r="A7166" s="6"/>
      <c r="B7166" s="6"/>
      <c r="C7166" s="6"/>
    </row>
    <row r="7167" s="1" customFormat="1" spans="1:3">
      <c r="A7167" s="6"/>
      <c r="B7167" s="6"/>
      <c r="C7167" s="6"/>
    </row>
    <row r="7168" s="1" customFormat="1" spans="1:3">
      <c r="A7168" s="6"/>
      <c r="B7168" s="6"/>
      <c r="C7168" s="6"/>
    </row>
    <row r="7169" s="1" customFormat="1" spans="1:3">
      <c r="A7169" s="6"/>
      <c r="B7169" s="6"/>
      <c r="C7169" s="6"/>
    </row>
    <row r="7170" s="1" customFormat="1" spans="1:3">
      <c r="A7170" s="6"/>
      <c r="B7170" s="6"/>
      <c r="C7170" s="6"/>
    </row>
    <row r="7171" s="1" customFormat="1" spans="1:3">
      <c r="A7171" s="6"/>
      <c r="B7171" s="6"/>
      <c r="C7171" s="6"/>
    </row>
    <row r="7172" s="1" customFormat="1" spans="1:3">
      <c r="A7172" s="6"/>
      <c r="B7172" s="6"/>
      <c r="C7172" s="6"/>
    </row>
    <row r="7173" s="1" customFormat="1" spans="1:3">
      <c r="A7173" s="6"/>
      <c r="B7173" s="6"/>
      <c r="C7173" s="6"/>
    </row>
    <row r="7174" s="1" customFormat="1" spans="1:3">
      <c r="A7174" s="6"/>
      <c r="B7174" s="6"/>
      <c r="C7174" s="6"/>
    </row>
    <row r="7175" s="1" customFormat="1" spans="1:3">
      <c r="A7175" s="6"/>
      <c r="B7175" s="6"/>
      <c r="C7175" s="6"/>
    </row>
    <row r="7176" s="1" customFormat="1" spans="1:3">
      <c r="A7176" s="6"/>
      <c r="B7176" s="6"/>
      <c r="C7176" s="6"/>
    </row>
    <row r="7177" s="1" customFormat="1" spans="1:3">
      <c r="A7177" s="6"/>
      <c r="B7177" s="6"/>
      <c r="C7177" s="6"/>
    </row>
    <row r="7178" s="1" customFormat="1" spans="1:3">
      <c r="A7178" s="6"/>
      <c r="B7178" s="6"/>
      <c r="C7178" s="6"/>
    </row>
    <row r="7179" s="1" customFormat="1" spans="1:3">
      <c r="A7179" s="6"/>
      <c r="B7179" s="6"/>
      <c r="C7179" s="6"/>
    </row>
    <row r="7180" s="1" customFormat="1" spans="1:3">
      <c r="A7180" s="6"/>
      <c r="B7180" s="6"/>
      <c r="C7180" s="6"/>
    </row>
    <row r="7181" s="1" customFormat="1" spans="1:3">
      <c r="A7181" s="6"/>
      <c r="B7181" s="6"/>
      <c r="C7181" s="6"/>
    </row>
    <row r="7182" s="1" customFormat="1" spans="1:3">
      <c r="A7182" s="6"/>
      <c r="B7182" s="6"/>
      <c r="C7182" s="6"/>
    </row>
    <row r="7183" s="1" customFormat="1" spans="1:3">
      <c r="A7183" s="6"/>
      <c r="B7183" s="6"/>
      <c r="C7183" s="6"/>
    </row>
    <row r="7184" s="1" customFormat="1" spans="1:3">
      <c r="A7184" s="6"/>
      <c r="B7184" s="6"/>
      <c r="C7184" s="6"/>
    </row>
    <row r="7185" s="1" customFormat="1" spans="1:3">
      <c r="A7185" s="6"/>
      <c r="B7185" s="6"/>
      <c r="C7185" s="6"/>
    </row>
    <row r="7186" s="1" customFormat="1" spans="1:3">
      <c r="A7186" s="6"/>
      <c r="B7186" s="6"/>
      <c r="C7186" s="6"/>
    </row>
    <row r="7187" s="1" customFormat="1" spans="1:3">
      <c r="A7187" s="6"/>
      <c r="B7187" s="6"/>
      <c r="C7187" s="6"/>
    </row>
    <row r="7188" s="1" customFormat="1" spans="1:3">
      <c r="A7188" s="6"/>
      <c r="B7188" s="6"/>
      <c r="C7188" s="6"/>
    </row>
    <row r="7189" s="1" customFormat="1" spans="1:3">
      <c r="A7189" s="6"/>
      <c r="B7189" s="6"/>
      <c r="C7189" s="6"/>
    </row>
    <row r="7190" s="1" customFormat="1" spans="1:3">
      <c r="A7190" s="6"/>
      <c r="B7190" s="6"/>
      <c r="C7190" s="6"/>
    </row>
    <row r="7191" s="1" customFormat="1" spans="1:3">
      <c r="A7191" s="6"/>
      <c r="B7191" s="6"/>
      <c r="C7191" s="6"/>
    </row>
    <row r="7192" s="1" customFormat="1" spans="1:3">
      <c r="A7192" s="6"/>
      <c r="B7192" s="6"/>
      <c r="C7192" s="6"/>
    </row>
    <row r="7193" s="1" customFormat="1" spans="1:3">
      <c r="A7193" s="6"/>
      <c r="B7193" s="6"/>
      <c r="C7193" s="6"/>
    </row>
    <row r="7194" s="1" customFormat="1" spans="1:3">
      <c r="A7194" s="6"/>
      <c r="B7194" s="6"/>
      <c r="C7194" s="6"/>
    </row>
    <row r="7195" s="1" customFormat="1" spans="1:3">
      <c r="A7195" s="6"/>
      <c r="B7195" s="6"/>
      <c r="C7195" s="6"/>
    </row>
    <row r="7196" s="1" customFormat="1" spans="1:3">
      <c r="A7196" s="6"/>
      <c r="B7196" s="6"/>
      <c r="C7196" s="6"/>
    </row>
    <row r="7197" s="1" customFormat="1" spans="1:3">
      <c r="A7197" s="6"/>
      <c r="B7197" s="6"/>
      <c r="C7197" s="6"/>
    </row>
    <row r="7198" s="1" customFormat="1" spans="1:3">
      <c r="A7198" s="6"/>
      <c r="B7198" s="6"/>
      <c r="C7198" s="6"/>
    </row>
    <row r="7199" s="1" customFormat="1" spans="1:3">
      <c r="A7199" s="6"/>
      <c r="B7199" s="6"/>
      <c r="C7199" s="6"/>
    </row>
    <row r="7200" s="1" customFormat="1" spans="1:3">
      <c r="A7200" s="6"/>
      <c r="B7200" s="6"/>
      <c r="C7200" s="6"/>
    </row>
    <row r="7201" s="1" customFormat="1" spans="1:3">
      <c r="A7201" s="6"/>
      <c r="B7201" s="6"/>
      <c r="C7201" s="6"/>
    </row>
    <row r="7202" s="1" customFormat="1" spans="1:3">
      <c r="A7202" s="6"/>
      <c r="B7202" s="6"/>
      <c r="C7202" s="6"/>
    </row>
    <row r="7203" s="1" customFormat="1" spans="1:3">
      <c r="A7203" s="6"/>
      <c r="B7203" s="6"/>
      <c r="C7203" s="6"/>
    </row>
    <row r="7204" s="1" customFormat="1" spans="1:3">
      <c r="A7204" s="6"/>
      <c r="B7204" s="6"/>
      <c r="C7204" s="6"/>
    </row>
    <row r="7205" s="1" customFormat="1" spans="1:3">
      <c r="A7205" s="6"/>
      <c r="B7205" s="6"/>
      <c r="C7205" s="6"/>
    </row>
    <row r="7206" s="1" customFormat="1" spans="1:3">
      <c r="A7206" s="6"/>
      <c r="B7206" s="6"/>
      <c r="C7206" s="6"/>
    </row>
    <row r="7207" s="1" customFormat="1" spans="1:3">
      <c r="A7207" s="6"/>
      <c r="B7207" s="6"/>
      <c r="C7207" s="6"/>
    </row>
    <row r="7208" s="1" customFormat="1" spans="1:3">
      <c r="A7208" s="6"/>
      <c r="B7208" s="6"/>
      <c r="C7208" s="6"/>
    </row>
    <row r="7209" s="1" customFormat="1" spans="1:3">
      <c r="A7209" s="6"/>
      <c r="B7209" s="6"/>
      <c r="C7209" s="6"/>
    </row>
    <row r="7210" s="1" customFormat="1" spans="1:3">
      <c r="A7210" s="6"/>
      <c r="B7210" s="6"/>
      <c r="C7210" s="6"/>
    </row>
    <row r="7211" s="1" customFormat="1" spans="1:3">
      <c r="A7211" s="6"/>
      <c r="B7211" s="6"/>
      <c r="C7211" s="6"/>
    </row>
    <row r="7212" s="1" customFormat="1" spans="1:3">
      <c r="A7212" s="6"/>
      <c r="B7212" s="6"/>
      <c r="C7212" s="6"/>
    </row>
    <row r="7213" s="1" customFormat="1" spans="1:3">
      <c r="A7213" s="6"/>
      <c r="B7213" s="6"/>
      <c r="C7213" s="6"/>
    </row>
    <row r="7214" s="1" customFormat="1" spans="1:3">
      <c r="A7214" s="6"/>
      <c r="B7214" s="6"/>
      <c r="C7214" s="6"/>
    </row>
    <row r="7215" s="1" customFormat="1" spans="1:3">
      <c r="A7215" s="6"/>
      <c r="B7215" s="6"/>
      <c r="C7215" s="6"/>
    </row>
    <row r="7216" s="1" customFormat="1" spans="1:3">
      <c r="A7216" s="6"/>
      <c r="B7216" s="6"/>
      <c r="C7216" s="6"/>
    </row>
    <row r="7217" s="1" customFormat="1" spans="1:3">
      <c r="A7217" s="6"/>
      <c r="B7217" s="6"/>
      <c r="C7217" s="6"/>
    </row>
    <row r="7218" s="1" customFormat="1" spans="1:3">
      <c r="A7218" s="6"/>
      <c r="B7218" s="6"/>
      <c r="C7218" s="6"/>
    </row>
    <row r="7219" s="1" customFormat="1" spans="1:3">
      <c r="A7219" s="6"/>
      <c r="B7219" s="6"/>
      <c r="C7219" s="6"/>
    </row>
    <row r="7220" s="1" customFormat="1" spans="1:3">
      <c r="A7220" s="6"/>
      <c r="B7220" s="6"/>
      <c r="C7220" s="6"/>
    </row>
    <row r="7221" s="1" customFormat="1" spans="1:3">
      <c r="A7221" s="6"/>
      <c r="B7221" s="6"/>
      <c r="C7221" s="6"/>
    </row>
    <row r="7222" s="1" customFormat="1" spans="1:3">
      <c r="A7222" s="6"/>
      <c r="B7222" s="6"/>
      <c r="C7222" s="6"/>
    </row>
    <row r="7223" s="1" customFormat="1" spans="1:3">
      <c r="A7223" s="6"/>
      <c r="B7223" s="6"/>
      <c r="C7223" s="6"/>
    </row>
    <row r="7224" s="1" customFormat="1" spans="1:3">
      <c r="A7224" s="6"/>
      <c r="B7224" s="6"/>
      <c r="C7224" s="6"/>
    </row>
    <row r="7225" s="1" customFormat="1" spans="1:3">
      <c r="A7225" s="6"/>
      <c r="B7225" s="6"/>
      <c r="C7225" s="6"/>
    </row>
    <row r="7226" s="1" customFormat="1" spans="1:3">
      <c r="A7226" s="6"/>
      <c r="B7226" s="6"/>
      <c r="C7226" s="6"/>
    </row>
    <row r="7227" s="1" customFormat="1" spans="1:3">
      <c r="A7227" s="6"/>
      <c r="B7227" s="6"/>
      <c r="C7227" s="6"/>
    </row>
    <row r="7228" s="1" customFormat="1" spans="1:3">
      <c r="A7228" s="6"/>
      <c r="B7228" s="6"/>
      <c r="C7228" s="6"/>
    </row>
    <row r="7229" s="1" customFormat="1" spans="1:3">
      <c r="A7229" s="6"/>
      <c r="B7229" s="6"/>
      <c r="C7229" s="6"/>
    </row>
    <row r="7230" s="1" customFormat="1" spans="1:3">
      <c r="A7230" s="6"/>
      <c r="B7230" s="6"/>
      <c r="C7230" s="6"/>
    </row>
    <row r="7231" s="1" customFormat="1" spans="1:3">
      <c r="A7231" s="6"/>
      <c r="B7231" s="6"/>
      <c r="C7231" s="6"/>
    </row>
    <row r="7232" s="1" customFormat="1" spans="1:3">
      <c r="A7232" s="6"/>
      <c r="B7232" s="6"/>
      <c r="C7232" s="6"/>
    </row>
    <row r="7233" s="1" customFormat="1" spans="1:3">
      <c r="A7233" s="6"/>
      <c r="B7233" s="6"/>
      <c r="C7233" s="6"/>
    </row>
    <row r="7234" s="1" customFormat="1" spans="1:3">
      <c r="A7234" s="6"/>
      <c r="B7234" s="6"/>
      <c r="C7234" s="6"/>
    </row>
    <row r="7235" s="1" customFormat="1" spans="1:3">
      <c r="A7235" s="6"/>
      <c r="B7235" s="6"/>
      <c r="C7235" s="6"/>
    </row>
    <row r="7236" s="1" customFormat="1" spans="1:3">
      <c r="A7236" s="6"/>
      <c r="B7236" s="6"/>
      <c r="C7236" s="6"/>
    </row>
    <row r="7237" s="1" customFormat="1" spans="1:3">
      <c r="A7237" s="6"/>
      <c r="B7237" s="6"/>
      <c r="C7237" s="6"/>
    </row>
    <row r="7238" s="1" customFormat="1" spans="1:3">
      <c r="A7238" s="6"/>
      <c r="B7238" s="6"/>
      <c r="C7238" s="6"/>
    </row>
    <row r="7239" s="1" customFormat="1" spans="1:3">
      <c r="A7239" s="6"/>
      <c r="B7239" s="6"/>
      <c r="C7239" s="6"/>
    </row>
    <row r="7240" s="1" customFormat="1" spans="1:3">
      <c r="A7240" s="6"/>
      <c r="B7240" s="6"/>
      <c r="C7240" s="6"/>
    </row>
    <row r="7241" s="1" customFormat="1" spans="1:3">
      <c r="A7241" s="6"/>
      <c r="B7241" s="6"/>
      <c r="C7241" s="6"/>
    </row>
    <row r="7242" s="1" customFormat="1" spans="1:3">
      <c r="A7242" s="6"/>
      <c r="B7242" s="6"/>
      <c r="C7242" s="6"/>
    </row>
    <row r="7243" s="1" customFormat="1" spans="1:3">
      <c r="A7243" s="6"/>
      <c r="B7243" s="6"/>
      <c r="C7243" s="6"/>
    </row>
    <row r="7244" s="1" customFormat="1" spans="1:3">
      <c r="A7244" s="6"/>
      <c r="B7244" s="6"/>
      <c r="C7244" s="6"/>
    </row>
    <row r="7245" s="1" customFormat="1" spans="1:3">
      <c r="A7245" s="6"/>
      <c r="B7245" s="6"/>
      <c r="C7245" s="6"/>
    </row>
    <row r="7246" s="1" customFormat="1" spans="1:3">
      <c r="A7246" s="6"/>
      <c r="B7246" s="6"/>
      <c r="C7246" s="6"/>
    </row>
    <row r="7247" s="1" customFormat="1" spans="1:3">
      <c r="A7247" s="6"/>
      <c r="B7247" s="6"/>
      <c r="C7247" s="6"/>
    </row>
    <row r="7248" s="1" customFormat="1" spans="1:3">
      <c r="A7248" s="6"/>
      <c r="B7248" s="6"/>
      <c r="C7248" s="6"/>
    </row>
    <row r="7249" s="1" customFormat="1" spans="1:3">
      <c r="A7249" s="6"/>
      <c r="B7249" s="6"/>
      <c r="C7249" s="6"/>
    </row>
    <row r="7250" s="1" customFormat="1" spans="1:3">
      <c r="A7250" s="6"/>
      <c r="B7250" s="6"/>
      <c r="C7250" s="6"/>
    </row>
    <row r="7251" s="1" customFormat="1" spans="1:3">
      <c r="A7251" s="6"/>
      <c r="B7251" s="6"/>
      <c r="C7251" s="6"/>
    </row>
    <row r="7252" s="1" customFormat="1" spans="1:3">
      <c r="A7252" s="6"/>
      <c r="B7252" s="6"/>
      <c r="C7252" s="6"/>
    </row>
    <row r="7253" s="1" customFormat="1" spans="1:3">
      <c r="A7253" s="6"/>
      <c r="B7253" s="6"/>
      <c r="C7253" s="6"/>
    </row>
    <row r="7254" s="1" customFormat="1" spans="1:3">
      <c r="A7254" s="6"/>
      <c r="B7254" s="6"/>
      <c r="C7254" s="6"/>
    </row>
    <row r="7255" s="1" customFormat="1" spans="1:3">
      <c r="A7255" s="6"/>
      <c r="B7255" s="6"/>
      <c r="C7255" s="6"/>
    </row>
    <row r="7256" s="1" customFormat="1" spans="1:3">
      <c r="A7256" s="6"/>
      <c r="B7256" s="6"/>
      <c r="C7256" s="6"/>
    </row>
    <row r="7257" s="1" customFormat="1" spans="1:3">
      <c r="A7257" s="6"/>
      <c r="B7257" s="6"/>
      <c r="C7257" s="6"/>
    </row>
    <row r="7258" s="1" customFormat="1" spans="1:3">
      <c r="A7258" s="6"/>
      <c r="B7258" s="6"/>
      <c r="C7258" s="6"/>
    </row>
    <row r="7259" s="1" customFormat="1" spans="1:3">
      <c r="A7259" s="6"/>
      <c r="B7259" s="6"/>
      <c r="C7259" s="6"/>
    </row>
    <row r="7260" s="1" customFormat="1" spans="1:3">
      <c r="A7260" s="6"/>
      <c r="B7260" s="6"/>
      <c r="C7260" s="6"/>
    </row>
    <row r="7261" s="1" customFormat="1" spans="1:3">
      <c r="A7261" s="6"/>
      <c r="B7261" s="6"/>
      <c r="C7261" s="6"/>
    </row>
    <row r="7262" s="1" customFormat="1" spans="1:3">
      <c r="A7262" s="6"/>
      <c r="B7262" s="6"/>
      <c r="C7262" s="6"/>
    </row>
    <row r="7263" s="1" customFormat="1" spans="1:3">
      <c r="A7263" s="6"/>
      <c r="B7263" s="6"/>
      <c r="C7263" s="6"/>
    </row>
    <row r="7264" s="1" customFormat="1" spans="1:3">
      <c r="A7264" s="6"/>
      <c r="B7264" s="6"/>
      <c r="C7264" s="6"/>
    </row>
    <row r="7265" s="1" customFormat="1" spans="1:3">
      <c r="A7265" s="6"/>
      <c r="B7265" s="6"/>
      <c r="C7265" s="6"/>
    </row>
    <row r="7266" s="1" customFormat="1" spans="1:3">
      <c r="A7266" s="6"/>
      <c r="B7266" s="6"/>
      <c r="C7266" s="6"/>
    </row>
    <row r="7267" s="1" customFormat="1" spans="1:3">
      <c r="A7267" s="6"/>
      <c r="B7267" s="6"/>
      <c r="C7267" s="6"/>
    </row>
    <row r="7268" s="1" customFormat="1" spans="1:3">
      <c r="A7268" s="6"/>
      <c r="B7268" s="6"/>
      <c r="C7268" s="6"/>
    </row>
    <row r="7269" s="1" customFormat="1" spans="1:3">
      <c r="A7269" s="6"/>
      <c r="B7269" s="6"/>
      <c r="C7269" s="6"/>
    </row>
    <row r="7270" s="1" customFormat="1" spans="1:3">
      <c r="A7270" s="6"/>
      <c r="B7270" s="6"/>
      <c r="C7270" s="6"/>
    </row>
    <row r="7271" s="1" customFormat="1" spans="1:3">
      <c r="A7271" s="6"/>
      <c r="B7271" s="6"/>
      <c r="C7271" s="6"/>
    </row>
    <row r="7272" s="1" customFormat="1" spans="1:3">
      <c r="A7272" s="6"/>
      <c r="B7272" s="6"/>
      <c r="C7272" s="6"/>
    </row>
    <row r="7273" s="1" customFormat="1" spans="1:3">
      <c r="A7273" s="6"/>
      <c r="B7273" s="6"/>
      <c r="C7273" s="6"/>
    </row>
    <row r="7274" s="1" customFormat="1" spans="1:3">
      <c r="A7274" s="6"/>
      <c r="B7274" s="6"/>
      <c r="C7274" s="6"/>
    </row>
    <row r="7275" s="1" customFormat="1" spans="1:3">
      <c r="A7275" s="6"/>
      <c r="B7275" s="6"/>
      <c r="C7275" s="6"/>
    </row>
    <row r="7276" s="1" customFormat="1" spans="1:3">
      <c r="A7276" s="6"/>
      <c r="B7276" s="6"/>
      <c r="C7276" s="6"/>
    </row>
    <row r="7277" s="1" customFormat="1" spans="1:3">
      <c r="A7277" s="6"/>
      <c r="B7277" s="6"/>
      <c r="C7277" s="6"/>
    </row>
    <row r="7278" s="1" customFormat="1" spans="1:3">
      <c r="A7278" s="6"/>
      <c r="B7278" s="6"/>
      <c r="C7278" s="6"/>
    </row>
    <row r="7279" s="1" customFormat="1" spans="1:3">
      <c r="A7279" s="6"/>
      <c r="B7279" s="6"/>
      <c r="C7279" s="6"/>
    </row>
    <row r="7280" s="1" customFormat="1" spans="1:3">
      <c r="A7280" s="6"/>
      <c r="B7280" s="6"/>
      <c r="C7280" s="6"/>
    </row>
    <row r="7281" s="1" customFormat="1" spans="1:3">
      <c r="A7281" s="6"/>
      <c r="B7281" s="6"/>
      <c r="C7281" s="6"/>
    </row>
    <row r="7282" s="1" customFormat="1" spans="1:3">
      <c r="A7282" s="6"/>
      <c r="B7282" s="6"/>
      <c r="C7282" s="6"/>
    </row>
    <row r="7283" s="1" customFormat="1" spans="1:3">
      <c r="A7283" s="6"/>
      <c r="B7283" s="6"/>
      <c r="C7283" s="6"/>
    </row>
    <row r="7284" s="1" customFormat="1" spans="1:3">
      <c r="A7284" s="6"/>
      <c r="B7284" s="6"/>
      <c r="C7284" s="6"/>
    </row>
    <row r="7285" s="1" customFormat="1" spans="1:3">
      <c r="A7285" s="6"/>
      <c r="B7285" s="6"/>
      <c r="C7285" s="6"/>
    </row>
    <row r="7286" s="1" customFormat="1" spans="1:3">
      <c r="A7286" s="6"/>
      <c r="B7286" s="6"/>
      <c r="C7286" s="6"/>
    </row>
    <row r="7287" s="1" customFormat="1" spans="1:3">
      <c r="A7287" s="6"/>
      <c r="B7287" s="6"/>
      <c r="C7287" s="6"/>
    </row>
    <row r="7288" s="1" customFormat="1" spans="1:3">
      <c r="A7288" s="6"/>
      <c r="B7288" s="6"/>
      <c r="C7288" s="6"/>
    </row>
    <row r="7289" s="1" customFormat="1" spans="1:3">
      <c r="A7289" s="6"/>
      <c r="B7289" s="6"/>
      <c r="C7289" s="6"/>
    </row>
    <row r="7290" s="1" customFormat="1" spans="1:3">
      <c r="A7290" s="6"/>
      <c r="B7290" s="6"/>
      <c r="C7290" s="6"/>
    </row>
    <row r="7291" s="1" customFormat="1" spans="1:3">
      <c r="A7291" s="6"/>
      <c r="B7291" s="6"/>
      <c r="C7291" s="6"/>
    </row>
    <row r="7292" s="1" customFormat="1" spans="1:3">
      <c r="A7292" s="6"/>
      <c r="B7292" s="6"/>
      <c r="C7292" s="6"/>
    </row>
    <row r="7293" s="1" customFormat="1" spans="1:3">
      <c r="A7293" s="6"/>
      <c r="B7293" s="6"/>
      <c r="C7293" s="6"/>
    </row>
    <row r="7294" s="1" customFormat="1" spans="1:3">
      <c r="A7294" s="6"/>
      <c r="B7294" s="6"/>
      <c r="C7294" s="6"/>
    </row>
    <row r="7295" s="1" customFormat="1" spans="1:3">
      <c r="A7295" s="6"/>
      <c r="B7295" s="6"/>
      <c r="C7295" s="6"/>
    </row>
    <row r="7296" s="1" customFormat="1" spans="1:3">
      <c r="A7296" s="6"/>
      <c r="B7296" s="6"/>
      <c r="C7296" s="6"/>
    </row>
    <row r="7297" s="1" customFormat="1" spans="1:3">
      <c r="A7297" s="6"/>
      <c r="B7297" s="6"/>
      <c r="C7297" s="6"/>
    </row>
    <row r="7298" s="1" customFormat="1" spans="1:3">
      <c r="A7298" s="6"/>
      <c r="B7298" s="6"/>
      <c r="C7298" s="6"/>
    </row>
    <row r="7299" s="1" customFormat="1" spans="1:3">
      <c r="A7299" s="6"/>
      <c r="B7299" s="6"/>
      <c r="C7299" s="6"/>
    </row>
    <row r="7300" s="1" customFormat="1" spans="1:3">
      <c r="A7300" s="6"/>
      <c r="B7300" s="6"/>
      <c r="C7300" s="6"/>
    </row>
    <row r="7301" s="1" customFormat="1" spans="1:3">
      <c r="A7301" s="6"/>
      <c r="B7301" s="6"/>
      <c r="C7301" s="6"/>
    </row>
    <row r="7302" s="1" customFormat="1" spans="1:3">
      <c r="A7302" s="6"/>
      <c r="B7302" s="6"/>
      <c r="C7302" s="6"/>
    </row>
    <row r="7303" s="1" customFormat="1" spans="1:3">
      <c r="A7303" s="6"/>
      <c r="B7303" s="6"/>
      <c r="C7303" s="6"/>
    </row>
    <row r="7304" s="1" customFormat="1" spans="1:3">
      <c r="A7304" s="6"/>
      <c r="B7304" s="6"/>
      <c r="C7304" s="6"/>
    </row>
    <row r="7305" s="1" customFormat="1" spans="1:3">
      <c r="A7305" s="6"/>
      <c r="B7305" s="6"/>
      <c r="C7305" s="6"/>
    </row>
    <row r="7306" s="1" customFormat="1" spans="1:3">
      <c r="A7306" s="6"/>
      <c r="B7306" s="6"/>
      <c r="C7306" s="6"/>
    </row>
    <row r="7307" s="1" customFormat="1" spans="1:3">
      <c r="A7307" s="6"/>
      <c r="B7307" s="6"/>
      <c r="C7307" s="6"/>
    </row>
    <row r="7308" s="1" customFormat="1" spans="1:3">
      <c r="A7308" s="6"/>
      <c r="B7308" s="6"/>
      <c r="C7308" s="6"/>
    </row>
    <row r="7309" s="1" customFormat="1" spans="1:3">
      <c r="A7309" s="6"/>
      <c r="B7309" s="6"/>
      <c r="C7309" s="6"/>
    </row>
    <row r="7310" s="1" customFormat="1" spans="1:3">
      <c r="A7310" s="6"/>
      <c r="B7310" s="6"/>
      <c r="C7310" s="6"/>
    </row>
    <row r="7311" s="1" customFormat="1" spans="1:3">
      <c r="A7311" s="6"/>
      <c r="B7311" s="6"/>
      <c r="C7311" s="6"/>
    </row>
    <row r="7312" s="1" customFormat="1" spans="1:3">
      <c r="A7312" s="6"/>
      <c r="B7312" s="6"/>
      <c r="C7312" s="6"/>
    </row>
    <row r="7313" s="1" customFormat="1" spans="1:3">
      <c r="A7313" s="6"/>
      <c r="B7313" s="6"/>
      <c r="C7313" s="6"/>
    </row>
    <row r="7314" s="1" customFormat="1" spans="1:3">
      <c r="A7314" s="6"/>
      <c r="B7314" s="6"/>
      <c r="C7314" s="6"/>
    </row>
    <row r="7315" s="1" customFormat="1" spans="1:3">
      <c r="A7315" s="6"/>
      <c r="B7315" s="6"/>
      <c r="C7315" s="6"/>
    </row>
    <row r="7316" s="1" customFormat="1" spans="1:3">
      <c r="A7316" s="6"/>
      <c r="B7316" s="6"/>
      <c r="C7316" s="6"/>
    </row>
    <row r="7317" s="1" customFormat="1" spans="1:3">
      <c r="A7317" s="6"/>
      <c r="B7317" s="6"/>
      <c r="C7317" s="6"/>
    </row>
    <row r="7318" s="1" customFormat="1" spans="1:3">
      <c r="A7318" s="6"/>
      <c r="B7318" s="6"/>
      <c r="C7318" s="6"/>
    </row>
    <row r="7319" s="1" customFormat="1" spans="1:3">
      <c r="A7319" s="6"/>
      <c r="B7319" s="6"/>
      <c r="C7319" s="6"/>
    </row>
    <row r="7320" s="1" customFormat="1" spans="1:3">
      <c r="A7320" s="6"/>
      <c r="B7320" s="6"/>
      <c r="C7320" s="6"/>
    </row>
    <row r="7321" s="1" customFormat="1" spans="1:3">
      <c r="A7321" s="6"/>
      <c r="B7321" s="6"/>
      <c r="C7321" s="6"/>
    </row>
    <row r="7322" s="1" customFormat="1" spans="1:3">
      <c r="A7322" s="6"/>
      <c r="B7322" s="6"/>
      <c r="C7322" s="6"/>
    </row>
    <row r="7323" s="1" customFormat="1" spans="1:3">
      <c r="A7323" s="6"/>
      <c r="B7323" s="6"/>
      <c r="C7323" s="6"/>
    </row>
    <row r="7324" s="1" customFormat="1" spans="1:3">
      <c r="A7324" s="6"/>
      <c r="B7324" s="6"/>
      <c r="C7324" s="6"/>
    </row>
    <row r="7325" s="1" customFormat="1" spans="1:3">
      <c r="A7325" s="6"/>
      <c r="B7325" s="6"/>
      <c r="C7325" s="6"/>
    </row>
    <row r="7326" s="1" customFormat="1" spans="1:3">
      <c r="A7326" s="6"/>
      <c r="B7326" s="6"/>
      <c r="C7326" s="6"/>
    </row>
    <row r="7327" s="1" customFormat="1" spans="1:3">
      <c r="A7327" s="6"/>
      <c r="B7327" s="6"/>
      <c r="C7327" s="6"/>
    </row>
    <row r="7328" s="1" customFormat="1" spans="1:3">
      <c r="A7328" s="6"/>
      <c r="B7328" s="6"/>
      <c r="C7328" s="6"/>
    </row>
    <row r="7329" s="1" customFormat="1" spans="1:3">
      <c r="A7329" s="6"/>
      <c r="B7329" s="6"/>
      <c r="C7329" s="6"/>
    </row>
    <row r="7330" s="1" customFormat="1" spans="1:3">
      <c r="A7330" s="6"/>
      <c r="B7330" s="6"/>
      <c r="C7330" s="6"/>
    </row>
    <row r="7331" s="1" customFormat="1" spans="1:3">
      <c r="A7331" s="6"/>
      <c r="B7331" s="6"/>
      <c r="C7331" s="6"/>
    </row>
    <row r="7332" s="1" customFormat="1" spans="1:3">
      <c r="A7332" s="6"/>
      <c r="B7332" s="6"/>
      <c r="C7332" s="6"/>
    </row>
    <row r="7333" s="1" customFormat="1" spans="1:3">
      <c r="A7333" s="6"/>
      <c r="B7333" s="6"/>
      <c r="C7333" s="6"/>
    </row>
    <row r="7334" s="1" customFormat="1" spans="1:3">
      <c r="A7334" s="6"/>
      <c r="B7334" s="6"/>
      <c r="C7334" s="6"/>
    </row>
    <row r="7335" s="1" customFormat="1" spans="1:3">
      <c r="A7335" s="6"/>
      <c r="B7335" s="6"/>
      <c r="C7335" s="6"/>
    </row>
    <row r="7336" s="1" customFormat="1" spans="1:3">
      <c r="A7336" s="6"/>
      <c r="B7336" s="6"/>
      <c r="C7336" s="6"/>
    </row>
    <row r="7337" s="1" customFormat="1" spans="1:3">
      <c r="A7337" s="6"/>
      <c r="B7337" s="6"/>
      <c r="C7337" s="6"/>
    </row>
    <row r="7338" s="1" customFormat="1" spans="1:3">
      <c r="A7338" s="6"/>
      <c r="B7338" s="6"/>
      <c r="C7338" s="6"/>
    </row>
    <row r="7339" s="1" customFormat="1" spans="1:3">
      <c r="A7339" s="6"/>
      <c r="B7339" s="6"/>
      <c r="C7339" s="6"/>
    </row>
    <row r="7340" s="1" customFormat="1" spans="1:3">
      <c r="A7340" s="6"/>
      <c r="B7340" s="6"/>
      <c r="C7340" s="6"/>
    </row>
    <row r="7341" s="1" customFormat="1" spans="1:3">
      <c r="A7341" s="6"/>
      <c r="B7341" s="6"/>
      <c r="C7341" s="6"/>
    </row>
    <row r="7342" s="1" customFormat="1" spans="1:3">
      <c r="A7342" s="6"/>
      <c r="B7342" s="6"/>
      <c r="C7342" s="6"/>
    </row>
    <row r="7343" s="1" customFormat="1" spans="1:3">
      <c r="A7343" s="6"/>
      <c r="B7343" s="6"/>
      <c r="C7343" s="6"/>
    </row>
    <row r="7344" s="1" customFormat="1" spans="1:3">
      <c r="A7344" s="6"/>
      <c r="B7344" s="6"/>
      <c r="C7344" s="6"/>
    </row>
    <row r="7345" s="1" customFormat="1" spans="1:3">
      <c r="A7345" s="6"/>
      <c r="B7345" s="6"/>
      <c r="C7345" s="6"/>
    </row>
    <row r="7346" s="1" customFormat="1" spans="1:3">
      <c r="A7346" s="6"/>
      <c r="B7346" s="6"/>
      <c r="C7346" s="6"/>
    </row>
    <row r="7347" s="1" customFormat="1" spans="1:3">
      <c r="A7347" s="6"/>
      <c r="B7347" s="6"/>
      <c r="C7347" s="6"/>
    </row>
    <row r="7348" s="1" customFormat="1" spans="1:3">
      <c r="A7348" s="6"/>
      <c r="B7348" s="6"/>
      <c r="C7348" s="6"/>
    </row>
    <row r="7349" s="1" customFormat="1" spans="1:3">
      <c r="A7349" s="6"/>
      <c r="B7349" s="6"/>
      <c r="C7349" s="6"/>
    </row>
    <row r="7350" s="1" customFormat="1" spans="1:3">
      <c r="A7350" s="6"/>
      <c r="B7350" s="6"/>
      <c r="C7350" s="6"/>
    </row>
    <row r="7351" s="1" customFormat="1" spans="1:3">
      <c r="A7351" s="6"/>
      <c r="B7351" s="6"/>
      <c r="C7351" s="6"/>
    </row>
    <row r="7352" s="1" customFormat="1" spans="1:3">
      <c r="A7352" s="6"/>
      <c r="B7352" s="6"/>
      <c r="C7352" s="6"/>
    </row>
    <row r="7353" s="1" customFormat="1" spans="1:3">
      <c r="A7353" s="6"/>
      <c r="B7353" s="6"/>
      <c r="C7353" s="6"/>
    </row>
    <row r="7354" s="1" customFormat="1" spans="1:3">
      <c r="A7354" s="6"/>
      <c r="B7354" s="6"/>
      <c r="C7354" s="6"/>
    </row>
    <row r="7355" s="1" customFormat="1" spans="1:3">
      <c r="A7355" s="6"/>
      <c r="B7355" s="6"/>
      <c r="C7355" s="6"/>
    </row>
    <row r="7356" s="1" customFormat="1" spans="1:3">
      <c r="A7356" s="6"/>
      <c r="B7356" s="6"/>
      <c r="C7356" s="6"/>
    </row>
    <row r="7357" s="1" customFormat="1" spans="1:3">
      <c r="A7357" s="6"/>
      <c r="B7357" s="6"/>
      <c r="C7357" s="6"/>
    </row>
    <row r="7358" s="1" customFormat="1" spans="1:3">
      <c r="A7358" s="6"/>
      <c r="B7358" s="6"/>
      <c r="C7358" s="6"/>
    </row>
    <row r="7359" s="1" customFormat="1" spans="1:3">
      <c r="A7359" s="6"/>
      <c r="B7359" s="6"/>
      <c r="C7359" s="6"/>
    </row>
    <row r="7360" s="1" customFormat="1" spans="1:3">
      <c r="A7360" s="6"/>
      <c r="B7360" s="6"/>
      <c r="C7360" s="6"/>
    </row>
    <row r="7361" s="1" customFormat="1" spans="1:3">
      <c r="A7361" s="6"/>
      <c r="B7361" s="6"/>
      <c r="C7361" s="6"/>
    </row>
    <row r="7362" s="1" customFormat="1" spans="1:3">
      <c r="A7362" s="6"/>
      <c r="B7362" s="6"/>
      <c r="C7362" s="6"/>
    </row>
    <row r="7363" s="1" customFormat="1" spans="1:3">
      <c r="A7363" s="6"/>
      <c r="B7363" s="6"/>
      <c r="C7363" s="6"/>
    </row>
    <row r="7364" s="1" customFormat="1" spans="1:3">
      <c r="A7364" s="6"/>
      <c r="B7364" s="6"/>
      <c r="C7364" s="6"/>
    </row>
    <row r="7365" s="1" customFormat="1" spans="1:3">
      <c r="A7365" s="6"/>
      <c r="B7365" s="6"/>
      <c r="C7365" s="6"/>
    </row>
    <row r="7366" s="1" customFormat="1" spans="1:3">
      <c r="A7366" s="6"/>
      <c r="B7366" s="6"/>
      <c r="C7366" s="6"/>
    </row>
    <row r="7367" s="1" customFormat="1" spans="1:3">
      <c r="A7367" s="6"/>
      <c r="B7367" s="6"/>
      <c r="C7367" s="6"/>
    </row>
    <row r="7368" s="1" customFormat="1" spans="1:3">
      <c r="A7368" s="6"/>
      <c r="B7368" s="6"/>
      <c r="C7368" s="6"/>
    </row>
    <row r="7369" s="1" customFormat="1" spans="1:3">
      <c r="A7369" s="6"/>
      <c r="B7369" s="6"/>
      <c r="C7369" s="6"/>
    </row>
    <row r="7370" s="1" customFormat="1" spans="1:3">
      <c r="A7370" s="6"/>
      <c r="B7370" s="6"/>
      <c r="C7370" s="6"/>
    </row>
    <row r="7371" s="1" customFormat="1" spans="1:3">
      <c r="A7371" s="6"/>
      <c r="B7371" s="6"/>
      <c r="C7371" s="6"/>
    </row>
    <row r="7372" s="1" customFormat="1" spans="1:3">
      <c r="A7372" s="6"/>
      <c r="B7372" s="6"/>
      <c r="C7372" s="6"/>
    </row>
    <row r="7373" s="1" customFormat="1" spans="1:3">
      <c r="A7373" s="6"/>
      <c r="B7373" s="6"/>
      <c r="C7373" s="6"/>
    </row>
    <row r="7374" s="1" customFormat="1" spans="1:3">
      <c r="A7374" s="6"/>
      <c r="B7374" s="6"/>
      <c r="C7374" s="6"/>
    </row>
    <row r="7375" s="1" customFormat="1" spans="1:3">
      <c r="A7375" s="6"/>
      <c r="B7375" s="6"/>
      <c r="C7375" s="6"/>
    </row>
    <row r="7376" s="1" customFormat="1" spans="1:3">
      <c r="A7376" s="6"/>
      <c r="B7376" s="6"/>
      <c r="C7376" s="6"/>
    </row>
    <row r="7377" s="1" customFormat="1" spans="1:3">
      <c r="A7377" s="6"/>
      <c r="B7377" s="6"/>
      <c r="C7377" s="6"/>
    </row>
    <row r="7378" s="1" customFormat="1" spans="1:3">
      <c r="A7378" s="6"/>
      <c r="B7378" s="6"/>
      <c r="C7378" s="6"/>
    </row>
    <row r="7379" s="1" customFormat="1" spans="1:3">
      <c r="A7379" s="6"/>
      <c r="B7379" s="6"/>
      <c r="C7379" s="6"/>
    </row>
    <row r="7380" s="1" customFormat="1" spans="1:3">
      <c r="A7380" s="6"/>
      <c r="B7380" s="6"/>
      <c r="C7380" s="6"/>
    </row>
    <row r="7381" s="1" customFormat="1" spans="1:3">
      <c r="A7381" s="6"/>
      <c r="B7381" s="6"/>
      <c r="C7381" s="6"/>
    </row>
    <row r="7382" s="1" customFormat="1" spans="1:3">
      <c r="A7382" s="6"/>
      <c r="B7382" s="6"/>
      <c r="C7382" s="6"/>
    </row>
    <row r="7383" s="1" customFormat="1" spans="1:3">
      <c r="A7383" s="6"/>
      <c r="B7383" s="6"/>
      <c r="C7383" s="6"/>
    </row>
    <row r="7384" s="1" customFormat="1" spans="1:3">
      <c r="A7384" s="6"/>
      <c r="B7384" s="6"/>
      <c r="C7384" s="6"/>
    </row>
    <row r="7385" s="1" customFormat="1" spans="1:3">
      <c r="A7385" s="6"/>
      <c r="B7385" s="6"/>
      <c r="C7385" s="6"/>
    </row>
    <row r="7386" s="1" customFormat="1" spans="1:3">
      <c r="A7386" s="6"/>
      <c r="B7386" s="6"/>
      <c r="C7386" s="6"/>
    </row>
    <row r="7387" s="1" customFormat="1" spans="1:3">
      <c r="A7387" s="6"/>
      <c r="B7387" s="6"/>
      <c r="C7387" s="6"/>
    </row>
    <row r="7388" s="1" customFormat="1" spans="1:3">
      <c r="A7388" s="6"/>
      <c r="B7388" s="6"/>
      <c r="C7388" s="6"/>
    </row>
    <row r="7389" s="1" customFormat="1" spans="1:3">
      <c r="A7389" s="6"/>
      <c r="B7389" s="6"/>
      <c r="C7389" s="6"/>
    </row>
    <row r="7390" s="1" customFormat="1" spans="1:3">
      <c r="A7390" s="6"/>
      <c r="B7390" s="6"/>
      <c r="C7390" s="6"/>
    </row>
    <row r="7391" s="1" customFormat="1" spans="1:3">
      <c r="A7391" s="6"/>
      <c r="B7391" s="6"/>
      <c r="C7391" s="6"/>
    </row>
    <row r="7392" s="1" customFormat="1" spans="1:3">
      <c r="A7392" s="6"/>
      <c r="B7392" s="6"/>
      <c r="C7392" s="6"/>
    </row>
    <row r="7393" s="1" customFormat="1" spans="1:3">
      <c r="A7393" s="6"/>
      <c r="B7393" s="6"/>
      <c r="C7393" s="6"/>
    </row>
    <row r="7394" s="1" customFormat="1" spans="1:3">
      <c r="A7394" s="6"/>
      <c r="B7394" s="6"/>
      <c r="C7394" s="6"/>
    </row>
    <row r="7395" s="1" customFormat="1" spans="1:3">
      <c r="A7395" s="6"/>
      <c r="B7395" s="6"/>
      <c r="C7395" s="6"/>
    </row>
    <row r="7396" s="1" customFormat="1" spans="1:3">
      <c r="A7396" s="6"/>
      <c r="B7396" s="6"/>
      <c r="C7396" s="6"/>
    </row>
    <row r="7397" s="1" customFormat="1" spans="1:3">
      <c r="A7397" s="6"/>
      <c r="B7397" s="6"/>
      <c r="C7397" s="6"/>
    </row>
    <row r="7398" s="1" customFormat="1" spans="1:3">
      <c r="A7398" s="6"/>
      <c r="B7398" s="6"/>
      <c r="C7398" s="6"/>
    </row>
    <row r="7399" s="1" customFormat="1" spans="1:3">
      <c r="A7399" s="6"/>
      <c r="B7399" s="6"/>
      <c r="C7399" s="6"/>
    </row>
    <row r="7400" s="1" customFormat="1" spans="1:3">
      <c r="A7400" s="6"/>
      <c r="B7400" s="6"/>
      <c r="C7400" s="6"/>
    </row>
    <row r="7401" s="1" customFormat="1" spans="1:3">
      <c r="A7401" s="6"/>
      <c r="B7401" s="6"/>
      <c r="C7401" s="6"/>
    </row>
    <row r="7402" s="1" customFormat="1" spans="1:3">
      <c r="A7402" s="6"/>
      <c r="B7402" s="6"/>
      <c r="C7402" s="6"/>
    </row>
    <row r="7403" s="1" customFormat="1" spans="1:3">
      <c r="A7403" s="6"/>
      <c r="B7403" s="6"/>
      <c r="C7403" s="6"/>
    </row>
    <row r="7404" s="1" customFormat="1" spans="1:3">
      <c r="A7404" s="6"/>
      <c r="B7404" s="6"/>
      <c r="C7404" s="6"/>
    </row>
    <row r="7405" s="1" customFormat="1" spans="1:3">
      <c r="A7405" s="6"/>
      <c r="B7405" s="6"/>
      <c r="C7405" s="6"/>
    </row>
    <row r="7406" s="1" customFormat="1" spans="1:3">
      <c r="A7406" s="6"/>
      <c r="B7406" s="6"/>
      <c r="C7406" s="6"/>
    </row>
    <row r="7407" s="1" customFormat="1" spans="1:3">
      <c r="A7407" s="6"/>
      <c r="B7407" s="6"/>
      <c r="C7407" s="6"/>
    </row>
    <row r="7408" s="1" customFormat="1" spans="1:3">
      <c r="A7408" s="6"/>
      <c r="B7408" s="6"/>
      <c r="C7408" s="6"/>
    </row>
    <row r="7409" s="1" customFormat="1" spans="1:3">
      <c r="A7409" s="6"/>
      <c r="B7409" s="6"/>
      <c r="C7409" s="6"/>
    </row>
    <row r="7410" s="1" customFormat="1" spans="1:3">
      <c r="A7410" s="6"/>
      <c r="B7410" s="6"/>
      <c r="C7410" s="6"/>
    </row>
    <row r="7411" s="1" customFormat="1" spans="1:3">
      <c r="A7411" s="6"/>
      <c r="B7411" s="6"/>
      <c r="C7411" s="6"/>
    </row>
    <row r="7412" s="1" customFormat="1" spans="1:3">
      <c r="A7412" s="6"/>
      <c r="B7412" s="6"/>
      <c r="C7412" s="6"/>
    </row>
    <row r="7413" s="1" customFormat="1" spans="1:3">
      <c r="A7413" s="6"/>
      <c r="B7413" s="6"/>
      <c r="C7413" s="6"/>
    </row>
    <row r="7414" s="1" customFormat="1" spans="1:3">
      <c r="A7414" s="6"/>
      <c r="B7414" s="6"/>
      <c r="C7414" s="6"/>
    </row>
    <row r="7415" s="1" customFormat="1" spans="1:3">
      <c r="A7415" s="6"/>
      <c r="B7415" s="6"/>
      <c r="C7415" s="6"/>
    </row>
    <row r="7416" s="1" customFormat="1" spans="1:3">
      <c r="A7416" s="6"/>
      <c r="B7416" s="6"/>
      <c r="C7416" s="6"/>
    </row>
    <row r="7417" s="1" customFormat="1" spans="1:3">
      <c r="A7417" s="6"/>
      <c r="B7417" s="6"/>
      <c r="C7417" s="6"/>
    </row>
    <row r="7418" s="1" customFormat="1" spans="1:3">
      <c r="A7418" s="6"/>
      <c r="B7418" s="6"/>
      <c r="C7418" s="6"/>
    </row>
    <row r="7419" s="1" customFormat="1" spans="1:3">
      <c r="A7419" s="6"/>
      <c r="B7419" s="6"/>
      <c r="C7419" s="6"/>
    </row>
    <row r="7420" s="1" customFormat="1" spans="1:3">
      <c r="A7420" s="6"/>
      <c r="B7420" s="6"/>
      <c r="C7420" s="6"/>
    </row>
    <row r="7421" s="1" customFormat="1" spans="1:3">
      <c r="A7421" s="6"/>
      <c r="B7421" s="6"/>
      <c r="C7421" s="6"/>
    </row>
    <row r="7422" s="1" customFormat="1" spans="1:3">
      <c r="A7422" s="6"/>
      <c r="B7422" s="6"/>
      <c r="C7422" s="6"/>
    </row>
    <row r="7423" s="1" customFormat="1" spans="1:3">
      <c r="A7423" s="6"/>
      <c r="B7423" s="6"/>
      <c r="C7423" s="6"/>
    </row>
    <row r="7424" s="1" customFormat="1" spans="1:3">
      <c r="A7424" s="6"/>
      <c r="B7424" s="6"/>
      <c r="C7424" s="6"/>
    </row>
    <row r="7425" s="1" customFormat="1" spans="1:3">
      <c r="A7425" s="6"/>
      <c r="B7425" s="6"/>
      <c r="C7425" s="6"/>
    </row>
    <row r="7426" s="1" customFormat="1" spans="1:3">
      <c r="A7426" s="6"/>
      <c r="B7426" s="6"/>
      <c r="C7426" s="6"/>
    </row>
    <row r="7427" s="1" customFormat="1" spans="1:3">
      <c r="A7427" s="6"/>
      <c r="B7427" s="6"/>
      <c r="C7427" s="6"/>
    </row>
    <row r="7428" s="1" customFormat="1" spans="1:3">
      <c r="A7428" s="6"/>
      <c r="B7428" s="6"/>
      <c r="C7428" s="6"/>
    </row>
    <row r="7429" s="1" customFormat="1" spans="1:3">
      <c r="A7429" s="6"/>
      <c r="B7429" s="6"/>
      <c r="C7429" s="6"/>
    </row>
    <row r="7430" s="1" customFormat="1" spans="1:3">
      <c r="A7430" s="6"/>
      <c r="B7430" s="6"/>
      <c r="C7430" s="6"/>
    </row>
    <row r="7431" s="1" customFormat="1" spans="1:3">
      <c r="A7431" s="6"/>
      <c r="B7431" s="6"/>
      <c r="C7431" s="6"/>
    </row>
    <row r="7432" s="1" customFormat="1" spans="1:3">
      <c r="A7432" s="6"/>
      <c r="B7432" s="6"/>
      <c r="C7432" s="6"/>
    </row>
    <row r="7433" s="1" customFormat="1" spans="1:3">
      <c r="A7433" s="6"/>
      <c r="B7433" s="6"/>
      <c r="C7433" s="6"/>
    </row>
    <row r="7434" s="1" customFormat="1" spans="1:3">
      <c r="A7434" s="6"/>
      <c r="B7434" s="6"/>
      <c r="C7434" s="6"/>
    </row>
    <row r="7435" s="1" customFormat="1" spans="1:3">
      <c r="A7435" s="6"/>
      <c r="B7435" s="6"/>
      <c r="C7435" s="6"/>
    </row>
    <row r="7436" s="1" customFormat="1" spans="1:3">
      <c r="A7436" s="6"/>
      <c r="B7436" s="6"/>
      <c r="C7436" s="6"/>
    </row>
    <row r="7437" s="1" customFormat="1" spans="1:3">
      <c r="A7437" s="6"/>
      <c r="B7437" s="6"/>
      <c r="C7437" s="6"/>
    </row>
    <row r="7438" s="1" customFormat="1" spans="1:3">
      <c r="A7438" s="6"/>
      <c r="B7438" s="6"/>
      <c r="C7438" s="6"/>
    </row>
    <row r="7439" s="1" customFormat="1" spans="1:3">
      <c r="A7439" s="6"/>
      <c r="B7439" s="6"/>
      <c r="C7439" s="6"/>
    </row>
    <row r="7440" s="1" customFormat="1" spans="1:3">
      <c r="A7440" s="6"/>
      <c r="B7440" s="6"/>
      <c r="C7440" s="6"/>
    </row>
    <row r="7441" s="1" customFormat="1" spans="1:3">
      <c r="A7441" s="6"/>
      <c r="B7441" s="6"/>
      <c r="C7441" s="6"/>
    </row>
    <row r="7442" s="1" customFormat="1" spans="1:3">
      <c r="A7442" s="6"/>
      <c r="B7442" s="6"/>
      <c r="C7442" s="6"/>
    </row>
    <row r="7443" s="1" customFormat="1" spans="1:3">
      <c r="A7443" s="6"/>
      <c r="B7443" s="6"/>
      <c r="C7443" s="6"/>
    </row>
    <row r="7444" s="1" customFormat="1" spans="1:3">
      <c r="A7444" s="6"/>
      <c r="B7444" s="6"/>
      <c r="C7444" s="6"/>
    </row>
    <row r="7445" s="1" customFormat="1" spans="1:3">
      <c r="A7445" s="6"/>
      <c r="B7445" s="6"/>
      <c r="C7445" s="6"/>
    </row>
    <row r="7446" s="1" customFormat="1" spans="1:3">
      <c r="A7446" s="6"/>
      <c r="B7446" s="6"/>
      <c r="C7446" s="6"/>
    </row>
    <row r="7447" s="1" customFormat="1" spans="1:3">
      <c r="A7447" s="6"/>
      <c r="B7447" s="6"/>
      <c r="C7447" s="6"/>
    </row>
    <row r="7448" s="1" customFormat="1" spans="1:3">
      <c r="A7448" s="6"/>
      <c r="B7448" s="6"/>
      <c r="C7448" s="6"/>
    </row>
    <row r="7449" s="1" customFormat="1" spans="1:3">
      <c r="A7449" s="6"/>
      <c r="B7449" s="6"/>
      <c r="C7449" s="6"/>
    </row>
    <row r="7450" s="1" customFormat="1" spans="1:3">
      <c r="A7450" s="6"/>
      <c r="B7450" s="6"/>
      <c r="C7450" s="6"/>
    </row>
    <row r="7451" s="1" customFormat="1" spans="1:3">
      <c r="A7451" s="6"/>
      <c r="B7451" s="6"/>
      <c r="C7451" s="6"/>
    </row>
    <row r="7452" s="1" customFormat="1" spans="1:3">
      <c r="A7452" s="6"/>
      <c r="B7452" s="6"/>
      <c r="C7452" s="6"/>
    </row>
    <row r="7453" s="1" customFormat="1" spans="1:3">
      <c r="A7453" s="6"/>
      <c r="B7453" s="6"/>
      <c r="C7453" s="6"/>
    </row>
    <row r="7454" s="1" customFormat="1" spans="1:3">
      <c r="A7454" s="6"/>
      <c r="B7454" s="6"/>
      <c r="C7454" s="6"/>
    </row>
    <row r="7455" s="1" customFormat="1" spans="1:3">
      <c r="A7455" s="6"/>
      <c r="B7455" s="6"/>
      <c r="C7455" s="6"/>
    </row>
    <row r="7456" s="1" customFormat="1" spans="1:3">
      <c r="A7456" s="6"/>
      <c r="B7456" s="6"/>
      <c r="C7456" s="6"/>
    </row>
    <row r="7457" s="1" customFormat="1" spans="1:3">
      <c r="A7457" s="6"/>
      <c r="B7457" s="6"/>
      <c r="C7457" s="6"/>
    </row>
    <row r="7458" s="1" customFormat="1" spans="1:3">
      <c r="A7458" s="6"/>
      <c r="B7458" s="6"/>
      <c r="C7458" s="6"/>
    </row>
    <row r="7459" s="1" customFormat="1" spans="1:3">
      <c r="A7459" s="6"/>
      <c r="B7459" s="6"/>
      <c r="C7459" s="6"/>
    </row>
    <row r="7460" s="1" customFormat="1" spans="1:3">
      <c r="A7460" s="6"/>
      <c r="B7460" s="6"/>
      <c r="C7460" s="6"/>
    </row>
    <row r="7461" s="1" customFormat="1" spans="1:3">
      <c r="A7461" s="6"/>
      <c r="B7461" s="6"/>
      <c r="C7461" s="6"/>
    </row>
    <row r="7462" s="1" customFormat="1" spans="1:3">
      <c r="A7462" s="6"/>
      <c r="B7462" s="6"/>
      <c r="C7462" s="6"/>
    </row>
    <row r="7463" s="1" customFormat="1" spans="1:3">
      <c r="A7463" s="6"/>
      <c r="B7463" s="6"/>
      <c r="C7463" s="6"/>
    </row>
    <row r="7464" s="1" customFormat="1" spans="1:3">
      <c r="A7464" s="6"/>
      <c r="B7464" s="6"/>
      <c r="C7464" s="6"/>
    </row>
    <row r="7465" s="1" customFormat="1" spans="1:3">
      <c r="A7465" s="6"/>
      <c r="B7465" s="6"/>
      <c r="C7465" s="6"/>
    </row>
    <row r="7466" s="1" customFormat="1" spans="1:3">
      <c r="A7466" s="6"/>
      <c r="B7466" s="6"/>
      <c r="C7466" s="6"/>
    </row>
    <row r="7467" s="1" customFormat="1" spans="1:3">
      <c r="A7467" s="6"/>
      <c r="B7467" s="6"/>
      <c r="C7467" s="6"/>
    </row>
    <row r="7468" s="1" customFormat="1" spans="1:3">
      <c r="A7468" s="6"/>
      <c r="B7468" s="6"/>
      <c r="C7468" s="6"/>
    </row>
    <row r="7469" s="1" customFormat="1" spans="1:3">
      <c r="A7469" s="6"/>
      <c r="B7469" s="6"/>
      <c r="C7469" s="6"/>
    </row>
    <row r="7470" s="1" customFormat="1" spans="1:3">
      <c r="A7470" s="6"/>
      <c r="B7470" s="6"/>
      <c r="C7470" s="6"/>
    </row>
    <row r="7471" s="1" customFormat="1" spans="1:3">
      <c r="A7471" s="6"/>
      <c r="B7471" s="6"/>
      <c r="C7471" s="6"/>
    </row>
    <row r="7472" s="1" customFormat="1" spans="1:3">
      <c r="A7472" s="6"/>
      <c r="B7472" s="6"/>
      <c r="C7472" s="6"/>
    </row>
    <row r="7473" s="1" customFormat="1" spans="1:3">
      <c r="A7473" s="6"/>
      <c r="B7473" s="6"/>
      <c r="C7473" s="6"/>
    </row>
    <row r="7474" s="1" customFormat="1" spans="1:3">
      <c r="A7474" s="6"/>
      <c r="B7474" s="6"/>
      <c r="C7474" s="6"/>
    </row>
    <row r="7475" s="1" customFormat="1" spans="1:3">
      <c r="A7475" s="6"/>
      <c r="B7475" s="6"/>
      <c r="C7475" s="6"/>
    </row>
    <row r="7476" s="1" customFormat="1" spans="1:3">
      <c r="A7476" s="6"/>
      <c r="B7476" s="6"/>
      <c r="C7476" s="6"/>
    </row>
    <row r="7477" s="1" customFormat="1" spans="1:3">
      <c r="A7477" s="6"/>
      <c r="B7477" s="6"/>
      <c r="C7477" s="6"/>
    </row>
    <row r="7478" s="1" customFormat="1" spans="1:3">
      <c r="A7478" s="6"/>
      <c r="B7478" s="6"/>
      <c r="C7478" s="6"/>
    </row>
    <row r="7479" s="1" customFormat="1" spans="1:3">
      <c r="A7479" s="6"/>
      <c r="B7479" s="6"/>
      <c r="C7479" s="6"/>
    </row>
    <row r="7480" s="1" customFormat="1" spans="1:3">
      <c r="A7480" s="6"/>
      <c r="B7480" s="6"/>
      <c r="C7480" s="6"/>
    </row>
    <row r="7481" s="1" customFormat="1" spans="1:3">
      <c r="A7481" s="6"/>
      <c r="B7481" s="6"/>
      <c r="C7481" s="6"/>
    </row>
    <row r="7482" s="1" customFormat="1" spans="1:3">
      <c r="A7482" s="6"/>
      <c r="B7482" s="6"/>
      <c r="C7482" s="6"/>
    </row>
    <row r="7483" s="1" customFormat="1" spans="1:3">
      <c r="A7483" s="6"/>
      <c r="B7483" s="6"/>
      <c r="C7483" s="6"/>
    </row>
    <row r="7484" s="1" customFormat="1" spans="1:3">
      <c r="A7484" s="6"/>
      <c r="B7484" s="6"/>
      <c r="C7484" s="6"/>
    </row>
    <row r="7485" s="1" customFormat="1" spans="1:3">
      <c r="A7485" s="6"/>
      <c r="B7485" s="6"/>
      <c r="C7485" s="6"/>
    </row>
    <row r="7486" s="1" customFormat="1" spans="1:3">
      <c r="A7486" s="6"/>
      <c r="B7486" s="6"/>
      <c r="C7486" s="6"/>
    </row>
    <row r="7487" s="1" customFormat="1" spans="1:3">
      <c r="A7487" s="6"/>
      <c r="B7487" s="6"/>
      <c r="C7487" s="6"/>
    </row>
    <row r="7488" s="1" customFormat="1" spans="1:3">
      <c r="A7488" s="6"/>
      <c r="B7488" s="6"/>
      <c r="C7488" s="6"/>
    </row>
    <row r="7489" s="1" customFormat="1" spans="1:3">
      <c r="A7489" s="6"/>
      <c r="B7489" s="6"/>
      <c r="C7489" s="6"/>
    </row>
    <row r="7490" s="1" customFormat="1" spans="1:3">
      <c r="A7490" s="6"/>
      <c r="B7490" s="6"/>
      <c r="C7490" s="6"/>
    </row>
    <row r="7491" s="1" customFormat="1" spans="1:3">
      <c r="A7491" s="6"/>
      <c r="B7491" s="6"/>
      <c r="C7491" s="6"/>
    </row>
    <row r="7492" s="1" customFormat="1" spans="1:3">
      <c r="A7492" s="6"/>
      <c r="B7492" s="6"/>
      <c r="C7492" s="6"/>
    </row>
    <row r="7493" s="1" customFormat="1" spans="1:3">
      <c r="A7493" s="6"/>
      <c r="B7493" s="6"/>
      <c r="C7493" s="6"/>
    </row>
    <row r="7494" s="1" customFormat="1" spans="1:3">
      <c r="A7494" s="6"/>
      <c r="B7494" s="6"/>
      <c r="C7494" s="6"/>
    </row>
    <row r="7495" s="1" customFormat="1" spans="1:3">
      <c r="A7495" s="6"/>
      <c r="B7495" s="6"/>
      <c r="C7495" s="6"/>
    </row>
    <row r="7496" s="1" customFormat="1" spans="1:3">
      <c r="A7496" s="6"/>
      <c r="B7496" s="6"/>
      <c r="C7496" s="6"/>
    </row>
    <row r="7497" s="1" customFormat="1" spans="1:3">
      <c r="A7497" s="6"/>
      <c r="B7497" s="6"/>
      <c r="C7497" s="6"/>
    </row>
    <row r="7498" s="1" customFormat="1" spans="1:3">
      <c r="A7498" s="6"/>
      <c r="B7498" s="6"/>
      <c r="C7498" s="6"/>
    </row>
    <row r="7499" s="1" customFormat="1" spans="1:3">
      <c r="A7499" s="6"/>
      <c r="B7499" s="6"/>
      <c r="C7499" s="6"/>
    </row>
    <row r="7500" s="1" customFormat="1" spans="1:3">
      <c r="A7500" s="6"/>
      <c r="B7500" s="6"/>
      <c r="C7500" s="6"/>
    </row>
    <row r="7501" s="1" customFormat="1" spans="1:3">
      <c r="A7501" s="6"/>
      <c r="B7501" s="6"/>
      <c r="C7501" s="6"/>
    </row>
    <row r="7502" s="1" customFormat="1" spans="1:3">
      <c r="A7502" s="6"/>
      <c r="B7502" s="6"/>
      <c r="C7502" s="6"/>
    </row>
    <row r="7503" s="1" customFormat="1" spans="1:3">
      <c r="A7503" s="6"/>
      <c r="B7503" s="6"/>
      <c r="C7503" s="6"/>
    </row>
    <row r="7504" s="1" customFormat="1" spans="1:3">
      <c r="A7504" s="6"/>
      <c r="B7504" s="6"/>
      <c r="C7504" s="6"/>
    </row>
    <row r="7505" s="1" customFormat="1" spans="1:3">
      <c r="A7505" s="6"/>
      <c r="B7505" s="6"/>
      <c r="C7505" s="6"/>
    </row>
    <row r="7506" s="1" customFormat="1" spans="1:3">
      <c r="A7506" s="6"/>
      <c r="B7506" s="6"/>
      <c r="C7506" s="6"/>
    </row>
    <row r="7507" s="1" customFormat="1" spans="1:3">
      <c r="A7507" s="6"/>
      <c r="B7507" s="6"/>
      <c r="C7507" s="6"/>
    </row>
    <row r="7508" s="1" customFormat="1" spans="1:3">
      <c r="A7508" s="6"/>
      <c r="B7508" s="6"/>
      <c r="C7508" s="6"/>
    </row>
    <row r="7509" s="1" customFormat="1" spans="1:3">
      <c r="A7509" s="6"/>
      <c r="B7509" s="6"/>
      <c r="C7509" s="6"/>
    </row>
    <row r="7510" s="1" customFormat="1" spans="1:3">
      <c r="A7510" s="6"/>
      <c r="B7510" s="6"/>
      <c r="C7510" s="6"/>
    </row>
    <row r="7511" s="1" customFormat="1" spans="1:3">
      <c r="A7511" s="6"/>
      <c r="B7511" s="6"/>
      <c r="C7511" s="6"/>
    </row>
    <row r="7512" s="1" customFormat="1" spans="1:3">
      <c r="A7512" s="6"/>
      <c r="B7512" s="6"/>
      <c r="C7512" s="6"/>
    </row>
    <row r="7513" s="1" customFormat="1" spans="1:3">
      <c r="A7513" s="6"/>
      <c r="B7513" s="6"/>
      <c r="C7513" s="6"/>
    </row>
    <row r="7514" s="1" customFormat="1" spans="1:3">
      <c r="A7514" s="6"/>
      <c r="B7514" s="6"/>
      <c r="C7514" s="6"/>
    </row>
    <row r="7515" s="1" customFormat="1" spans="1:3">
      <c r="A7515" s="6"/>
      <c r="B7515" s="6"/>
      <c r="C7515" s="6"/>
    </row>
    <row r="7516" s="1" customFormat="1" spans="1:3">
      <c r="A7516" s="6"/>
      <c r="B7516" s="6"/>
      <c r="C7516" s="6"/>
    </row>
    <row r="7517" s="1" customFormat="1" spans="1:3">
      <c r="A7517" s="6"/>
      <c r="B7517" s="6"/>
      <c r="C7517" s="6"/>
    </row>
    <row r="7518" s="1" customFormat="1" spans="1:3">
      <c r="A7518" s="6"/>
      <c r="B7518" s="6"/>
      <c r="C7518" s="6"/>
    </row>
    <row r="7519" s="1" customFormat="1" spans="1:3">
      <c r="A7519" s="6"/>
      <c r="B7519" s="6"/>
      <c r="C7519" s="6"/>
    </row>
    <row r="7520" s="1" customFormat="1" spans="1:3">
      <c r="A7520" s="6"/>
      <c r="B7520" s="6"/>
      <c r="C7520" s="6"/>
    </row>
    <row r="7521" s="1" customFormat="1" spans="1:3">
      <c r="A7521" s="6"/>
      <c r="B7521" s="6"/>
      <c r="C7521" s="6"/>
    </row>
    <row r="7522" s="1" customFormat="1" spans="1:3">
      <c r="A7522" s="6"/>
      <c r="B7522" s="6"/>
      <c r="C7522" s="6"/>
    </row>
    <row r="7523" s="1" customFormat="1" spans="1:3">
      <c r="A7523" s="6"/>
      <c r="B7523" s="6"/>
      <c r="C7523" s="6"/>
    </row>
    <row r="7524" s="1" customFormat="1" spans="1:3">
      <c r="A7524" s="6"/>
      <c r="B7524" s="6"/>
      <c r="C7524" s="6"/>
    </row>
    <row r="7525" s="1" customFormat="1" spans="1:3">
      <c r="A7525" s="6"/>
      <c r="B7525" s="6"/>
      <c r="C7525" s="6"/>
    </row>
    <row r="7526" s="1" customFormat="1" spans="1:3">
      <c r="A7526" s="6"/>
      <c r="B7526" s="6"/>
      <c r="C7526" s="6"/>
    </row>
    <row r="7527" s="1" customFormat="1" spans="1:3">
      <c r="A7527" s="6"/>
      <c r="B7527" s="6"/>
      <c r="C7527" s="6"/>
    </row>
    <row r="7528" s="1" customFormat="1" spans="1:3">
      <c r="A7528" s="6"/>
      <c r="B7528" s="6"/>
      <c r="C7528" s="6"/>
    </row>
    <row r="7529" s="1" customFormat="1" spans="1:3">
      <c r="A7529" s="6"/>
      <c r="B7529" s="6"/>
      <c r="C7529" s="6"/>
    </row>
    <row r="7530" s="1" customFormat="1" spans="1:3">
      <c r="A7530" s="6"/>
      <c r="B7530" s="6"/>
      <c r="C7530" s="6"/>
    </row>
    <row r="7531" s="1" customFormat="1" spans="1:3">
      <c r="A7531" s="6"/>
      <c r="B7531" s="6"/>
      <c r="C7531" s="6"/>
    </row>
    <row r="7532" s="1" customFormat="1" spans="1:3">
      <c r="A7532" s="6"/>
      <c r="B7532" s="6"/>
      <c r="C7532" s="6"/>
    </row>
    <row r="7533" s="1" customFormat="1" spans="1:3">
      <c r="A7533" s="6"/>
      <c r="B7533" s="6"/>
      <c r="C7533" s="6"/>
    </row>
    <row r="7534" s="1" customFormat="1" spans="1:3">
      <c r="A7534" s="6"/>
      <c r="B7534" s="6"/>
      <c r="C7534" s="6"/>
    </row>
    <row r="7535" s="1" customFormat="1" spans="1:3">
      <c r="A7535" s="6"/>
      <c r="B7535" s="6"/>
      <c r="C7535" s="6"/>
    </row>
    <row r="7536" s="1" customFormat="1" spans="1:3">
      <c r="A7536" s="6"/>
      <c r="B7536" s="6"/>
      <c r="C7536" s="6"/>
    </row>
    <row r="7537" s="1" customFormat="1" spans="1:3">
      <c r="A7537" s="6"/>
      <c r="B7537" s="6"/>
      <c r="C7537" s="6"/>
    </row>
    <row r="7538" s="1" customFormat="1" spans="1:3">
      <c r="A7538" s="6"/>
      <c r="B7538" s="6"/>
      <c r="C7538" s="6"/>
    </row>
    <row r="7539" s="1" customFormat="1" spans="1:3">
      <c r="A7539" s="6"/>
      <c r="B7539" s="6"/>
      <c r="C7539" s="6"/>
    </row>
    <row r="7540" s="1" customFormat="1" spans="1:3">
      <c r="A7540" s="6"/>
      <c r="B7540" s="6"/>
      <c r="C7540" s="6"/>
    </row>
    <row r="7541" s="1" customFormat="1" spans="1:3">
      <c r="A7541" s="6"/>
      <c r="B7541" s="6"/>
      <c r="C7541" s="6"/>
    </row>
    <row r="7542" s="1" customFormat="1" spans="1:3">
      <c r="A7542" s="6"/>
      <c r="B7542" s="6"/>
      <c r="C7542" s="6"/>
    </row>
    <row r="7543" s="1" customFormat="1" spans="1:3">
      <c r="A7543" s="6"/>
      <c r="B7543" s="6"/>
      <c r="C7543" s="6"/>
    </row>
    <row r="7544" s="1" customFormat="1" spans="1:3">
      <c r="A7544" s="6"/>
      <c r="B7544" s="6"/>
      <c r="C7544" s="6"/>
    </row>
    <row r="7545" s="1" customFormat="1" spans="1:3">
      <c r="A7545" s="6"/>
      <c r="B7545" s="6"/>
      <c r="C7545" s="6"/>
    </row>
    <row r="7546" s="1" customFormat="1" spans="1:3">
      <c r="A7546" s="6"/>
      <c r="B7546" s="6"/>
      <c r="C7546" s="6"/>
    </row>
    <row r="7547" s="1" customFormat="1" spans="1:3">
      <c r="A7547" s="6"/>
      <c r="B7547" s="6"/>
      <c r="C7547" s="6"/>
    </row>
    <row r="7548" s="1" customFormat="1" spans="1:3">
      <c r="A7548" s="6"/>
      <c r="B7548" s="6"/>
      <c r="C7548" s="6"/>
    </row>
    <row r="7549" s="1" customFormat="1" spans="1:3">
      <c r="A7549" s="6"/>
      <c r="B7549" s="6"/>
      <c r="C7549" s="6"/>
    </row>
    <row r="7550" s="1" customFormat="1" spans="1:3">
      <c r="A7550" s="6"/>
      <c r="B7550" s="6"/>
      <c r="C7550" s="6"/>
    </row>
    <row r="7551" s="1" customFormat="1" spans="1:3">
      <c r="A7551" s="6"/>
      <c r="B7551" s="6"/>
      <c r="C7551" s="6"/>
    </row>
    <row r="7552" s="1" customFormat="1" spans="1:3">
      <c r="A7552" s="6"/>
      <c r="B7552" s="6"/>
      <c r="C7552" s="6"/>
    </row>
    <row r="7553" s="1" customFormat="1" spans="1:3">
      <c r="A7553" s="6"/>
      <c r="B7553" s="6"/>
      <c r="C7553" s="6"/>
    </row>
    <row r="7554" s="1" customFormat="1" spans="1:3">
      <c r="A7554" s="6"/>
      <c r="B7554" s="6"/>
      <c r="C7554" s="6"/>
    </row>
    <row r="7555" s="1" customFormat="1" spans="1:3">
      <c r="A7555" s="6"/>
      <c r="B7555" s="6"/>
      <c r="C7555" s="6"/>
    </row>
    <row r="7556" s="1" customFormat="1" spans="1:3">
      <c r="A7556" s="6"/>
      <c r="B7556" s="6"/>
      <c r="C7556" s="6"/>
    </row>
    <row r="7557" s="1" customFormat="1" spans="1:3">
      <c r="A7557" s="6"/>
      <c r="B7557" s="6"/>
      <c r="C7557" s="6"/>
    </row>
    <row r="7558" s="1" customFormat="1" spans="1:3">
      <c r="A7558" s="6"/>
      <c r="B7558" s="6"/>
      <c r="C7558" s="6"/>
    </row>
    <row r="7559" s="1" customFormat="1" spans="1:3">
      <c r="A7559" s="6"/>
      <c r="B7559" s="6"/>
      <c r="C7559" s="6"/>
    </row>
    <row r="7560" s="1" customFormat="1" spans="1:3">
      <c r="A7560" s="6"/>
      <c r="B7560" s="6"/>
      <c r="C7560" s="6"/>
    </row>
    <row r="7561" s="1" customFormat="1" spans="1:3">
      <c r="A7561" s="6"/>
      <c r="B7561" s="6"/>
      <c r="C7561" s="6"/>
    </row>
    <row r="7562" s="1" customFormat="1" spans="1:3">
      <c r="A7562" s="6"/>
      <c r="B7562" s="6"/>
      <c r="C7562" s="6"/>
    </row>
    <row r="7563" s="1" customFormat="1" spans="1:3">
      <c r="A7563" s="6"/>
      <c r="B7563" s="6"/>
      <c r="C7563" s="6"/>
    </row>
    <row r="7564" s="1" customFormat="1" spans="1:3">
      <c r="A7564" s="6"/>
      <c r="B7564" s="6"/>
      <c r="C7564" s="6"/>
    </row>
    <row r="7565" s="1" customFormat="1" spans="1:3">
      <c r="A7565" s="6"/>
      <c r="B7565" s="6"/>
      <c r="C7565" s="6"/>
    </row>
    <row r="7566" s="1" customFormat="1" spans="1:3">
      <c r="A7566" s="6"/>
      <c r="B7566" s="6"/>
      <c r="C7566" s="6"/>
    </row>
    <row r="7567" s="1" customFormat="1" spans="1:3">
      <c r="A7567" s="6"/>
      <c r="B7567" s="6"/>
      <c r="C7567" s="6"/>
    </row>
    <row r="7568" s="1" customFormat="1" spans="1:3">
      <c r="A7568" s="6"/>
      <c r="B7568" s="6"/>
      <c r="C7568" s="6"/>
    </row>
    <row r="7569" s="1" customFormat="1" spans="1:3">
      <c r="A7569" s="6"/>
      <c r="B7569" s="6"/>
      <c r="C7569" s="6"/>
    </row>
    <row r="7570" s="1" customFormat="1" spans="1:3">
      <c r="A7570" s="6"/>
      <c r="B7570" s="6"/>
      <c r="C7570" s="6"/>
    </row>
    <row r="7571" s="1" customFormat="1" spans="1:3">
      <c r="A7571" s="6"/>
      <c r="B7571" s="6"/>
      <c r="C7571" s="6"/>
    </row>
    <row r="7572" s="1" customFormat="1" spans="1:3">
      <c r="A7572" s="6"/>
      <c r="B7572" s="6"/>
      <c r="C7572" s="6"/>
    </row>
    <row r="7573" s="1" customFormat="1" spans="1:3">
      <c r="A7573" s="6"/>
      <c r="B7573" s="6"/>
      <c r="C7573" s="6"/>
    </row>
    <row r="7574" s="1" customFormat="1" spans="1:3">
      <c r="A7574" s="6"/>
      <c r="B7574" s="6"/>
      <c r="C7574" s="6"/>
    </row>
    <row r="7575" s="1" customFormat="1" spans="1:3">
      <c r="A7575" s="6"/>
      <c r="B7575" s="6"/>
      <c r="C7575" s="6"/>
    </row>
    <row r="7576" s="1" customFormat="1" spans="1:3">
      <c r="A7576" s="6"/>
      <c r="B7576" s="6"/>
      <c r="C7576" s="6"/>
    </row>
    <row r="7577" s="1" customFormat="1" spans="1:3">
      <c r="A7577" s="6"/>
      <c r="B7577" s="6"/>
      <c r="C7577" s="6"/>
    </row>
    <row r="7578" s="1" customFormat="1" spans="1:3">
      <c r="A7578" s="6"/>
      <c r="B7578" s="6"/>
      <c r="C7578" s="6"/>
    </row>
    <row r="7579" s="1" customFormat="1" spans="1:3">
      <c r="A7579" s="6"/>
      <c r="B7579" s="6"/>
      <c r="C7579" s="6"/>
    </row>
    <row r="7580" s="1" customFormat="1" spans="1:3">
      <c r="A7580" s="6"/>
      <c r="B7580" s="6"/>
      <c r="C7580" s="6"/>
    </row>
    <row r="7581" s="1" customFormat="1" spans="1:3">
      <c r="A7581" s="6"/>
      <c r="B7581" s="6"/>
      <c r="C7581" s="6"/>
    </row>
    <row r="7582" s="1" customFormat="1" spans="1:3">
      <c r="A7582" s="6"/>
      <c r="B7582" s="6"/>
      <c r="C7582" s="6"/>
    </row>
    <row r="7583" s="1" customFormat="1" spans="1:3">
      <c r="A7583" s="6"/>
      <c r="B7583" s="6"/>
      <c r="C7583" s="6"/>
    </row>
    <row r="7584" s="1" customFormat="1" spans="1:3">
      <c r="A7584" s="6"/>
      <c r="B7584" s="6"/>
      <c r="C7584" s="6"/>
    </row>
    <row r="7585" s="1" customFormat="1" spans="1:3">
      <c r="A7585" s="6"/>
      <c r="B7585" s="6"/>
      <c r="C7585" s="6"/>
    </row>
    <row r="7586" s="1" customFormat="1" spans="1:3">
      <c r="A7586" s="6"/>
      <c r="B7586" s="6"/>
      <c r="C7586" s="6"/>
    </row>
    <row r="7587" s="1" customFormat="1" spans="1:3">
      <c r="A7587" s="6"/>
      <c r="B7587" s="6"/>
      <c r="C7587" s="6"/>
    </row>
    <row r="7588" s="1" customFormat="1" spans="1:3">
      <c r="A7588" s="6"/>
      <c r="B7588" s="6"/>
      <c r="C7588" s="6"/>
    </row>
    <row r="7589" s="1" customFormat="1" spans="1:3">
      <c r="A7589" s="6"/>
      <c r="B7589" s="6"/>
      <c r="C7589" s="6"/>
    </row>
    <row r="7590" s="1" customFormat="1" spans="1:3">
      <c r="A7590" s="6"/>
      <c r="B7590" s="6"/>
      <c r="C7590" s="6"/>
    </row>
    <row r="7591" s="1" customFormat="1" spans="1:3">
      <c r="A7591" s="6"/>
      <c r="B7591" s="6"/>
      <c r="C7591" s="6"/>
    </row>
    <row r="7592" s="1" customFormat="1" spans="1:3">
      <c r="A7592" s="6"/>
      <c r="B7592" s="6"/>
      <c r="C7592" s="6"/>
    </row>
    <row r="7593" s="1" customFormat="1" spans="1:3">
      <c r="A7593" s="6"/>
      <c r="B7593" s="6"/>
      <c r="C7593" s="6"/>
    </row>
    <row r="7594" s="1" customFormat="1" spans="1:3">
      <c r="A7594" s="6"/>
      <c r="B7594" s="6"/>
      <c r="C7594" s="6"/>
    </row>
    <row r="7595" s="1" customFormat="1" spans="1:3">
      <c r="A7595" s="6"/>
      <c r="B7595" s="6"/>
      <c r="C7595" s="6"/>
    </row>
    <row r="7596" s="1" customFormat="1" spans="1:3">
      <c r="A7596" s="6"/>
      <c r="B7596" s="6"/>
      <c r="C7596" s="6"/>
    </row>
    <row r="7597" s="1" customFormat="1" spans="1:3">
      <c r="A7597" s="6"/>
      <c r="B7597" s="6"/>
      <c r="C7597" s="6"/>
    </row>
    <row r="7598" s="1" customFormat="1" spans="1:3">
      <c r="A7598" s="6"/>
      <c r="B7598" s="6"/>
      <c r="C7598" s="6"/>
    </row>
    <row r="7599" s="1" customFormat="1" spans="1:3">
      <c r="A7599" s="6"/>
      <c r="B7599" s="6"/>
      <c r="C7599" s="6"/>
    </row>
    <row r="7600" s="1" customFormat="1" spans="1:3">
      <c r="A7600" s="6"/>
      <c r="B7600" s="6"/>
      <c r="C7600" s="6"/>
    </row>
    <row r="7601" s="1" customFormat="1" spans="1:3">
      <c r="A7601" s="6"/>
      <c r="B7601" s="6"/>
      <c r="C7601" s="6"/>
    </row>
    <row r="7602" s="1" customFormat="1" spans="1:3">
      <c r="A7602" s="6"/>
      <c r="B7602" s="6"/>
      <c r="C7602" s="6"/>
    </row>
    <row r="7603" s="1" customFormat="1" spans="1:3">
      <c r="A7603" s="6"/>
      <c r="B7603" s="6"/>
      <c r="C7603" s="6"/>
    </row>
    <row r="7604" s="1" customFormat="1" spans="1:3">
      <c r="A7604" s="6"/>
      <c r="B7604" s="6"/>
      <c r="C7604" s="6"/>
    </row>
    <row r="7605" s="1" customFormat="1" spans="1:3">
      <c r="A7605" s="6"/>
      <c r="B7605" s="6"/>
      <c r="C7605" s="6"/>
    </row>
    <row r="7606" s="1" customFormat="1" spans="1:3">
      <c r="A7606" s="6"/>
      <c r="B7606" s="6"/>
      <c r="C7606" s="6"/>
    </row>
    <row r="7607" s="1" customFormat="1" spans="1:3">
      <c r="A7607" s="6"/>
      <c r="B7607" s="6"/>
      <c r="C7607" s="6"/>
    </row>
    <row r="7608" s="1" customFormat="1" spans="1:3">
      <c r="A7608" s="6"/>
      <c r="B7608" s="6"/>
      <c r="C7608" s="6"/>
    </row>
    <row r="7609" s="1" customFormat="1" spans="1:3">
      <c r="A7609" s="6"/>
      <c r="B7609" s="6"/>
      <c r="C7609" s="6"/>
    </row>
    <row r="7610" s="1" customFormat="1" spans="1:3">
      <c r="A7610" s="6"/>
      <c r="B7610" s="6"/>
      <c r="C7610" s="6"/>
    </row>
    <row r="7611" s="1" customFormat="1" spans="1:3">
      <c r="A7611" s="6"/>
      <c r="B7611" s="6"/>
      <c r="C7611" s="6"/>
    </row>
    <row r="7612" s="1" customFormat="1" spans="1:3">
      <c r="A7612" s="6"/>
      <c r="B7612" s="6"/>
      <c r="C7612" s="6"/>
    </row>
    <row r="7613" s="1" customFormat="1" spans="1:3">
      <c r="A7613" s="6"/>
      <c r="B7613" s="6"/>
      <c r="C7613" s="6"/>
    </row>
    <row r="7614" s="1" customFormat="1" spans="1:3">
      <c r="A7614" s="6"/>
      <c r="B7614" s="6"/>
      <c r="C7614" s="6"/>
    </row>
    <row r="7615" s="1" customFormat="1" spans="1:3">
      <c r="A7615" s="6"/>
      <c r="B7615" s="6"/>
      <c r="C7615" s="6"/>
    </row>
    <row r="7616" s="1" customFormat="1" spans="1:3">
      <c r="A7616" s="6"/>
      <c r="B7616" s="6"/>
      <c r="C7616" s="6"/>
    </row>
    <row r="7617" s="1" customFormat="1" spans="1:3">
      <c r="A7617" s="6"/>
      <c r="B7617" s="6"/>
      <c r="C7617" s="6"/>
    </row>
    <row r="7618" s="1" customFormat="1" spans="1:3">
      <c r="A7618" s="6"/>
      <c r="B7618" s="6"/>
      <c r="C7618" s="6"/>
    </row>
    <row r="7619" s="1" customFormat="1" spans="1:3">
      <c r="A7619" s="6"/>
      <c r="B7619" s="6"/>
      <c r="C7619" s="6"/>
    </row>
    <row r="7620" s="1" customFormat="1" spans="1:3">
      <c r="A7620" s="6"/>
      <c r="B7620" s="6"/>
      <c r="C7620" s="6"/>
    </row>
    <row r="7621" s="1" customFormat="1" spans="1:3">
      <c r="A7621" s="6"/>
      <c r="B7621" s="6"/>
      <c r="C7621" s="6"/>
    </row>
    <row r="7622" s="1" customFormat="1" spans="1:3">
      <c r="A7622" s="6"/>
      <c r="B7622" s="6"/>
      <c r="C7622" s="6"/>
    </row>
    <row r="7623" s="1" customFormat="1" spans="1:3">
      <c r="A7623" s="6"/>
      <c r="B7623" s="6"/>
      <c r="C7623" s="6"/>
    </row>
    <row r="7624" s="1" customFormat="1" spans="1:3">
      <c r="A7624" s="6"/>
      <c r="B7624" s="6"/>
      <c r="C7624" s="6"/>
    </row>
    <row r="7625" s="1" customFormat="1" spans="1:3">
      <c r="A7625" s="6"/>
      <c r="B7625" s="6"/>
      <c r="C7625" s="6"/>
    </row>
    <row r="7626" s="1" customFormat="1" spans="1:3">
      <c r="A7626" s="6"/>
      <c r="B7626" s="6"/>
      <c r="C7626" s="6"/>
    </row>
    <row r="7627" s="1" customFormat="1" spans="1:3">
      <c r="A7627" s="6"/>
      <c r="B7627" s="6"/>
      <c r="C7627" s="6"/>
    </row>
    <row r="7628" s="1" customFormat="1" spans="1:3">
      <c r="A7628" s="6"/>
      <c r="B7628" s="6"/>
      <c r="C7628" s="6"/>
    </row>
    <row r="7629" s="1" customFormat="1" spans="1:3">
      <c r="A7629" s="6"/>
      <c r="B7629" s="6"/>
      <c r="C7629" s="6"/>
    </row>
    <row r="7630" s="1" customFormat="1" spans="1:3">
      <c r="A7630" s="6"/>
      <c r="B7630" s="6"/>
      <c r="C7630" s="6"/>
    </row>
    <row r="7631" s="1" customFormat="1" spans="1:3">
      <c r="A7631" s="6"/>
      <c r="B7631" s="6"/>
      <c r="C7631" s="6"/>
    </row>
    <row r="7632" s="1" customFormat="1" spans="1:3">
      <c r="A7632" s="6"/>
      <c r="B7632" s="6"/>
      <c r="C7632" s="6"/>
    </row>
    <row r="7633" s="1" customFormat="1" spans="1:3">
      <c r="A7633" s="6"/>
      <c r="B7633" s="6"/>
      <c r="C7633" s="6"/>
    </row>
    <row r="7634" s="1" customFormat="1" spans="1:3">
      <c r="A7634" s="6"/>
      <c r="B7634" s="6"/>
      <c r="C7634" s="6"/>
    </row>
    <row r="7635" s="1" customFormat="1" spans="1:3">
      <c r="A7635" s="6"/>
      <c r="B7635" s="6"/>
      <c r="C7635" s="6"/>
    </row>
    <row r="7636" s="1" customFormat="1" spans="1:3">
      <c r="A7636" s="6"/>
      <c r="B7636" s="6"/>
      <c r="C7636" s="6"/>
    </row>
    <row r="7637" s="1" customFormat="1" spans="1:3">
      <c r="A7637" s="6"/>
      <c r="B7637" s="6"/>
      <c r="C7637" s="6"/>
    </row>
    <row r="7638" s="1" customFormat="1" spans="1:3">
      <c r="A7638" s="6"/>
      <c r="B7638" s="6"/>
      <c r="C7638" s="6"/>
    </row>
    <row r="7639" s="1" customFormat="1" spans="1:3">
      <c r="A7639" s="6"/>
      <c r="B7639" s="6"/>
      <c r="C7639" s="6"/>
    </row>
    <row r="7640" s="1" customFormat="1" spans="1:3">
      <c r="A7640" s="6"/>
      <c r="B7640" s="6"/>
      <c r="C7640" s="6"/>
    </row>
    <row r="7641" s="1" customFormat="1" spans="1:3">
      <c r="A7641" s="6"/>
      <c r="B7641" s="6"/>
      <c r="C7641" s="6"/>
    </row>
    <row r="7642" s="1" customFormat="1" spans="1:3">
      <c r="A7642" s="6"/>
      <c r="B7642" s="6"/>
      <c r="C7642" s="6"/>
    </row>
    <row r="7643" s="1" customFormat="1" spans="1:3">
      <c r="A7643" s="6"/>
      <c r="B7643" s="6"/>
      <c r="C7643" s="6"/>
    </row>
    <row r="7644" s="1" customFormat="1" spans="1:3">
      <c r="A7644" s="6"/>
      <c r="B7644" s="6"/>
      <c r="C7644" s="6"/>
    </row>
    <row r="7645" s="1" customFormat="1" spans="1:3">
      <c r="A7645" s="6"/>
      <c r="B7645" s="6"/>
      <c r="C7645" s="6"/>
    </row>
    <row r="7646" s="1" customFormat="1" spans="1:3">
      <c r="A7646" s="6"/>
      <c r="B7646" s="6"/>
      <c r="C7646" s="6"/>
    </row>
    <row r="7647" s="1" customFormat="1" spans="1:3">
      <c r="A7647" s="6"/>
      <c r="B7647" s="6"/>
      <c r="C7647" s="6"/>
    </row>
    <row r="7648" s="1" customFormat="1" spans="1:3">
      <c r="A7648" s="6"/>
      <c r="B7648" s="6"/>
      <c r="C7648" s="6"/>
    </row>
    <row r="7649" s="1" customFormat="1" spans="1:3">
      <c r="A7649" s="6"/>
      <c r="B7649" s="6"/>
      <c r="C7649" s="6"/>
    </row>
    <row r="7650" s="1" customFormat="1" spans="1:3">
      <c r="A7650" s="6"/>
      <c r="B7650" s="6"/>
      <c r="C7650" s="6"/>
    </row>
    <row r="7651" s="1" customFormat="1" spans="1:3">
      <c r="A7651" s="6"/>
      <c r="B7651" s="6"/>
      <c r="C7651" s="6"/>
    </row>
    <row r="7652" s="1" customFormat="1" spans="1:3">
      <c r="A7652" s="6"/>
      <c r="B7652" s="6"/>
      <c r="C7652" s="6"/>
    </row>
    <row r="7653" s="1" customFormat="1" spans="1:3">
      <c r="A7653" s="6"/>
      <c r="B7653" s="6"/>
      <c r="C7653" s="6"/>
    </row>
    <row r="7654" s="1" customFormat="1" spans="1:3">
      <c r="A7654" s="6"/>
      <c r="B7654" s="6"/>
      <c r="C7654" s="6"/>
    </row>
    <row r="7655" s="1" customFormat="1" spans="1:3">
      <c r="A7655" s="6"/>
      <c r="B7655" s="6"/>
      <c r="C7655" s="6"/>
    </row>
    <row r="7656" s="1" customFormat="1" spans="1:3">
      <c r="A7656" s="6"/>
      <c r="B7656" s="6"/>
      <c r="C7656" s="6"/>
    </row>
    <row r="7657" s="1" customFormat="1" spans="1:3">
      <c r="A7657" s="6"/>
      <c r="B7657" s="6"/>
      <c r="C7657" s="6"/>
    </row>
    <row r="7658" s="1" customFormat="1" spans="1:3">
      <c r="A7658" s="6"/>
      <c r="B7658" s="6"/>
      <c r="C7658" s="6"/>
    </row>
    <row r="7659" s="1" customFormat="1" spans="1:3">
      <c r="A7659" s="6"/>
      <c r="B7659" s="6"/>
      <c r="C7659" s="6"/>
    </row>
    <row r="7660" s="1" customFormat="1" spans="1:3">
      <c r="A7660" s="6"/>
      <c r="B7660" s="6"/>
      <c r="C7660" s="6"/>
    </row>
    <row r="7661" s="1" customFormat="1" spans="1:3">
      <c r="A7661" s="6"/>
      <c r="B7661" s="6"/>
      <c r="C7661" s="6"/>
    </row>
    <row r="7662" s="1" customFormat="1" spans="1:3">
      <c r="A7662" s="6"/>
      <c r="B7662" s="6"/>
      <c r="C7662" s="6"/>
    </row>
    <row r="7663" s="1" customFormat="1" spans="1:3">
      <c r="A7663" s="6"/>
      <c r="B7663" s="6"/>
      <c r="C7663" s="6"/>
    </row>
    <row r="7664" s="1" customFormat="1" spans="1:3">
      <c r="A7664" s="6"/>
      <c r="B7664" s="6"/>
      <c r="C7664" s="6"/>
    </row>
    <row r="7665" s="1" customFormat="1" spans="1:3">
      <c r="A7665" s="6"/>
      <c r="B7665" s="6"/>
      <c r="C7665" s="6"/>
    </row>
    <row r="7666" s="1" customFormat="1" spans="1:3">
      <c r="A7666" s="6"/>
      <c r="B7666" s="6"/>
      <c r="C7666" s="6"/>
    </row>
    <row r="7667" s="1" customFormat="1" spans="1:3">
      <c r="A7667" s="6"/>
      <c r="B7667" s="6"/>
      <c r="C7667" s="6"/>
    </row>
    <row r="7668" s="1" customFormat="1" spans="1:3">
      <c r="A7668" s="6"/>
      <c r="B7668" s="6"/>
      <c r="C7668" s="6"/>
    </row>
    <row r="7669" s="1" customFormat="1" spans="1:3">
      <c r="A7669" s="6"/>
      <c r="B7669" s="6"/>
      <c r="C7669" s="6"/>
    </row>
    <row r="7670" s="1" customFormat="1" spans="1:3">
      <c r="A7670" s="6"/>
      <c r="B7670" s="6"/>
      <c r="C7670" s="6"/>
    </row>
    <row r="7671" s="1" customFormat="1" spans="1:3">
      <c r="A7671" s="6"/>
      <c r="B7671" s="6"/>
      <c r="C7671" s="6"/>
    </row>
    <row r="7672" s="1" customFormat="1" spans="1:3">
      <c r="A7672" s="6"/>
      <c r="B7672" s="6"/>
      <c r="C7672" s="6"/>
    </row>
    <row r="7673" s="1" customFormat="1" spans="1:3">
      <c r="A7673" s="6"/>
      <c r="B7673" s="6"/>
      <c r="C7673" s="6"/>
    </row>
    <row r="7674" s="1" customFormat="1" spans="1:3">
      <c r="A7674" s="6"/>
      <c r="B7674" s="6"/>
      <c r="C7674" s="6"/>
    </row>
    <row r="7675" s="1" customFormat="1" spans="1:3">
      <c r="A7675" s="6"/>
      <c r="B7675" s="6"/>
      <c r="C7675" s="6"/>
    </row>
    <row r="7676" s="1" customFormat="1" spans="1:3">
      <c r="A7676" s="6"/>
      <c r="B7676" s="6"/>
      <c r="C7676" s="6"/>
    </row>
    <row r="7677" s="1" customFormat="1" spans="1:3">
      <c r="A7677" s="6"/>
      <c r="B7677" s="6"/>
      <c r="C7677" s="6"/>
    </row>
    <row r="7678" s="1" customFormat="1" spans="1:3">
      <c r="A7678" s="6"/>
      <c r="B7678" s="6"/>
      <c r="C7678" s="6"/>
    </row>
    <row r="7679" s="1" customFormat="1" spans="1:3">
      <c r="A7679" s="6"/>
      <c r="B7679" s="6"/>
      <c r="C7679" s="6"/>
    </row>
    <row r="7680" s="1" customFormat="1" spans="1:3">
      <c r="A7680" s="6"/>
      <c r="B7680" s="6"/>
      <c r="C7680" s="6"/>
    </row>
    <row r="7681" s="1" customFormat="1" spans="1:3">
      <c r="A7681" s="6"/>
      <c r="B7681" s="6"/>
      <c r="C7681" s="6"/>
    </row>
    <row r="7682" s="1" customFormat="1" spans="1:3">
      <c r="A7682" s="6"/>
      <c r="B7682" s="6"/>
      <c r="C7682" s="6"/>
    </row>
    <row r="7683" s="1" customFormat="1" spans="1:3">
      <c r="A7683" s="6"/>
      <c r="B7683" s="6"/>
      <c r="C7683" s="6"/>
    </row>
    <row r="7684" s="1" customFormat="1" spans="1:3">
      <c r="A7684" s="6"/>
      <c r="B7684" s="6"/>
      <c r="C7684" s="6"/>
    </row>
    <row r="7685" s="1" customFormat="1" spans="1:3">
      <c r="A7685" s="6"/>
      <c r="B7685" s="6"/>
      <c r="C7685" s="6"/>
    </row>
    <row r="7686" s="1" customFormat="1" spans="1:3">
      <c r="A7686" s="6"/>
      <c r="B7686" s="6"/>
      <c r="C7686" s="6"/>
    </row>
    <row r="7687" s="1" customFormat="1" spans="1:3">
      <c r="A7687" s="6"/>
      <c r="B7687" s="6"/>
      <c r="C7687" s="6"/>
    </row>
    <row r="7688" s="1" customFormat="1" spans="1:3">
      <c r="A7688" s="6"/>
      <c r="B7688" s="6"/>
      <c r="C7688" s="6"/>
    </row>
    <row r="7689" s="1" customFormat="1" spans="1:3">
      <c r="A7689" s="6"/>
      <c r="B7689" s="6"/>
      <c r="C7689" s="6"/>
    </row>
    <row r="7690" s="1" customFormat="1" spans="1:3">
      <c r="A7690" s="6"/>
      <c r="B7690" s="6"/>
      <c r="C7690" s="6"/>
    </row>
    <row r="7691" s="1" customFormat="1" spans="1:3">
      <c r="A7691" s="6"/>
      <c r="B7691" s="6"/>
      <c r="C7691" s="6"/>
    </row>
    <row r="7692" s="1" customFormat="1" spans="1:3">
      <c r="A7692" s="6"/>
      <c r="B7692" s="6"/>
      <c r="C7692" s="6"/>
    </row>
    <row r="7693" s="1" customFormat="1" spans="1:3">
      <c r="A7693" s="6"/>
      <c r="B7693" s="6"/>
      <c r="C7693" s="6"/>
    </row>
    <row r="7694" s="1" customFormat="1" spans="1:3">
      <c r="A7694" s="6"/>
      <c r="B7694" s="6"/>
      <c r="C7694" s="6"/>
    </row>
    <row r="7695" s="1" customFormat="1" spans="1:3">
      <c r="A7695" s="6"/>
      <c r="B7695" s="6"/>
      <c r="C7695" s="6"/>
    </row>
    <row r="7696" s="1" customFormat="1" spans="1:3">
      <c r="A7696" s="6"/>
      <c r="B7696" s="6"/>
      <c r="C7696" s="6"/>
    </row>
    <row r="7697" s="1" customFormat="1" spans="1:3">
      <c r="A7697" s="6"/>
      <c r="B7697" s="6"/>
      <c r="C7697" s="6"/>
    </row>
    <row r="7698" s="1" customFormat="1" spans="1:3">
      <c r="A7698" s="6"/>
      <c r="B7698" s="6"/>
      <c r="C7698" s="6"/>
    </row>
    <row r="7699" s="1" customFormat="1" spans="1:3">
      <c r="A7699" s="6"/>
      <c r="B7699" s="6"/>
      <c r="C7699" s="6"/>
    </row>
    <row r="7700" s="1" customFormat="1" spans="1:3">
      <c r="A7700" s="6"/>
      <c r="B7700" s="6"/>
      <c r="C7700" s="6"/>
    </row>
    <row r="7701" s="1" customFormat="1" spans="1:3">
      <c r="A7701" s="6"/>
      <c r="B7701" s="6"/>
      <c r="C7701" s="6"/>
    </row>
    <row r="7702" s="1" customFormat="1" spans="1:3">
      <c r="A7702" s="6"/>
      <c r="B7702" s="6"/>
      <c r="C7702" s="6"/>
    </row>
    <row r="7703" s="1" customFormat="1" spans="1:3">
      <c r="A7703" s="6"/>
      <c r="B7703" s="6"/>
      <c r="C7703" s="6"/>
    </row>
    <row r="7704" s="1" customFormat="1" spans="1:3">
      <c r="A7704" s="6"/>
      <c r="B7704" s="6"/>
      <c r="C7704" s="6"/>
    </row>
    <row r="7705" s="1" customFormat="1" spans="1:3">
      <c r="A7705" s="6"/>
      <c r="B7705" s="6"/>
      <c r="C7705" s="6"/>
    </row>
    <row r="7706" s="1" customFormat="1" spans="1:3">
      <c r="A7706" s="6"/>
      <c r="B7706" s="6"/>
      <c r="C7706" s="6"/>
    </row>
    <row r="7707" s="1" customFormat="1" spans="1:3">
      <c r="A7707" s="6"/>
      <c r="B7707" s="6"/>
      <c r="C7707" s="6"/>
    </row>
    <row r="7708" s="1" customFormat="1" spans="1:3">
      <c r="A7708" s="6"/>
      <c r="B7708" s="6"/>
      <c r="C7708" s="6"/>
    </row>
    <row r="7709" s="1" customFormat="1" spans="1:3">
      <c r="A7709" s="6"/>
      <c r="B7709" s="6"/>
      <c r="C7709" s="6"/>
    </row>
    <row r="7710" s="1" customFormat="1" spans="1:3">
      <c r="A7710" s="6"/>
      <c r="B7710" s="6"/>
      <c r="C7710" s="6"/>
    </row>
    <row r="7711" s="1" customFormat="1" spans="1:3">
      <c r="A7711" s="6"/>
      <c r="B7711" s="6"/>
      <c r="C7711" s="6"/>
    </row>
    <row r="7712" s="1" customFormat="1" spans="1:3">
      <c r="A7712" s="6"/>
      <c r="B7712" s="6"/>
      <c r="C7712" s="6"/>
    </row>
    <row r="7713" s="1" customFormat="1" spans="1:3">
      <c r="A7713" s="6"/>
      <c r="B7713" s="6"/>
      <c r="C7713" s="6"/>
    </row>
    <row r="7714" s="1" customFormat="1" spans="1:3">
      <c r="A7714" s="6"/>
      <c r="B7714" s="6"/>
      <c r="C7714" s="6"/>
    </row>
    <row r="7715" s="1" customFormat="1" spans="1:3">
      <c r="A7715" s="6"/>
      <c r="B7715" s="6"/>
      <c r="C7715" s="6"/>
    </row>
    <row r="7716" s="1" customFormat="1" spans="1:3">
      <c r="A7716" s="6"/>
      <c r="B7716" s="6"/>
      <c r="C7716" s="6"/>
    </row>
    <row r="7717" s="1" customFormat="1" spans="1:3">
      <c r="A7717" s="6"/>
      <c r="B7717" s="6"/>
      <c r="C7717" s="6"/>
    </row>
    <row r="7718" s="1" customFormat="1" spans="1:3">
      <c r="A7718" s="6"/>
      <c r="B7718" s="6"/>
      <c r="C7718" s="6"/>
    </row>
    <row r="7719" s="1" customFormat="1" spans="1:3">
      <c r="A7719" s="6"/>
      <c r="B7719" s="6"/>
      <c r="C7719" s="6"/>
    </row>
    <row r="7720" s="1" customFormat="1" spans="1:3">
      <c r="A7720" s="6"/>
      <c r="B7720" s="6"/>
      <c r="C7720" s="6"/>
    </row>
    <row r="7721" s="1" customFormat="1" spans="1:3">
      <c r="A7721" s="6"/>
      <c r="B7721" s="6"/>
      <c r="C7721" s="6"/>
    </row>
    <row r="7722" s="1" customFormat="1" spans="1:3">
      <c r="A7722" s="6"/>
      <c r="B7722" s="6"/>
      <c r="C7722" s="6"/>
    </row>
    <row r="7723" s="1" customFormat="1" spans="1:3">
      <c r="A7723" s="6"/>
      <c r="B7723" s="6"/>
      <c r="C7723" s="6"/>
    </row>
    <row r="7724" s="1" customFormat="1" spans="1:3">
      <c r="A7724" s="6"/>
      <c r="B7724" s="6"/>
      <c r="C7724" s="6"/>
    </row>
    <row r="7725" s="1" customFormat="1" spans="1:3">
      <c r="A7725" s="6"/>
      <c r="B7725" s="6"/>
      <c r="C7725" s="6"/>
    </row>
    <row r="7726" s="1" customFormat="1" spans="1:3">
      <c r="A7726" s="6"/>
      <c r="B7726" s="6"/>
      <c r="C7726" s="6"/>
    </row>
    <row r="7727" s="1" customFormat="1" spans="1:3">
      <c r="A7727" s="6"/>
      <c r="B7727" s="6"/>
      <c r="C7727" s="6"/>
    </row>
    <row r="7728" s="1" customFormat="1" spans="1:3">
      <c r="A7728" s="6"/>
      <c r="B7728" s="6"/>
      <c r="C7728" s="6"/>
    </row>
    <row r="7729" s="1" customFormat="1" spans="1:3">
      <c r="A7729" s="6"/>
      <c r="B7729" s="6"/>
      <c r="C7729" s="6"/>
    </row>
    <row r="7730" s="1" customFormat="1" spans="1:3">
      <c r="A7730" s="6"/>
      <c r="B7730" s="6"/>
      <c r="C7730" s="6"/>
    </row>
    <row r="7731" s="1" customFormat="1" spans="1:3">
      <c r="A7731" s="6"/>
      <c r="B7731" s="6"/>
      <c r="C7731" s="6"/>
    </row>
    <row r="7732" s="1" customFormat="1" spans="1:3">
      <c r="A7732" s="6"/>
      <c r="B7732" s="6"/>
      <c r="C7732" s="6"/>
    </row>
    <row r="7733" s="1" customFormat="1" spans="1:3">
      <c r="A7733" s="6"/>
      <c r="B7733" s="6"/>
      <c r="C7733" s="6"/>
    </row>
    <row r="7734" s="1" customFormat="1" spans="1:3">
      <c r="A7734" s="6"/>
      <c r="B7734" s="6"/>
      <c r="C7734" s="6"/>
    </row>
    <row r="7735" s="1" customFormat="1" spans="1:3">
      <c r="A7735" s="6"/>
      <c r="B7735" s="6"/>
      <c r="C7735" s="6"/>
    </row>
    <row r="7736" s="1" customFormat="1" spans="1:3">
      <c r="A7736" s="6"/>
      <c r="B7736" s="6"/>
      <c r="C7736" s="6"/>
    </row>
    <row r="7737" s="1" customFormat="1" spans="1:3">
      <c r="A7737" s="6"/>
      <c r="B7737" s="6"/>
      <c r="C7737" s="6"/>
    </row>
    <row r="7738" s="1" customFormat="1" spans="1:3">
      <c r="A7738" s="6"/>
      <c r="B7738" s="6"/>
      <c r="C7738" s="6"/>
    </row>
    <row r="7739" s="1" customFormat="1" spans="1:3">
      <c r="A7739" s="6"/>
      <c r="B7739" s="6"/>
      <c r="C7739" s="6"/>
    </row>
    <row r="7740" s="1" customFormat="1" spans="1:3">
      <c r="A7740" s="6"/>
      <c r="B7740" s="6"/>
      <c r="C7740" s="6"/>
    </row>
    <row r="7741" s="1" customFormat="1" spans="1:3">
      <c r="A7741" s="6"/>
      <c r="B7741" s="6"/>
      <c r="C7741" s="6"/>
    </row>
    <row r="7742" s="1" customFormat="1" spans="1:3">
      <c r="A7742" s="6"/>
      <c r="B7742" s="6"/>
      <c r="C7742" s="6"/>
    </row>
    <row r="7743" s="1" customFormat="1" spans="1:3">
      <c r="A7743" s="6"/>
      <c r="B7743" s="6"/>
      <c r="C7743" s="6"/>
    </row>
    <row r="7744" s="1" customFormat="1" spans="1:3">
      <c r="A7744" s="6"/>
      <c r="B7744" s="6"/>
      <c r="C7744" s="6"/>
    </row>
    <row r="7745" s="1" customFormat="1" spans="1:3">
      <c r="A7745" s="6"/>
      <c r="B7745" s="6"/>
      <c r="C7745" s="6"/>
    </row>
    <row r="7746" s="1" customFormat="1" spans="1:3">
      <c r="A7746" s="6"/>
      <c r="B7746" s="6"/>
      <c r="C7746" s="6"/>
    </row>
    <row r="7747" s="1" customFormat="1" spans="1:3">
      <c r="A7747" s="6"/>
      <c r="B7747" s="6"/>
      <c r="C7747" s="6"/>
    </row>
    <row r="7748" s="1" customFormat="1" spans="1:3">
      <c r="A7748" s="6"/>
      <c r="B7748" s="6"/>
      <c r="C7748" s="6"/>
    </row>
    <row r="7749" s="1" customFormat="1" spans="1:3">
      <c r="A7749" s="6"/>
      <c r="B7749" s="6"/>
      <c r="C7749" s="6"/>
    </row>
    <row r="7750" s="1" customFormat="1" spans="1:3">
      <c r="A7750" s="6"/>
      <c r="B7750" s="6"/>
      <c r="C7750" s="6"/>
    </row>
    <row r="7751" s="1" customFormat="1" spans="1:3">
      <c r="A7751" s="6"/>
      <c r="B7751" s="6"/>
      <c r="C7751" s="6"/>
    </row>
    <row r="7752" s="1" customFormat="1" spans="1:3">
      <c r="A7752" s="6"/>
      <c r="B7752" s="6"/>
      <c r="C7752" s="6"/>
    </row>
    <row r="7753" s="1" customFormat="1" spans="1:3">
      <c r="A7753" s="6"/>
      <c r="B7753" s="6"/>
      <c r="C7753" s="6"/>
    </row>
    <row r="7754" s="1" customFormat="1" spans="1:3">
      <c r="A7754" s="6"/>
      <c r="B7754" s="6"/>
      <c r="C7754" s="6"/>
    </row>
    <row r="7755" s="1" customFormat="1" spans="1:3">
      <c r="A7755" s="6"/>
      <c r="B7755" s="6"/>
      <c r="C7755" s="6"/>
    </row>
    <row r="7756" s="1" customFormat="1" spans="1:3">
      <c r="A7756" s="6"/>
      <c r="B7756" s="6"/>
      <c r="C7756" s="6"/>
    </row>
    <row r="7757" s="1" customFormat="1" spans="1:3">
      <c r="A7757" s="6"/>
      <c r="B7757" s="6"/>
      <c r="C7757" s="6"/>
    </row>
    <row r="7758" s="1" customFormat="1" spans="1:3">
      <c r="A7758" s="6"/>
      <c r="B7758" s="6"/>
      <c r="C7758" s="6"/>
    </row>
    <row r="7759" s="1" customFormat="1" spans="1:3">
      <c r="A7759" s="6"/>
      <c r="B7759" s="6"/>
      <c r="C7759" s="6"/>
    </row>
    <row r="7760" s="1" customFormat="1" spans="1:3">
      <c r="A7760" s="6"/>
      <c r="B7760" s="6"/>
      <c r="C7760" s="6"/>
    </row>
    <row r="7761" s="1" customFormat="1" spans="1:3">
      <c r="A7761" s="6"/>
      <c r="B7761" s="6"/>
      <c r="C7761" s="6"/>
    </row>
    <row r="7762" s="1" customFormat="1" spans="1:3">
      <c r="A7762" s="6"/>
      <c r="B7762" s="6"/>
      <c r="C7762" s="6"/>
    </row>
    <row r="7763" s="1" customFormat="1" spans="1:3">
      <c r="A7763" s="6"/>
      <c r="B7763" s="6"/>
      <c r="C7763" s="6"/>
    </row>
    <row r="7764" s="1" customFormat="1" spans="1:3">
      <c r="A7764" s="6"/>
      <c r="B7764" s="6"/>
      <c r="C7764" s="6"/>
    </row>
    <row r="7765" s="1" customFormat="1" spans="1:3">
      <c r="A7765" s="6"/>
      <c r="B7765" s="6"/>
      <c r="C7765" s="6"/>
    </row>
    <row r="7766" s="1" customFormat="1" spans="1:3">
      <c r="A7766" s="6"/>
      <c r="B7766" s="6"/>
      <c r="C7766" s="6"/>
    </row>
    <row r="7767" s="1" customFormat="1" spans="1:3">
      <c r="A7767" s="6"/>
      <c r="B7767" s="6"/>
      <c r="C7767" s="6"/>
    </row>
    <row r="7768" s="1" customFormat="1" spans="1:3">
      <c r="A7768" s="6"/>
      <c r="B7768" s="6"/>
      <c r="C7768" s="6"/>
    </row>
    <row r="7769" s="1" customFormat="1" spans="1:3">
      <c r="A7769" s="6"/>
      <c r="B7769" s="6"/>
      <c r="C7769" s="6"/>
    </row>
    <row r="7770" s="1" customFormat="1" spans="1:3">
      <c r="A7770" s="6"/>
      <c r="B7770" s="6"/>
      <c r="C7770" s="6"/>
    </row>
    <row r="7771" s="1" customFormat="1" spans="1:3">
      <c r="A7771" s="6"/>
      <c r="B7771" s="6"/>
      <c r="C7771" s="6"/>
    </row>
    <row r="7772" s="1" customFormat="1" spans="1:3">
      <c r="A7772" s="6"/>
      <c r="B7772" s="6"/>
      <c r="C7772" s="6"/>
    </row>
    <row r="7773" s="1" customFormat="1" spans="1:3">
      <c r="A7773" s="6"/>
      <c r="B7773" s="6"/>
      <c r="C7773" s="6"/>
    </row>
    <row r="7774" s="1" customFormat="1" spans="1:3">
      <c r="A7774" s="6"/>
      <c r="B7774" s="6"/>
      <c r="C7774" s="6"/>
    </row>
    <row r="7775" s="1" customFormat="1" spans="1:3">
      <c r="A7775" s="6"/>
      <c r="B7775" s="6"/>
      <c r="C7775" s="6"/>
    </row>
    <row r="7776" s="1" customFormat="1" spans="1:3">
      <c r="A7776" s="6"/>
      <c r="B7776" s="6"/>
      <c r="C7776" s="6"/>
    </row>
    <row r="7777" s="1" customFormat="1" spans="1:3">
      <c r="A7777" s="6"/>
      <c r="B7777" s="6"/>
      <c r="C7777" s="6"/>
    </row>
    <row r="7778" s="1" customFormat="1" spans="1:3">
      <c r="A7778" s="6"/>
      <c r="B7778" s="6"/>
      <c r="C7778" s="6"/>
    </row>
    <row r="7779" s="1" customFormat="1" spans="1:3">
      <c r="A7779" s="6"/>
      <c r="B7779" s="6"/>
      <c r="C7779" s="6"/>
    </row>
    <row r="7780" s="1" customFormat="1" spans="1:3">
      <c r="A7780" s="6"/>
      <c r="B7780" s="6"/>
      <c r="C7780" s="6"/>
    </row>
    <row r="7781" s="1" customFormat="1" spans="1:3">
      <c r="A7781" s="6"/>
      <c r="B7781" s="6"/>
      <c r="C7781" s="6"/>
    </row>
    <row r="7782" s="1" customFormat="1" spans="1:3">
      <c r="A7782" s="6"/>
      <c r="B7782" s="6"/>
      <c r="C7782" s="6"/>
    </row>
    <row r="7783" s="1" customFormat="1" spans="1:3">
      <c r="A7783" s="6"/>
      <c r="B7783" s="6"/>
      <c r="C7783" s="6"/>
    </row>
    <row r="7784" s="1" customFormat="1" spans="1:3">
      <c r="A7784" s="6"/>
      <c r="B7784" s="6"/>
      <c r="C7784" s="6"/>
    </row>
    <row r="7785" s="1" customFormat="1" spans="1:3">
      <c r="A7785" s="6"/>
      <c r="B7785" s="6"/>
      <c r="C7785" s="6"/>
    </row>
    <row r="7786" s="1" customFormat="1" spans="1:3">
      <c r="A7786" s="6"/>
      <c r="B7786" s="6"/>
      <c r="C7786" s="6"/>
    </row>
    <row r="7787" s="1" customFormat="1" spans="1:3">
      <c r="A7787" s="6"/>
      <c r="B7787" s="6"/>
      <c r="C7787" s="6"/>
    </row>
    <row r="7788" s="1" customFormat="1" spans="1:3">
      <c r="A7788" s="6"/>
      <c r="B7788" s="6"/>
      <c r="C7788" s="6"/>
    </row>
    <row r="7789" s="1" customFormat="1" spans="1:3">
      <c r="A7789" s="6"/>
      <c r="B7789" s="6"/>
      <c r="C7789" s="6"/>
    </row>
    <row r="7790" s="1" customFormat="1" spans="1:3">
      <c r="A7790" s="6"/>
      <c r="B7790" s="6"/>
      <c r="C7790" s="6"/>
    </row>
    <row r="7791" s="1" customFormat="1" spans="1:3">
      <c r="A7791" s="6"/>
      <c r="B7791" s="6"/>
      <c r="C7791" s="6"/>
    </row>
    <row r="7792" s="1" customFormat="1" spans="1:3">
      <c r="A7792" s="6"/>
      <c r="B7792" s="6"/>
      <c r="C7792" s="6"/>
    </row>
    <row r="7793" s="1" customFormat="1" spans="1:3">
      <c r="A7793" s="6"/>
      <c r="B7793" s="6"/>
      <c r="C7793" s="6"/>
    </row>
    <row r="7794" s="1" customFormat="1" spans="1:3">
      <c r="A7794" s="6"/>
      <c r="B7794" s="6"/>
      <c r="C7794" s="6"/>
    </row>
    <row r="7795" s="1" customFormat="1" spans="1:3">
      <c r="A7795" s="6"/>
      <c r="B7795" s="6"/>
      <c r="C7795" s="6"/>
    </row>
    <row r="7796" s="1" customFormat="1" spans="1:3">
      <c r="A7796" s="6"/>
      <c r="B7796" s="6"/>
      <c r="C7796" s="6"/>
    </row>
    <row r="7797" s="1" customFormat="1" spans="1:3">
      <c r="A7797" s="6"/>
      <c r="B7797" s="6"/>
      <c r="C7797" s="6"/>
    </row>
    <row r="7798" s="1" customFormat="1" spans="1:3">
      <c r="A7798" s="6"/>
      <c r="B7798" s="6"/>
      <c r="C7798" s="6"/>
    </row>
    <row r="7799" s="1" customFormat="1" spans="1:3">
      <c r="A7799" s="6"/>
      <c r="B7799" s="6"/>
      <c r="C7799" s="6"/>
    </row>
    <row r="7800" s="1" customFormat="1" spans="1:3">
      <c r="A7800" s="6"/>
      <c r="B7800" s="6"/>
      <c r="C7800" s="6"/>
    </row>
    <row r="7801" s="1" customFormat="1" spans="1:3">
      <c r="A7801" s="6"/>
      <c r="B7801" s="6"/>
      <c r="C7801" s="6"/>
    </row>
    <row r="7802" s="1" customFormat="1" spans="1:3">
      <c r="A7802" s="6"/>
      <c r="B7802" s="6"/>
      <c r="C7802" s="6"/>
    </row>
    <row r="7803" s="1" customFormat="1" spans="1:3">
      <c r="A7803" s="6"/>
      <c r="B7803" s="6"/>
      <c r="C7803" s="6"/>
    </row>
    <row r="7804" s="1" customFormat="1" spans="1:3">
      <c r="A7804" s="6"/>
      <c r="B7804" s="6"/>
      <c r="C7804" s="6"/>
    </row>
    <row r="7805" s="1" customFormat="1" spans="1:3">
      <c r="A7805" s="6"/>
      <c r="B7805" s="6"/>
      <c r="C7805" s="6"/>
    </row>
    <row r="7806" s="1" customFormat="1" spans="1:3">
      <c r="A7806" s="6"/>
      <c r="B7806" s="6"/>
      <c r="C7806" s="6"/>
    </row>
    <row r="7807" s="1" customFormat="1" spans="1:3">
      <c r="A7807" s="6"/>
      <c r="B7807" s="6"/>
      <c r="C7807" s="6"/>
    </row>
    <row r="7808" s="1" customFormat="1" spans="1:3">
      <c r="A7808" s="6"/>
      <c r="B7808" s="6"/>
      <c r="C7808" s="6"/>
    </row>
    <row r="7809" s="1" customFormat="1" spans="1:3">
      <c r="A7809" s="6"/>
      <c r="B7809" s="6"/>
      <c r="C7809" s="6"/>
    </row>
    <row r="7810" s="1" customFormat="1" spans="1:3">
      <c r="A7810" s="6"/>
      <c r="B7810" s="6"/>
      <c r="C7810" s="6"/>
    </row>
    <row r="7811" s="1" customFormat="1" spans="1:3">
      <c r="A7811" s="6"/>
      <c r="B7811" s="6"/>
      <c r="C7811" s="6"/>
    </row>
    <row r="7812" s="1" customFormat="1" spans="1:3">
      <c r="A7812" s="6"/>
      <c r="B7812" s="6"/>
      <c r="C7812" s="6"/>
    </row>
    <row r="7813" s="1" customFormat="1" spans="1:3">
      <c r="A7813" s="6"/>
      <c r="B7813" s="6"/>
      <c r="C7813" s="6"/>
    </row>
    <row r="7814" s="1" customFormat="1" spans="1:3">
      <c r="A7814" s="6"/>
      <c r="B7814" s="6"/>
      <c r="C7814" s="6"/>
    </row>
    <row r="7815" s="1" customFormat="1" spans="1:3">
      <c r="A7815" s="6"/>
      <c r="B7815" s="6"/>
      <c r="C7815" s="6"/>
    </row>
    <row r="7816" s="1" customFormat="1" spans="1:3">
      <c r="A7816" s="6"/>
      <c r="B7816" s="6"/>
      <c r="C7816" s="6"/>
    </row>
    <row r="7817" s="1" customFormat="1" spans="1:3">
      <c r="A7817" s="6"/>
      <c r="B7817" s="6"/>
      <c r="C7817" s="6"/>
    </row>
    <row r="7818" s="1" customFormat="1" spans="1:3">
      <c r="A7818" s="6"/>
      <c r="B7818" s="6"/>
      <c r="C7818" s="6"/>
    </row>
    <row r="7819" s="1" customFormat="1" spans="1:3">
      <c r="A7819" s="6"/>
      <c r="B7819" s="6"/>
      <c r="C7819" s="6"/>
    </row>
    <row r="7820" s="1" customFormat="1" spans="1:3">
      <c r="A7820" s="6"/>
      <c r="B7820" s="6"/>
      <c r="C7820" s="6"/>
    </row>
    <row r="7821" s="1" customFormat="1" spans="1:3">
      <c r="A7821" s="6"/>
      <c r="B7821" s="6"/>
      <c r="C7821" s="6"/>
    </row>
    <row r="7822" s="1" customFormat="1" spans="1:3">
      <c r="A7822" s="6"/>
      <c r="B7822" s="6"/>
      <c r="C7822" s="6"/>
    </row>
    <row r="7823" s="1" customFormat="1" spans="1:3">
      <c r="A7823" s="6"/>
      <c r="B7823" s="6"/>
      <c r="C7823" s="6"/>
    </row>
    <row r="7824" s="1" customFormat="1" spans="1:3">
      <c r="A7824" s="6"/>
      <c r="B7824" s="6"/>
      <c r="C7824" s="6"/>
    </row>
    <row r="7825" s="1" customFormat="1" spans="1:3">
      <c r="A7825" s="6"/>
      <c r="B7825" s="6"/>
      <c r="C7825" s="6"/>
    </row>
    <row r="7826" s="1" customFormat="1" spans="1:3">
      <c r="A7826" s="6"/>
      <c r="B7826" s="6"/>
      <c r="C7826" s="6"/>
    </row>
    <row r="7827" s="1" customFormat="1" spans="1:3">
      <c r="A7827" s="6"/>
      <c r="B7827" s="6"/>
      <c r="C7827" s="6"/>
    </row>
    <row r="7828" s="1" customFormat="1" spans="1:3">
      <c r="A7828" s="6"/>
      <c r="B7828" s="6"/>
      <c r="C7828" s="6"/>
    </row>
    <row r="7829" s="1" customFormat="1" spans="1:3">
      <c r="A7829" s="6"/>
      <c r="B7829" s="6"/>
      <c r="C7829" s="6"/>
    </row>
    <row r="7830" s="1" customFormat="1" spans="1:3">
      <c r="A7830" s="6"/>
      <c r="B7830" s="6"/>
      <c r="C7830" s="6"/>
    </row>
    <row r="7831" s="1" customFormat="1" spans="1:3">
      <c r="A7831" s="6"/>
      <c r="B7831" s="6"/>
      <c r="C7831" s="6"/>
    </row>
    <row r="7832" s="1" customFormat="1" spans="1:3">
      <c r="A7832" s="6"/>
      <c r="B7832" s="6"/>
      <c r="C7832" s="6"/>
    </row>
    <row r="7833" s="1" customFormat="1" spans="1:3">
      <c r="A7833" s="6"/>
      <c r="B7833" s="6"/>
      <c r="C7833" s="6"/>
    </row>
    <row r="7834" s="1" customFormat="1" spans="1:3">
      <c r="A7834" s="6"/>
      <c r="B7834" s="6"/>
      <c r="C7834" s="6"/>
    </row>
    <row r="7835" s="1" customFormat="1" spans="1:3">
      <c r="A7835" s="6"/>
      <c r="B7835" s="6"/>
      <c r="C7835" s="6"/>
    </row>
    <row r="7836" s="1" customFormat="1" spans="1:3">
      <c r="A7836" s="6"/>
      <c r="B7836" s="6"/>
      <c r="C7836" s="6"/>
    </row>
    <row r="7837" s="1" customFormat="1" spans="1:3">
      <c r="A7837" s="6"/>
      <c r="B7837" s="6"/>
      <c r="C7837" s="6"/>
    </row>
    <row r="7838" s="1" customFormat="1" spans="1:3">
      <c r="A7838" s="6"/>
      <c r="B7838" s="6"/>
      <c r="C7838" s="6"/>
    </row>
    <row r="7839" s="1" customFormat="1" spans="1:3">
      <c r="A7839" s="6"/>
      <c r="B7839" s="6"/>
      <c r="C7839" s="6"/>
    </row>
    <row r="7840" s="1" customFormat="1" spans="1:3">
      <c r="A7840" s="6"/>
      <c r="B7840" s="6"/>
      <c r="C7840" s="6"/>
    </row>
    <row r="7841" s="1" customFormat="1" spans="1:3">
      <c r="A7841" s="6"/>
      <c r="B7841" s="6"/>
      <c r="C7841" s="6"/>
    </row>
    <row r="7842" s="1" customFormat="1" spans="1:3">
      <c r="A7842" s="6"/>
      <c r="B7842" s="6"/>
      <c r="C7842" s="6"/>
    </row>
    <row r="7843" s="1" customFormat="1" spans="1:3">
      <c r="A7843" s="6"/>
      <c r="B7843" s="6"/>
      <c r="C7843" s="6"/>
    </row>
    <row r="7844" s="1" customFormat="1" spans="1:3">
      <c r="A7844" s="6"/>
      <c r="B7844" s="6"/>
      <c r="C7844" s="6"/>
    </row>
    <row r="7845" s="1" customFormat="1" spans="1:3">
      <c r="A7845" s="6"/>
      <c r="B7845" s="6"/>
      <c r="C7845" s="6"/>
    </row>
    <row r="7846" s="1" customFormat="1" spans="1:3">
      <c r="A7846" s="6"/>
      <c r="B7846" s="6"/>
      <c r="C7846" s="6"/>
    </row>
    <row r="7847" s="1" customFormat="1" spans="1:3">
      <c r="A7847" s="6"/>
      <c r="B7847" s="6"/>
      <c r="C7847" s="6"/>
    </row>
    <row r="7848" s="1" customFormat="1" spans="1:3">
      <c r="A7848" s="6"/>
      <c r="B7848" s="6"/>
      <c r="C7848" s="6"/>
    </row>
    <row r="7849" s="1" customFormat="1" spans="1:3">
      <c r="A7849" s="6"/>
      <c r="B7849" s="6"/>
      <c r="C7849" s="6"/>
    </row>
    <row r="7850" s="1" customFormat="1" spans="1:3">
      <c r="A7850" s="6"/>
      <c r="B7850" s="6"/>
      <c r="C7850" s="6"/>
    </row>
    <row r="7851" s="1" customFormat="1" spans="1:3">
      <c r="A7851" s="6"/>
      <c r="B7851" s="6"/>
      <c r="C7851" s="6"/>
    </row>
    <row r="7852" s="1" customFormat="1" spans="1:3">
      <c r="A7852" s="6"/>
      <c r="B7852" s="6"/>
      <c r="C7852" s="6"/>
    </row>
    <row r="7853" s="1" customFormat="1" spans="1:3">
      <c r="A7853" s="6"/>
      <c r="B7853" s="6"/>
      <c r="C7853" s="6"/>
    </row>
    <row r="7854" s="1" customFormat="1" spans="1:3">
      <c r="A7854" s="6"/>
      <c r="B7854" s="6"/>
      <c r="C7854" s="6"/>
    </row>
    <row r="7855" s="1" customFormat="1" spans="1:3">
      <c r="A7855" s="6"/>
      <c r="B7855" s="6"/>
      <c r="C7855" s="6"/>
    </row>
    <row r="7856" s="1" customFormat="1" spans="1:3">
      <c r="A7856" s="6"/>
      <c r="B7856" s="6"/>
      <c r="C7856" s="6"/>
    </row>
    <row r="7857" s="1" customFormat="1" spans="1:3">
      <c r="A7857" s="6"/>
      <c r="B7857" s="6"/>
      <c r="C7857" s="6"/>
    </row>
    <row r="7858" s="1" customFormat="1" spans="1:3">
      <c r="A7858" s="6"/>
      <c r="B7858" s="6"/>
      <c r="C7858" s="6"/>
    </row>
    <row r="7859" s="1" customFormat="1" spans="1:3">
      <c r="A7859" s="6"/>
      <c r="B7859" s="6"/>
      <c r="C7859" s="6"/>
    </row>
    <row r="7860" s="1" customFormat="1" spans="1:3">
      <c r="A7860" s="6"/>
      <c r="B7860" s="6"/>
      <c r="C7860" s="6"/>
    </row>
    <row r="7861" s="1" customFormat="1" spans="1:3">
      <c r="A7861" s="6"/>
      <c r="B7861" s="6"/>
      <c r="C7861" s="6"/>
    </row>
    <row r="7862" s="1" customFormat="1" spans="1:3">
      <c r="A7862" s="6"/>
      <c r="B7862" s="6"/>
      <c r="C7862" s="6"/>
    </row>
    <row r="7863" s="1" customFormat="1" spans="1:3">
      <c r="A7863" s="6"/>
      <c r="B7863" s="6"/>
      <c r="C7863" s="6"/>
    </row>
    <row r="7864" s="1" customFormat="1" spans="1:3">
      <c r="A7864" s="6"/>
      <c r="B7864" s="6"/>
      <c r="C7864" s="6"/>
    </row>
    <row r="7865" s="1" customFormat="1" spans="1:3">
      <c r="A7865" s="6"/>
      <c r="B7865" s="6"/>
      <c r="C7865" s="6"/>
    </row>
    <row r="7866" s="1" customFormat="1" spans="1:3">
      <c r="A7866" s="6"/>
      <c r="B7866" s="6"/>
      <c r="C7866" s="6"/>
    </row>
    <row r="7867" s="1" customFormat="1" spans="1:3">
      <c r="A7867" s="6"/>
      <c r="B7867" s="6"/>
      <c r="C7867" s="6"/>
    </row>
    <row r="7868" s="1" customFormat="1" spans="1:3">
      <c r="A7868" s="6"/>
      <c r="B7868" s="6"/>
      <c r="C7868" s="6"/>
    </row>
    <row r="7869" s="1" customFormat="1" spans="1:3">
      <c r="A7869" s="6"/>
      <c r="B7869" s="6"/>
      <c r="C7869" s="6"/>
    </row>
    <row r="7870" s="1" customFormat="1" spans="1:3">
      <c r="A7870" s="6"/>
      <c r="B7870" s="6"/>
      <c r="C7870" s="6"/>
    </row>
    <row r="7871" s="1" customFormat="1" spans="1:3">
      <c r="A7871" s="6"/>
      <c r="B7871" s="6"/>
      <c r="C7871" s="6"/>
    </row>
    <row r="7872" s="1" customFormat="1" spans="1:3">
      <c r="A7872" s="6"/>
      <c r="B7872" s="6"/>
      <c r="C7872" s="6"/>
    </row>
    <row r="7873" s="1" customFormat="1" spans="1:3">
      <c r="A7873" s="6"/>
      <c r="B7873" s="6"/>
      <c r="C7873" s="6"/>
    </row>
    <row r="7874" s="1" customFormat="1" spans="1:3">
      <c r="A7874" s="6"/>
      <c r="B7874" s="6"/>
      <c r="C7874" s="6"/>
    </row>
    <row r="7875" s="1" customFormat="1" spans="1:3">
      <c r="A7875" s="6"/>
      <c r="B7875" s="6"/>
      <c r="C7875" s="6"/>
    </row>
    <row r="7876" s="1" customFormat="1" spans="1:3">
      <c r="A7876" s="6"/>
      <c r="B7876" s="6"/>
      <c r="C7876" s="6"/>
    </row>
    <row r="7877" s="1" customFormat="1" spans="1:3">
      <c r="A7877" s="6"/>
      <c r="B7877" s="6"/>
      <c r="C7877" s="6"/>
    </row>
    <row r="7878" s="1" customFormat="1" spans="1:3">
      <c r="A7878" s="6"/>
      <c r="B7878" s="6"/>
      <c r="C7878" s="6"/>
    </row>
    <row r="7879" s="1" customFormat="1" spans="1:3">
      <c r="A7879" s="6"/>
      <c r="B7879" s="6"/>
      <c r="C7879" s="6"/>
    </row>
    <row r="7880" s="1" customFormat="1" spans="1:3">
      <c r="A7880" s="6"/>
      <c r="B7880" s="6"/>
      <c r="C7880" s="6"/>
    </row>
    <row r="7881" s="1" customFormat="1" spans="1:3">
      <c r="A7881" s="6"/>
      <c r="B7881" s="6"/>
      <c r="C7881" s="6"/>
    </row>
    <row r="7882" s="1" customFormat="1" spans="1:3">
      <c r="A7882" s="6"/>
      <c r="B7882" s="6"/>
      <c r="C7882" s="6"/>
    </row>
    <row r="7883" s="1" customFormat="1" spans="1:3">
      <c r="A7883" s="6"/>
      <c r="B7883" s="6"/>
      <c r="C7883" s="6"/>
    </row>
    <row r="7884" s="1" customFormat="1" spans="1:3">
      <c r="A7884" s="6"/>
      <c r="B7884" s="6"/>
      <c r="C7884" s="6"/>
    </row>
    <row r="7885" s="1" customFormat="1" spans="1:3">
      <c r="A7885" s="6"/>
      <c r="B7885" s="6"/>
      <c r="C7885" s="6"/>
    </row>
    <row r="7886" s="1" customFormat="1" spans="1:3">
      <c r="A7886" s="6"/>
      <c r="B7886" s="6"/>
      <c r="C7886" s="6"/>
    </row>
    <row r="7887" s="1" customFormat="1" spans="1:3">
      <c r="A7887" s="6"/>
      <c r="B7887" s="6"/>
      <c r="C7887" s="6"/>
    </row>
    <row r="7888" s="1" customFormat="1" spans="1:3">
      <c r="A7888" s="6"/>
      <c r="B7888" s="6"/>
      <c r="C7888" s="6"/>
    </row>
    <row r="7889" s="1" customFormat="1" spans="1:3">
      <c r="A7889" s="6"/>
      <c r="B7889" s="6"/>
      <c r="C7889" s="6"/>
    </row>
    <row r="7890" s="1" customFormat="1" spans="1:3">
      <c r="A7890" s="6"/>
      <c r="B7890" s="6"/>
      <c r="C7890" s="6"/>
    </row>
    <row r="7891" s="1" customFormat="1" spans="1:3">
      <c r="A7891" s="6"/>
      <c r="B7891" s="6"/>
      <c r="C7891" s="6"/>
    </row>
    <row r="7892" s="1" customFormat="1" spans="1:3">
      <c r="A7892" s="6"/>
      <c r="B7892" s="6"/>
      <c r="C7892" s="6"/>
    </row>
    <row r="7893" s="1" customFormat="1" spans="1:3">
      <c r="A7893" s="6"/>
      <c r="B7893" s="6"/>
      <c r="C7893" s="6"/>
    </row>
    <row r="7894" s="1" customFormat="1" spans="1:3">
      <c r="A7894" s="6"/>
      <c r="B7894" s="6"/>
      <c r="C7894" s="6"/>
    </row>
    <row r="7895" s="1" customFormat="1" spans="1:3">
      <c r="A7895" s="6"/>
      <c r="B7895" s="6"/>
      <c r="C7895" s="6"/>
    </row>
    <row r="7896" s="1" customFormat="1" spans="1:3">
      <c r="A7896" s="6"/>
      <c r="B7896" s="6"/>
      <c r="C7896" s="6"/>
    </row>
    <row r="7897" s="1" customFormat="1" spans="1:3">
      <c r="A7897" s="6"/>
      <c r="B7897" s="6"/>
      <c r="C7897" s="6"/>
    </row>
    <row r="7898" s="1" customFormat="1" spans="1:3">
      <c r="A7898" s="6"/>
      <c r="B7898" s="6"/>
      <c r="C7898" s="6"/>
    </row>
    <row r="7899" s="1" customFormat="1" spans="1:3">
      <c r="A7899" s="6"/>
      <c r="B7899" s="6"/>
      <c r="C7899" s="6"/>
    </row>
    <row r="7900" s="1" customFormat="1" spans="1:3">
      <c r="A7900" s="6"/>
      <c r="B7900" s="6"/>
      <c r="C7900" s="6"/>
    </row>
    <row r="7901" s="1" customFormat="1" spans="1:3">
      <c r="A7901" s="6"/>
      <c r="B7901" s="6"/>
      <c r="C7901" s="6"/>
    </row>
    <row r="7902" s="1" customFormat="1" spans="1:3">
      <c r="A7902" s="6"/>
      <c r="B7902" s="6"/>
      <c r="C7902" s="6"/>
    </row>
    <row r="7903" s="1" customFormat="1" spans="1:3">
      <c r="A7903" s="6"/>
      <c r="B7903" s="6"/>
      <c r="C7903" s="6"/>
    </row>
    <row r="7904" s="1" customFormat="1" spans="1:3">
      <c r="A7904" s="6"/>
      <c r="B7904" s="6"/>
      <c r="C7904" s="6"/>
    </row>
    <row r="7905" s="1" customFormat="1" spans="1:3">
      <c r="A7905" s="6"/>
      <c r="B7905" s="6"/>
      <c r="C7905" s="6"/>
    </row>
    <row r="7906" s="1" customFormat="1" spans="1:3">
      <c r="A7906" s="6"/>
      <c r="B7906" s="6"/>
      <c r="C7906" s="6"/>
    </row>
    <row r="7907" s="1" customFormat="1" spans="1:3">
      <c r="A7907" s="6"/>
      <c r="B7907" s="6"/>
      <c r="C7907" s="6"/>
    </row>
    <row r="7908" s="1" customFormat="1" spans="1:3">
      <c r="A7908" s="6"/>
      <c r="B7908" s="6"/>
      <c r="C7908" s="6"/>
    </row>
    <row r="7909" s="1" customFormat="1" spans="1:3">
      <c r="A7909" s="6"/>
      <c r="B7909" s="6"/>
      <c r="C7909" s="6"/>
    </row>
    <row r="7910" s="1" customFormat="1" spans="1:3">
      <c r="A7910" s="6"/>
      <c r="B7910" s="6"/>
      <c r="C7910" s="6"/>
    </row>
    <row r="7911" s="1" customFormat="1" spans="1:3">
      <c r="A7911" s="6"/>
      <c r="B7911" s="6"/>
      <c r="C7911" s="6"/>
    </row>
    <row r="7912" s="1" customFormat="1" spans="1:3">
      <c r="A7912" s="6"/>
      <c r="B7912" s="6"/>
      <c r="C7912" s="6"/>
    </row>
    <row r="7913" s="1" customFormat="1" spans="1:3">
      <c r="A7913" s="6"/>
      <c r="B7913" s="6"/>
      <c r="C7913" s="6"/>
    </row>
    <row r="7914" s="1" customFormat="1" spans="1:3">
      <c r="A7914" s="6"/>
      <c r="B7914" s="6"/>
      <c r="C7914" s="6"/>
    </row>
    <row r="7915" s="1" customFormat="1" spans="1:3">
      <c r="A7915" s="6"/>
      <c r="B7915" s="6"/>
      <c r="C7915" s="6"/>
    </row>
    <row r="7916" s="1" customFormat="1" spans="1:3">
      <c r="A7916" s="6"/>
      <c r="B7916" s="6"/>
      <c r="C7916" s="6"/>
    </row>
    <row r="7917" s="1" customFormat="1" spans="1:3">
      <c r="A7917" s="6"/>
      <c r="B7917" s="6"/>
      <c r="C7917" s="6"/>
    </row>
    <row r="7918" s="1" customFormat="1" spans="1:3">
      <c r="A7918" s="6"/>
      <c r="B7918" s="6"/>
      <c r="C7918" s="6"/>
    </row>
    <row r="7919" s="1" customFormat="1" spans="1:3">
      <c r="A7919" s="6"/>
      <c r="B7919" s="6"/>
      <c r="C7919" s="6"/>
    </row>
    <row r="7920" s="1" customFormat="1" spans="1:3">
      <c r="A7920" s="6"/>
      <c r="B7920" s="6"/>
      <c r="C7920" s="6"/>
    </row>
    <row r="7921" s="1" customFormat="1" spans="1:3">
      <c r="A7921" s="6"/>
      <c r="B7921" s="6"/>
      <c r="C7921" s="6"/>
    </row>
    <row r="7922" s="1" customFormat="1" spans="1:3">
      <c r="A7922" s="6"/>
      <c r="B7922" s="6"/>
      <c r="C7922" s="6"/>
    </row>
    <row r="7923" s="1" customFormat="1" spans="1:3">
      <c r="A7923" s="6"/>
      <c r="B7923" s="6"/>
      <c r="C7923" s="6"/>
    </row>
    <row r="7924" s="1" customFormat="1" spans="1:3">
      <c r="A7924" s="6"/>
      <c r="B7924" s="6"/>
      <c r="C7924" s="6"/>
    </row>
    <row r="7925" s="1" customFormat="1" spans="1:3">
      <c r="A7925" s="6"/>
      <c r="B7925" s="6"/>
      <c r="C7925" s="6"/>
    </row>
    <row r="7926" s="1" customFormat="1" spans="1:3">
      <c r="A7926" s="6"/>
      <c r="B7926" s="6"/>
      <c r="C7926" s="6"/>
    </row>
    <row r="7927" s="1" customFormat="1" spans="1:3">
      <c r="A7927" s="6"/>
      <c r="B7927" s="6"/>
      <c r="C7927" s="6"/>
    </row>
    <row r="7928" s="1" customFormat="1" spans="1:3">
      <c r="A7928" s="6"/>
      <c r="B7928" s="6"/>
      <c r="C7928" s="6"/>
    </row>
    <row r="7929" s="1" customFormat="1" spans="1:3">
      <c r="A7929" s="6"/>
      <c r="B7929" s="6"/>
      <c r="C7929" s="6"/>
    </row>
    <row r="7930" s="1" customFormat="1" spans="1:3">
      <c r="A7930" s="6"/>
      <c r="B7930" s="6"/>
      <c r="C7930" s="6"/>
    </row>
    <row r="7931" s="1" customFormat="1" spans="1:3">
      <c r="A7931" s="6"/>
      <c r="B7931" s="6"/>
      <c r="C7931" s="6"/>
    </row>
    <row r="7932" s="1" customFormat="1" spans="1:3">
      <c r="A7932" s="6"/>
      <c r="B7932" s="6"/>
      <c r="C7932" s="6"/>
    </row>
    <row r="7933" s="1" customFormat="1" spans="1:3">
      <c r="A7933" s="6"/>
      <c r="B7933" s="6"/>
      <c r="C7933" s="6"/>
    </row>
    <row r="7934" s="1" customFormat="1" spans="1:3">
      <c r="A7934" s="6"/>
      <c r="B7934" s="6"/>
      <c r="C7934" s="6"/>
    </row>
    <row r="7935" s="1" customFormat="1" spans="1:3">
      <c r="A7935" s="6"/>
      <c r="B7935" s="6"/>
      <c r="C7935" s="6"/>
    </row>
    <row r="7936" s="1" customFormat="1" spans="1:3">
      <c r="A7936" s="6"/>
      <c r="B7936" s="6"/>
      <c r="C7936" s="6"/>
    </row>
    <row r="7937" s="1" customFormat="1" spans="1:3">
      <c r="A7937" s="6"/>
      <c r="B7937" s="6"/>
      <c r="C7937" s="6"/>
    </row>
    <row r="7938" s="1" customFormat="1" spans="1:3">
      <c r="A7938" s="6"/>
      <c r="B7938" s="6"/>
      <c r="C7938" s="6"/>
    </row>
    <row r="7939" s="1" customFormat="1" spans="1:3">
      <c r="A7939" s="6"/>
      <c r="B7939" s="6"/>
      <c r="C7939" s="6"/>
    </row>
    <row r="7940" s="1" customFormat="1" spans="1:3">
      <c r="A7940" s="6"/>
      <c r="B7940" s="6"/>
      <c r="C7940" s="6"/>
    </row>
    <row r="7941" s="1" customFormat="1" spans="1:3">
      <c r="A7941" s="6"/>
      <c r="B7941" s="6"/>
      <c r="C7941" s="6"/>
    </row>
    <row r="7942" s="1" customFormat="1" spans="1:3">
      <c r="A7942" s="6"/>
      <c r="B7942" s="6"/>
      <c r="C7942" s="6"/>
    </row>
    <row r="7943" s="1" customFormat="1" spans="1:3">
      <c r="A7943" s="6"/>
      <c r="B7943" s="6"/>
      <c r="C7943" s="6"/>
    </row>
    <row r="7944" s="1" customFormat="1" spans="1:3">
      <c r="A7944" s="6"/>
      <c r="B7944" s="6"/>
      <c r="C7944" s="6"/>
    </row>
    <row r="7945" s="1" customFormat="1" spans="1:3">
      <c r="A7945" s="6"/>
      <c r="B7945" s="6"/>
      <c r="C7945" s="6"/>
    </row>
    <row r="7946" s="1" customFormat="1" spans="1:3">
      <c r="A7946" s="6"/>
      <c r="B7946" s="6"/>
      <c r="C7946" s="6"/>
    </row>
    <row r="7947" s="1" customFormat="1" spans="1:3">
      <c r="A7947" s="6"/>
      <c r="B7947" s="6"/>
      <c r="C7947" s="6"/>
    </row>
    <row r="7948" s="1" customFormat="1" spans="1:3">
      <c r="A7948" s="6"/>
      <c r="B7948" s="6"/>
      <c r="C7948" s="6"/>
    </row>
    <row r="7949" s="1" customFormat="1" spans="1:3">
      <c r="A7949" s="6"/>
      <c r="B7949" s="6"/>
      <c r="C7949" s="6"/>
    </row>
    <row r="7950" s="1" customFormat="1" spans="1:3">
      <c r="A7950" s="6"/>
      <c r="B7950" s="6"/>
      <c r="C7950" s="6"/>
    </row>
    <row r="7951" s="1" customFormat="1" spans="1:3">
      <c r="A7951" s="6"/>
      <c r="B7951" s="6"/>
      <c r="C7951" s="6"/>
    </row>
    <row r="7952" s="1" customFormat="1" spans="1:3">
      <c r="A7952" s="6"/>
      <c r="B7952" s="6"/>
      <c r="C7952" s="6"/>
    </row>
    <row r="7953" s="1" customFormat="1" spans="1:3">
      <c r="A7953" s="6"/>
      <c r="B7953" s="6"/>
      <c r="C7953" s="6"/>
    </row>
    <row r="7954" s="1" customFormat="1" spans="1:3">
      <c r="A7954" s="6"/>
      <c r="B7954" s="6"/>
      <c r="C7954" s="6"/>
    </row>
    <row r="7955" s="1" customFormat="1" spans="1:3">
      <c r="A7955" s="6"/>
      <c r="B7955" s="6"/>
      <c r="C7955" s="6"/>
    </row>
    <row r="7956" s="1" customFormat="1" spans="1:3">
      <c r="A7956" s="6"/>
      <c r="B7956" s="6"/>
      <c r="C7956" s="6"/>
    </row>
    <row r="7957" s="1" customFormat="1" spans="1:3">
      <c r="A7957" s="6"/>
      <c r="B7957" s="6"/>
      <c r="C7957" s="6"/>
    </row>
    <row r="7958" s="1" customFormat="1" spans="1:3">
      <c r="A7958" s="6"/>
      <c r="B7958" s="6"/>
      <c r="C7958" s="6"/>
    </row>
    <row r="7959" s="1" customFormat="1" spans="1:3">
      <c r="A7959" s="6"/>
      <c r="B7959" s="6"/>
      <c r="C7959" s="6"/>
    </row>
    <row r="7960" s="1" customFormat="1" spans="1:3">
      <c r="A7960" s="6"/>
      <c r="B7960" s="6"/>
      <c r="C7960" s="6"/>
    </row>
    <row r="7961" s="1" customFormat="1" spans="1:3">
      <c r="A7961" s="6"/>
      <c r="B7961" s="6"/>
      <c r="C7961" s="6"/>
    </row>
    <row r="7962" s="1" customFormat="1" spans="1:3">
      <c r="A7962" s="6"/>
      <c r="B7962" s="6"/>
      <c r="C7962" s="6"/>
    </row>
    <row r="7963" s="1" customFormat="1" spans="1:3">
      <c r="A7963" s="6"/>
      <c r="B7963" s="6"/>
      <c r="C7963" s="6"/>
    </row>
    <row r="7964" s="1" customFormat="1" spans="1:3">
      <c r="A7964" s="6"/>
      <c r="B7964" s="6"/>
      <c r="C7964" s="6"/>
    </row>
    <row r="7965" s="1" customFormat="1" spans="1:3">
      <c r="A7965" s="6"/>
      <c r="B7965" s="6"/>
      <c r="C7965" s="6"/>
    </row>
    <row r="7966" s="1" customFormat="1" spans="1:3">
      <c r="A7966" s="6"/>
      <c r="B7966" s="6"/>
      <c r="C7966" s="6"/>
    </row>
    <row r="7967" s="1" customFormat="1" spans="1:3">
      <c r="A7967" s="6"/>
      <c r="B7967" s="6"/>
      <c r="C7967" s="6"/>
    </row>
    <row r="7968" s="1" customFormat="1" spans="1:3">
      <c r="A7968" s="6"/>
      <c r="B7968" s="6"/>
      <c r="C7968" s="6"/>
    </row>
    <row r="7969" s="1" customFormat="1" spans="1:3">
      <c r="A7969" s="6"/>
      <c r="B7969" s="6"/>
      <c r="C7969" s="6"/>
    </row>
    <row r="7970" s="1" customFormat="1" spans="1:3">
      <c r="A7970" s="6"/>
      <c r="B7970" s="6"/>
      <c r="C7970" s="6"/>
    </row>
    <row r="7971" s="1" customFormat="1" spans="1:3">
      <c r="A7971" s="6"/>
      <c r="B7971" s="6"/>
      <c r="C7971" s="6"/>
    </row>
    <row r="7972" s="1" customFormat="1" spans="1:3">
      <c r="A7972" s="6"/>
      <c r="B7972" s="6"/>
      <c r="C7972" s="6"/>
    </row>
    <row r="7973" s="1" customFormat="1" spans="1:3">
      <c r="A7973" s="6"/>
      <c r="B7973" s="6"/>
      <c r="C7973" s="6"/>
    </row>
    <row r="7974" s="1" customFormat="1" spans="1:3">
      <c r="A7974" s="6"/>
      <c r="B7974" s="6"/>
      <c r="C7974" s="6"/>
    </row>
    <row r="7975" s="1" customFormat="1" spans="1:3">
      <c r="A7975" s="6"/>
      <c r="B7975" s="6"/>
      <c r="C7975" s="6"/>
    </row>
    <row r="7976" s="1" customFormat="1" spans="1:3">
      <c r="A7976" s="6"/>
      <c r="B7976" s="6"/>
      <c r="C7976" s="6"/>
    </row>
    <row r="7977" s="1" customFormat="1" spans="1:3">
      <c r="A7977" s="6"/>
      <c r="B7977" s="6"/>
      <c r="C7977" s="6"/>
    </row>
    <row r="7978" s="1" customFormat="1" spans="1:3">
      <c r="A7978" s="6"/>
      <c r="B7978" s="6"/>
      <c r="C7978" s="6"/>
    </row>
    <row r="7979" s="1" customFormat="1" spans="1:3">
      <c r="A7979" s="6"/>
      <c r="B7979" s="6"/>
      <c r="C7979" s="6"/>
    </row>
    <row r="7980" s="1" customFormat="1" spans="1:3">
      <c r="A7980" s="6"/>
      <c r="B7980" s="6"/>
      <c r="C7980" s="6"/>
    </row>
    <row r="7981" s="1" customFormat="1" spans="1:3">
      <c r="A7981" s="6"/>
      <c r="B7981" s="6"/>
      <c r="C7981" s="6"/>
    </row>
    <row r="7982" s="1" customFormat="1" spans="1:3">
      <c r="A7982" s="6"/>
      <c r="B7982" s="6"/>
      <c r="C7982" s="6"/>
    </row>
    <row r="7983" s="1" customFormat="1" spans="1:3">
      <c r="A7983" s="6"/>
      <c r="B7983" s="6"/>
      <c r="C7983" s="6"/>
    </row>
    <row r="7984" s="1" customFormat="1" spans="1:3">
      <c r="A7984" s="6"/>
      <c r="B7984" s="6"/>
      <c r="C7984" s="6"/>
    </row>
    <row r="7985" s="1" customFormat="1" spans="1:3">
      <c r="A7985" s="6"/>
      <c r="B7985" s="6"/>
      <c r="C7985" s="6"/>
    </row>
    <row r="7986" s="1" customFormat="1" spans="1:3">
      <c r="A7986" s="6"/>
      <c r="B7986" s="6"/>
      <c r="C7986" s="6"/>
    </row>
    <row r="7987" s="1" customFormat="1" spans="1:3">
      <c r="A7987" s="6"/>
      <c r="B7987" s="6"/>
      <c r="C7987" s="6"/>
    </row>
    <row r="7988" s="1" customFormat="1" spans="1:3">
      <c r="A7988" s="6"/>
      <c r="B7988" s="6"/>
      <c r="C7988" s="6"/>
    </row>
    <row r="7989" s="1" customFormat="1" spans="1:3">
      <c r="A7989" s="6"/>
      <c r="B7989" s="6"/>
      <c r="C7989" s="6"/>
    </row>
    <row r="7990" s="1" customFormat="1" spans="1:3">
      <c r="A7990" s="6"/>
      <c r="B7990" s="6"/>
      <c r="C7990" s="6"/>
    </row>
    <row r="7991" s="1" customFormat="1" spans="1:3">
      <c r="A7991" s="6"/>
      <c r="B7991" s="6"/>
      <c r="C7991" s="6"/>
    </row>
    <row r="7992" s="1" customFormat="1" spans="1:3">
      <c r="A7992" s="6"/>
      <c r="B7992" s="6"/>
      <c r="C7992" s="6"/>
    </row>
    <row r="7993" s="1" customFormat="1" spans="1:3">
      <c r="A7993" s="6"/>
      <c r="B7993" s="6"/>
      <c r="C7993" s="6"/>
    </row>
    <row r="7994" s="1" customFormat="1" spans="1:3">
      <c r="A7994" s="6"/>
      <c r="B7994" s="6"/>
      <c r="C7994" s="6"/>
    </row>
    <row r="7995" s="1" customFormat="1" spans="1:3">
      <c r="A7995" s="6"/>
      <c r="B7995" s="6"/>
      <c r="C7995" s="6"/>
    </row>
    <row r="7996" s="1" customFormat="1" spans="1:3">
      <c r="A7996" s="6"/>
      <c r="B7996" s="6"/>
      <c r="C7996" s="6"/>
    </row>
    <row r="7997" s="1" customFormat="1" spans="1:3">
      <c r="A7997" s="6"/>
      <c r="B7997" s="6"/>
      <c r="C7997" s="6"/>
    </row>
    <row r="7998" s="1" customFormat="1" spans="1:3">
      <c r="A7998" s="6"/>
      <c r="B7998" s="6"/>
      <c r="C7998" s="6"/>
    </row>
    <row r="7999" s="1" customFormat="1" spans="1:3">
      <c r="A7999" s="6"/>
      <c r="B7999" s="6"/>
      <c r="C7999" s="6"/>
    </row>
    <row r="8000" s="1" customFormat="1" spans="1:3">
      <c r="A8000" s="6"/>
      <c r="B8000" s="6"/>
      <c r="C8000" s="6"/>
    </row>
    <row r="8001" s="1" customFormat="1" spans="1:3">
      <c r="A8001" s="6"/>
      <c r="B8001" s="6"/>
      <c r="C8001" s="6"/>
    </row>
    <row r="8002" s="1" customFormat="1" spans="1:3">
      <c r="A8002" s="6"/>
      <c r="B8002" s="6"/>
      <c r="C8002" s="6"/>
    </row>
    <row r="8003" s="1" customFormat="1" spans="1:3">
      <c r="A8003" s="6"/>
      <c r="B8003" s="6"/>
      <c r="C8003" s="6"/>
    </row>
    <row r="8004" s="1" customFormat="1" spans="1:3">
      <c r="A8004" s="6"/>
      <c r="B8004" s="6"/>
      <c r="C8004" s="6"/>
    </row>
    <row r="8005" s="1" customFormat="1" spans="1:3">
      <c r="A8005" s="6"/>
      <c r="B8005" s="6"/>
      <c r="C8005" s="6"/>
    </row>
    <row r="8006" s="1" customFormat="1" spans="1:3">
      <c r="A8006" s="6"/>
      <c r="B8006" s="6"/>
      <c r="C8006" s="6"/>
    </row>
    <row r="8007" s="1" customFormat="1" spans="1:3">
      <c r="A8007" s="6"/>
      <c r="B8007" s="6"/>
      <c r="C8007" s="6"/>
    </row>
    <row r="8008" s="1" customFormat="1" spans="1:3">
      <c r="A8008" s="6"/>
      <c r="B8008" s="6"/>
      <c r="C8008" s="6"/>
    </row>
    <row r="8009" s="1" customFormat="1" spans="1:3">
      <c r="A8009" s="6"/>
      <c r="B8009" s="6"/>
      <c r="C8009" s="6"/>
    </row>
    <row r="8010" s="1" customFormat="1" spans="1:3">
      <c r="A8010" s="6"/>
      <c r="B8010" s="6"/>
      <c r="C8010" s="6"/>
    </row>
    <row r="8011" s="1" customFormat="1" spans="1:3">
      <c r="A8011" s="6"/>
      <c r="B8011" s="6"/>
      <c r="C8011" s="6"/>
    </row>
    <row r="8012" s="1" customFormat="1" spans="1:3">
      <c r="A8012" s="6"/>
      <c r="B8012" s="6"/>
      <c r="C8012" s="6"/>
    </row>
    <row r="8013" s="1" customFormat="1" spans="1:3">
      <c r="A8013" s="6"/>
      <c r="B8013" s="6"/>
      <c r="C8013" s="6"/>
    </row>
    <row r="8014" s="1" customFormat="1" spans="1:3">
      <c r="A8014" s="6"/>
      <c r="B8014" s="6"/>
      <c r="C8014" s="6"/>
    </row>
    <row r="8015" s="1" customFormat="1" spans="1:3">
      <c r="A8015" s="6"/>
      <c r="B8015" s="6"/>
      <c r="C8015" s="6"/>
    </row>
    <row r="8016" s="1" customFormat="1" spans="1:3">
      <c r="A8016" s="6"/>
      <c r="B8016" s="6"/>
      <c r="C8016" s="6"/>
    </row>
    <row r="8017" s="1" customFormat="1" spans="1:3">
      <c r="A8017" s="6"/>
      <c r="B8017" s="6"/>
      <c r="C8017" s="6"/>
    </row>
    <row r="8018" s="1" customFormat="1" spans="1:3">
      <c r="A8018" s="6"/>
      <c r="B8018" s="6"/>
      <c r="C8018" s="6"/>
    </row>
    <row r="8019" s="1" customFormat="1" spans="1:3">
      <c r="A8019" s="6"/>
      <c r="B8019" s="6"/>
      <c r="C8019" s="6"/>
    </row>
    <row r="8020" s="1" customFormat="1" spans="1:3">
      <c r="A8020" s="6"/>
      <c r="B8020" s="6"/>
      <c r="C8020" s="6"/>
    </row>
    <row r="8021" s="1" customFormat="1" spans="1:3">
      <c r="A8021" s="6"/>
      <c r="B8021" s="6"/>
      <c r="C8021" s="6"/>
    </row>
    <row r="8022" s="1" customFormat="1" spans="1:3">
      <c r="A8022" s="6"/>
      <c r="B8022" s="6"/>
      <c r="C8022" s="6"/>
    </row>
    <row r="8023" s="1" customFormat="1" spans="1:3">
      <c r="A8023" s="6"/>
      <c r="B8023" s="6"/>
      <c r="C8023" s="6"/>
    </row>
    <row r="8024" s="1" customFormat="1" spans="1:3">
      <c r="A8024" s="6"/>
      <c r="B8024" s="6"/>
      <c r="C8024" s="6"/>
    </row>
    <row r="8025" s="1" customFormat="1" spans="1:3">
      <c r="A8025" s="6"/>
      <c r="B8025" s="6"/>
      <c r="C8025" s="6"/>
    </row>
    <row r="8026" s="1" customFormat="1" spans="1:3">
      <c r="A8026" s="6"/>
      <c r="B8026" s="6"/>
      <c r="C8026" s="6"/>
    </row>
    <row r="8027" s="1" customFormat="1" spans="1:3">
      <c r="A8027" s="6"/>
      <c r="B8027" s="6"/>
      <c r="C8027" s="6"/>
    </row>
    <row r="8028" s="1" customFormat="1" spans="1:3">
      <c r="A8028" s="6"/>
      <c r="B8028" s="6"/>
      <c r="C8028" s="6"/>
    </row>
    <row r="8029" s="1" customFormat="1" spans="1:3">
      <c r="A8029" s="6"/>
      <c r="B8029" s="6"/>
      <c r="C8029" s="6"/>
    </row>
    <row r="8030" s="1" customFormat="1" spans="1:3">
      <c r="A8030" s="6"/>
      <c r="B8030" s="6"/>
      <c r="C8030" s="6"/>
    </row>
    <row r="8031" s="1" customFormat="1" spans="1:3">
      <c r="A8031" s="6"/>
      <c r="B8031" s="6"/>
      <c r="C8031" s="6"/>
    </row>
    <row r="8032" s="1" customFormat="1" spans="1:3">
      <c r="A8032" s="6"/>
      <c r="B8032" s="6"/>
      <c r="C8032" s="6"/>
    </row>
    <row r="8033" s="1" customFormat="1" spans="1:3">
      <c r="A8033" s="6"/>
      <c r="B8033" s="6"/>
      <c r="C8033" s="6"/>
    </row>
    <row r="8034" s="1" customFormat="1" spans="1:3">
      <c r="A8034" s="6"/>
      <c r="B8034" s="6"/>
      <c r="C8034" s="6"/>
    </row>
    <row r="8035" s="1" customFormat="1" spans="1:3">
      <c r="A8035" s="6"/>
      <c r="B8035" s="6"/>
      <c r="C8035" s="6"/>
    </row>
    <row r="8036" s="1" customFormat="1" spans="1:3">
      <c r="A8036" s="6"/>
      <c r="B8036" s="6"/>
      <c r="C8036" s="6"/>
    </row>
    <row r="8037" s="1" customFormat="1" spans="1:3">
      <c r="A8037" s="6"/>
      <c r="B8037" s="6"/>
      <c r="C8037" s="6"/>
    </row>
    <row r="8038" s="1" customFormat="1" spans="1:3">
      <c r="A8038" s="6"/>
      <c r="B8038" s="6"/>
      <c r="C8038" s="6"/>
    </row>
    <row r="8039" s="1" customFormat="1" spans="1:3">
      <c r="A8039" s="6"/>
      <c r="B8039" s="6"/>
      <c r="C8039" s="6"/>
    </row>
    <row r="8040" s="1" customFormat="1" spans="1:3">
      <c r="A8040" s="6"/>
      <c r="B8040" s="6"/>
      <c r="C8040" s="6"/>
    </row>
    <row r="8041" s="1" customFormat="1" spans="1:3">
      <c r="A8041" s="6"/>
      <c r="B8041" s="6"/>
      <c r="C8041" s="6"/>
    </row>
    <row r="8042" s="1" customFormat="1" spans="1:3">
      <c r="A8042" s="6"/>
      <c r="B8042" s="6"/>
      <c r="C8042" s="6"/>
    </row>
    <row r="8043" s="1" customFormat="1" spans="1:3">
      <c r="A8043" s="6"/>
      <c r="B8043" s="6"/>
      <c r="C8043" s="6"/>
    </row>
    <row r="8044" s="1" customFormat="1" spans="1:3">
      <c r="A8044" s="6"/>
      <c r="B8044" s="6"/>
      <c r="C8044" s="6"/>
    </row>
    <row r="8045" s="1" customFormat="1" spans="1:3">
      <c r="A8045" s="6"/>
      <c r="B8045" s="6"/>
      <c r="C8045" s="6"/>
    </row>
    <row r="8046" s="1" customFormat="1" spans="1:3">
      <c r="A8046" s="6"/>
      <c r="B8046" s="6"/>
      <c r="C8046" s="6"/>
    </row>
    <row r="8047" s="1" customFormat="1" spans="1:3">
      <c r="A8047" s="6"/>
      <c r="B8047" s="6"/>
      <c r="C8047" s="6"/>
    </row>
    <row r="8048" s="1" customFormat="1" spans="1:3">
      <c r="A8048" s="6"/>
      <c r="B8048" s="6"/>
      <c r="C8048" s="6"/>
    </row>
    <row r="8049" s="1" customFormat="1" spans="1:3">
      <c r="A8049" s="6"/>
      <c r="B8049" s="6"/>
      <c r="C8049" s="6"/>
    </row>
    <row r="8050" s="1" customFormat="1" spans="1:3">
      <c r="A8050" s="6"/>
      <c r="B8050" s="6"/>
      <c r="C8050" s="6"/>
    </row>
    <row r="8051" s="1" customFormat="1" spans="1:3">
      <c r="A8051" s="6"/>
      <c r="B8051" s="6"/>
      <c r="C8051" s="6"/>
    </row>
    <row r="8052" s="1" customFormat="1" spans="1:3">
      <c r="A8052" s="6"/>
      <c r="B8052" s="6"/>
      <c r="C8052" s="6"/>
    </row>
    <row r="8053" s="1" customFormat="1" spans="1:3">
      <c r="A8053" s="6"/>
      <c r="B8053" s="6"/>
      <c r="C8053" s="6"/>
    </row>
    <row r="8054" s="1" customFormat="1" spans="1:3">
      <c r="A8054" s="6"/>
      <c r="B8054" s="6"/>
      <c r="C8054" s="6"/>
    </row>
    <row r="8055" s="1" customFormat="1" spans="1:3">
      <c r="A8055" s="6"/>
      <c r="B8055" s="6"/>
      <c r="C8055" s="6"/>
    </row>
    <row r="8056" s="1" customFormat="1" spans="1:3">
      <c r="A8056" s="6"/>
      <c r="B8056" s="6"/>
      <c r="C8056" s="6"/>
    </row>
    <row r="8057" s="1" customFormat="1" spans="1:3">
      <c r="A8057" s="6"/>
      <c r="B8057" s="6"/>
      <c r="C8057" s="6"/>
    </row>
    <row r="8058" s="1" customFormat="1" spans="1:3">
      <c r="A8058" s="6"/>
      <c r="B8058" s="6"/>
      <c r="C8058" s="6"/>
    </row>
    <row r="8059" s="1" customFormat="1" spans="1:3">
      <c r="A8059" s="6"/>
      <c r="B8059" s="6"/>
      <c r="C8059" s="6"/>
    </row>
    <row r="8060" s="1" customFormat="1" spans="1:3">
      <c r="A8060" s="6"/>
      <c r="B8060" s="6"/>
      <c r="C8060" s="6"/>
    </row>
    <row r="8061" s="1" customFormat="1" spans="1:3">
      <c r="A8061" s="6"/>
      <c r="B8061" s="6"/>
      <c r="C8061" s="6"/>
    </row>
    <row r="8062" s="1" customFormat="1" spans="1:3">
      <c r="A8062" s="6"/>
      <c r="B8062" s="6"/>
      <c r="C8062" s="6"/>
    </row>
    <row r="8063" s="1" customFormat="1" spans="1:3">
      <c r="A8063" s="6"/>
      <c r="B8063" s="6"/>
      <c r="C8063" s="6"/>
    </row>
    <row r="8064" s="1" customFormat="1" spans="1:3">
      <c r="A8064" s="6"/>
      <c r="B8064" s="6"/>
      <c r="C8064" s="6"/>
    </row>
    <row r="8065" s="1" customFormat="1" spans="1:3">
      <c r="A8065" s="6"/>
      <c r="B8065" s="6"/>
      <c r="C8065" s="6"/>
    </row>
    <row r="8066" s="1" customFormat="1" spans="1:3">
      <c r="A8066" s="6"/>
      <c r="B8066" s="6"/>
      <c r="C8066" s="6"/>
    </row>
    <row r="8067" s="1" customFormat="1" spans="1:3">
      <c r="A8067" s="6"/>
      <c r="B8067" s="6"/>
      <c r="C8067" s="6"/>
    </row>
    <row r="8068" s="1" customFormat="1" spans="1:3">
      <c r="A8068" s="6"/>
      <c r="B8068" s="6"/>
      <c r="C8068" s="6"/>
    </row>
    <row r="8069" s="1" customFormat="1" spans="1:3">
      <c r="A8069" s="6"/>
      <c r="B8069" s="6"/>
      <c r="C8069" s="6"/>
    </row>
    <row r="8070" s="1" customFormat="1" spans="1:3">
      <c r="A8070" s="6"/>
      <c r="B8070" s="6"/>
      <c r="C8070" s="6"/>
    </row>
    <row r="8071" s="1" customFormat="1" spans="1:3">
      <c r="A8071" s="6"/>
      <c r="B8071" s="6"/>
      <c r="C8071" s="6"/>
    </row>
    <row r="8072" s="1" customFormat="1" spans="1:3">
      <c r="A8072" s="6"/>
      <c r="B8072" s="6"/>
      <c r="C8072" s="6"/>
    </row>
    <row r="8073" s="1" customFormat="1" spans="1:3">
      <c r="A8073" s="6"/>
      <c r="B8073" s="6"/>
      <c r="C8073" s="6"/>
    </row>
    <row r="8074" s="1" customFormat="1" spans="1:3">
      <c r="A8074" s="6"/>
      <c r="B8074" s="6"/>
      <c r="C8074" s="6"/>
    </row>
    <row r="8075" s="1" customFormat="1" spans="1:3">
      <c r="A8075" s="6"/>
      <c r="B8075" s="6"/>
      <c r="C8075" s="6"/>
    </row>
    <row r="8076" s="1" customFormat="1" spans="1:3">
      <c r="A8076" s="6"/>
      <c r="B8076" s="6"/>
      <c r="C8076" s="6"/>
    </row>
    <row r="8077" s="1" customFormat="1" spans="1:3">
      <c r="A8077" s="6"/>
      <c r="B8077" s="6"/>
      <c r="C8077" s="6"/>
    </row>
    <row r="8078" s="1" customFormat="1" spans="1:3">
      <c r="A8078" s="6"/>
      <c r="B8078" s="6"/>
      <c r="C8078" s="6"/>
    </row>
    <row r="8079" s="1" customFormat="1" spans="1:3">
      <c r="A8079" s="6"/>
      <c r="B8079" s="6"/>
      <c r="C8079" s="6"/>
    </row>
    <row r="8080" s="1" customFormat="1" spans="1:3">
      <c r="A8080" s="6"/>
      <c r="B8080" s="6"/>
      <c r="C8080" s="6"/>
    </row>
    <row r="8081" s="1" customFormat="1" spans="1:3">
      <c r="A8081" s="6"/>
      <c r="B8081" s="6"/>
      <c r="C8081" s="6"/>
    </row>
    <row r="8082" s="1" customFormat="1" spans="1:3">
      <c r="A8082" s="6"/>
      <c r="B8082" s="6"/>
      <c r="C8082" s="6"/>
    </row>
    <row r="8083" s="1" customFormat="1" spans="1:3">
      <c r="A8083" s="6"/>
      <c r="B8083" s="6"/>
      <c r="C8083" s="6"/>
    </row>
    <row r="8084" s="1" customFormat="1" spans="1:3">
      <c r="A8084" s="6"/>
      <c r="B8084" s="6"/>
      <c r="C8084" s="6"/>
    </row>
    <row r="8085" s="1" customFormat="1" spans="1:3">
      <c r="A8085" s="6"/>
      <c r="B8085" s="6"/>
      <c r="C8085" s="6"/>
    </row>
    <row r="8086" s="1" customFormat="1" spans="1:3">
      <c r="A8086" s="6"/>
      <c r="B8086" s="6"/>
      <c r="C8086" s="6"/>
    </row>
    <row r="8087" s="1" customFormat="1" spans="1:3">
      <c r="A8087" s="6"/>
      <c r="B8087" s="6"/>
      <c r="C8087" s="6"/>
    </row>
    <row r="8088" s="1" customFormat="1" spans="1:3">
      <c r="A8088" s="6"/>
      <c r="B8088" s="6"/>
      <c r="C8088" s="6"/>
    </row>
    <row r="8089" s="1" customFormat="1" spans="1:3">
      <c r="A8089" s="6"/>
      <c r="B8089" s="6"/>
      <c r="C8089" s="6"/>
    </row>
    <row r="8090" s="1" customFormat="1" spans="1:3">
      <c r="A8090" s="6"/>
      <c r="B8090" s="6"/>
      <c r="C8090" s="6"/>
    </row>
    <row r="8091" s="1" customFormat="1" spans="1:3">
      <c r="A8091" s="6"/>
      <c r="B8091" s="6"/>
      <c r="C8091" s="6"/>
    </row>
    <row r="8092" s="1" customFormat="1" spans="1:3">
      <c r="A8092" s="6"/>
      <c r="B8092" s="6"/>
      <c r="C8092" s="6"/>
    </row>
    <row r="8093" s="1" customFormat="1" spans="1:3">
      <c r="A8093" s="6"/>
      <c r="B8093" s="6"/>
      <c r="C8093" s="6"/>
    </row>
    <row r="8094" s="1" customFormat="1" spans="1:3">
      <c r="A8094" s="6"/>
      <c r="B8094" s="6"/>
      <c r="C8094" s="6"/>
    </row>
    <row r="8095" s="1" customFormat="1" spans="1:3">
      <c r="A8095" s="6"/>
      <c r="B8095" s="6"/>
      <c r="C8095" s="6"/>
    </row>
    <row r="8096" s="1" customFormat="1" spans="1:3">
      <c r="A8096" s="6"/>
      <c r="B8096" s="6"/>
      <c r="C8096" s="6"/>
    </row>
    <row r="8097" s="1" customFormat="1" spans="1:3">
      <c r="A8097" s="6"/>
      <c r="B8097" s="6"/>
      <c r="C8097" s="6"/>
    </row>
    <row r="8098" s="1" customFormat="1" spans="1:3">
      <c r="A8098" s="6"/>
      <c r="B8098" s="6"/>
      <c r="C8098" s="6"/>
    </row>
    <row r="8099" s="1" customFormat="1" spans="1:3">
      <c r="A8099" s="6"/>
      <c r="B8099" s="6"/>
      <c r="C8099" s="6"/>
    </row>
    <row r="8100" s="1" customFormat="1" spans="1:3">
      <c r="A8100" s="6"/>
      <c r="B8100" s="6"/>
      <c r="C8100" s="6"/>
    </row>
    <row r="8101" s="1" customFormat="1" spans="1:3">
      <c r="A8101" s="6"/>
      <c r="B8101" s="6"/>
      <c r="C8101" s="6"/>
    </row>
    <row r="8102" s="1" customFormat="1" spans="1:3">
      <c r="A8102" s="6"/>
      <c r="B8102" s="6"/>
      <c r="C8102" s="6"/>
    </row>
    <row r="8103" s="1" customFormat="1" spans="1:3">
      <c r="A8103" s="6"/>
      <c r="B8103" s="6"/>
      <c r="C8103" s="6"/>
    </row>
    <row r="8104" s="1" customFormat="1" spans="1:3">
      <c r="A8104" s="6"/>
      <c r="B8104" s="6"/>
      <c r="C8104" s="6"/>
    </row>
    <row r="8105" s="1" customFormat="1" spans="1:3">
      <c r="A8105" s="6"/>
      <c r="B8105" s="6"/>
      <c r="C8105" s="6"/>
    </row>
    <row r="8106" s="1" customFormat="1" spans="1:3">
      <c r="A8106" s="6"/>
      <c r="B8106" s="6"/>
      <c r="C8106" s="6"/>
    </row>
    <row r="8107" s="1" customFormat="1" spans="1:3">
      <c r="A8107" s="6"/>
      <c r="B8107" s="6"/>
      <c r="C8107" s="6"/>
    </row>
    <row r="8108" s="1" customFormat="1" spans="1:3">
      <c r="A8108" s="6"/>
      <c r="B8108" s="6"/>
      <c r="C8108" s="6"/>
    </row>
    <row r="8109" s="1" customFormat="1" spans="1:3">
      <c r="A8109" s="6"/>
      <c r="B8109" s="6"/>
      <c r="C8109" s="6"/>
    </row>
    <row r="8110" s="1" customFormat="1" spans="1:3">
      <c r="A8110" s="6"/>
      <c r="B8110" s="6"/>
      <c r="C8110" s="6"/>
    </row>
    <row r="8111" s="1" customFormat="1" spans="1:3">
      <c r="A8111" s="6"/>
      <c r="B8111" s="6"/>
      <c r="C8111" s="6"/>
    </row>
    <row r="8112" s="1" customFormat="1" spans="1:3">
      <c r="A8112" s="6"/>
      <c r="B8112" s="6"/>
      <c r="C8112" s="6"/>
    </row>
    <row r="8113" s="1" customFormat="1" spans="1:3">
      <c r="A8113" s="6"/>
      <c r="B8113" s="6"/>
      <c r="C8113" s="6"/>
    </row>
    <row r="8114" s="1" customFormat="1" spans="1:3">
      <c r="A8114" s="6"/>
      <c r="B8114" s="6"/>
      <c r="C8114" s="6"/>
    </row>
    <row r="8115" s="1" customFormat="1" spans="1:3">
      <c r="A8115" s="6"/>
      <c r="B8115" s="6"/>
      <c r="C8115" s="6"/>
    </row>
    <row r="8116" s="1" customFormat="1" spans="1:3">
      <c r="A8116" s="6"/>
      <c r="B8116" s="6"/>
      <c r="C8116" s="6"/>
    </row>
    <row r="8117" s="1" customFormat="1" spans="1:3">
      <c r="A8117" s="6"/>
      <c r="B8117" s="6"/>
      <c r="C8117" s="6"/>
    </row>
    <row r="8118" s="1" customFormat="1" spans="1:3">
      <c r="A8118" s="6"/>
      <c r="B8118" s="6"/>
      <c r="C8118" s="6"/>
    </row>
    <row r="8119" s="1" customFormat="1" spans="1:3">
      <c r="A8119" s="6"/>
      <c r="B8119" s="6"/>
      <c r="C8119" s="6"/>
    </row>
    <row r="8120" s="1" customFormat="1" spans="1:3">
      <c r="A8120" s="6"/>
      <c r="B8120" s="6"/>
      <c r="C8120" s="6"/>
    </row>
    <row r="8121" s="1" customFormat="1" spans="1:3">
      <c r="A8121" s="6"/>
      <c r="B8121" s="6"/>
      <c r="C8121" s="6"/>
    </row>
    <row r="8122" s="1" customFormat="1" spans="1:3">
      <c r="A8122" s="6"/>
      <c r="B8122" s="6"/>
      <c r="C8122" s="6"/>
    </row>
    <row r="8123" s="1" customFormat="1" spans="1:3">
      <c r="A8123" s="6"/>
      <c r="B8123" s="6"/>
      <c r="C8123" s="6"/>
    </row>
    <row r="8124" s="1" customFormat="1" spans="1:3">
      <c r="A8124" s="6"/>
      <c r="B8124" s="6"/>
      <c r="C8124" s="6"/>
    </row>
    <row r="8125" s="1" customFormat="1" spans="1:3">
      <c r="A8125" s="6"/>
      <c r="B8125" s="6"/>
      <c r="C8125" s="6"/>
    </row>
    <row r="8126" s="1" customFormat="1" spans="1:3">
      <c r="A8126" s="6"/>
      <c r="B8126" s="6"/>
      <c r="C8126" s="6"/>
    </row>
    <row r="8127" s="1" customFormat="1" spans="1:3">
      <c r="A8127" s="6"/>
      <c r="B8127" s="6"/>
      <c r="C8127" s="6"/>
    </row>
    <row r="8128" s="1" customFormat="1" spans="1:3">
      <c r="A8128" s="6"/>
      <c r="B8128" s="6"/>
      <c r="C8128" s="6"/>
    </row>
    <row r="8129" s="1" customFormat="1" spans="1:3">
      <c r="A8129" s="6"/>
      <c r="B8129" s="6"/>
      <c r="C8129" s="6"/>
    </row>
    <row r="8130" s="1" customFormat="1" spans="1:3">
      <c r="A8130" s="6"/>
      <c r="B8130" s="6"/>
      <c r="C8130" s="6"/>
    </row>
    <row r="8131" s="1" customFormat="1" spans="1:3">
      <c r="A8131" s="6"/>
      <c r="B8131" s="6"/>
      <c r="C8131" s="6"/>
    </row>
    <row r="8132" s="1" customFormat="1" spans="1:3">
      <c r="A8132" s="6"/>
      <c r="B8132" s="6"/>
      <c r="C8132" s="6"/>
    </row>
    <row r="8133" s="1" customFormat="1" spans="1:3">
      <c r="A8133" s="6"/>
      <c r="B8133" s="6"/>
      <c r="C8133" s="6"/>
    </row>
    <row r="8134" s="1" customFormat="1" spans="1:3">
      <c r="A8134" s="6"/>
      <c r="B8134" s="6"/>
      <c r="C8134" s="6"/>
    </row>
    <row r="8135" s="1" customFormat="1" spans="1:3">
      <c r="A8135" s="6"/>
      <c r="B8135" s="6"/>
      <c r="C8135" s="6"/>
    </row>
    <row r="8136" s="1" customFormat="1" spans="1:3">
      <c r="A8136" s="6"/>
      <c r="B8136" s="6"/>
      <c r="C8136" s="6"/>
    </row>
    <row r="8137" s="1" customFormat="1" spans="1:3">
      <c r="A8137" s="6"/>
      <c r="B8137" s="6"/>
      <c r="C8137" s="6"/>
    </row>
    <row r="8138" s="1" customFormat="1" spans="1:3">
      <c r="A8138" s="6"/>
      <c r="B8138" s="6"/>
      <c r="C8138" s="6"/>
    </row>
    <row r="8139" s="1" customFormat="1" spans="1:3">
      <c r="A8139" s="6"/>
      <c r="B8139" s="6"/>
      <c r="C8139" s="6"/>
    </row>
    <row r="8140" s="1" customFormat="1" spans="1:3">
      <c r="A8140" s="6"/>
      <c r="B8140" s="6"/>
      <c r="C8140" s="6"/>
    </row>
    <row r="8141" s="1" customFormat="1" spans="1:3">
      <c r="A8141" s="6"/>
      <c r="B8141" s="6"/>
      <c r="C8141" s="6"/>
    </row>
    <row r="8142" s="1" customFormat="1" spans="1:3">
      <c r="A8142" s="6"/>
      <c r="B8142" s="6"/>
      <c r="C8142" s="6"/>
    </row>
    <row r="8143" s="1" customFormat="1" spans="1:3">
      <c r="A8143" s="6"/>
      <c r="B8143" s="6"/>
      <c r="C8143" s="6"/>
    </row>
    <row r="8144" s="1" customFormat="1" spans="1:3">
      <c r="A8144" s="6"/>
      <c r="B8144" s="6"/>
      <c r="C8144" s="6"/>
    </row>
    <row r="8145" s="1" customFormat="1" spans="1:3">
      <c r="A8145" s="6"/>
      <c r="B8145" s="6"/>
      <c r="C8145" s="6"/>
    </row>
    <row r="8146" s="1" customFormat="1" spans="1:3">
      <c r="A8146" s="6"/>
      <c r="B8146" s="6"/>
      <c r="C8146" s="6"/>
    </row>
    <row r="8147" s="1" customFormat="1" spans="1:3">
      <c r="A8147" s="6"/>
      <c r="B8147" s="6"/>
      <c r="C8147" s="6"/>
    </row>
    <row r="8148" s="1" customFormat="1" spans="1:3">
      <c r="A8148" s="6"/>
      <c r="B8148" s="6"/>
      <c r="C8148" s="6"/>
    </row>
    <row r="8149" s="1" customFormat="1" spans="1:3">
      <c r="A8149" s="6"/>
      <c r="B8149" s="6"/>
      <c r="C8149" s="6"/>
    </row>
    <row r="8150" s="1" customFormat="1" spans="1:3">
      <c r="A8150" s="6"/>
      <c r="B8150" s="6"/>
      <c r="C8150" s="6"/>
    </row>
    <row r="8151" s="1" customFormat="1" spans="1:3">
      <c r="A8151" s="6"/>
      <c r="B8151" s="6"/>
      <c r="C8151" s="6"/>
    </row>
    <row r="8152" s="1" customFormat="1" spans="1:3">
      <c r="A8152" s="6"/>
      <c r="B8152" s="6"/>
      <c r="C8152" s="6"/>
    </row>
    <row r="8153" s="1" customFormat="1" spans="1:3">
      <c r="A8153" s="6"/>
      <c r="B8153" s="6"/>
      <c r="C8153" s="6"/>
    </row>
    <row r="8154" s="1" customFormat="1" spans="1:3">
      <c r="A8154" s="6"/>
      <c r="B8154" s="6"/>
      <c r="C8154" s="6"/>
    </row>
    <row r="8155" s="1" customFormat="1" spans="1:3">
      <c r="A8155" s="6"/>
      <c r="B8155" s="6"/>
      <c r="C8155" s="6"/>
    </row>
    <row r="8156" s="1" customFormat="1" spans="1:3">
      <c r="A8156" s="6"/>
      <c r="B8156" s="6"/>
      <c r="C8156" s="6"/>
    </row>
    <row r="8157" s="1" customFormat="1" spans="1:3">
      <c r="A8157" s="6"/>
      <c r="B8157" s="6"/>
      <c r="C8157" s="6"/>
    </row>
    <row r="8158" s="1" customFormat="1" spans="1:3">
      <c r="A8158" s="6"/>
      <c r="B8158" s="6"/>
      <c r="C8158" s="6"/>
    </row>
    <row r="8159" s="1" customFormat="1" spans="1:3">
      <c r="A8159" s="6"/>
      <c r="B8159" s="6"/>
      <c r="C8159" s="6"/>
    </row>
    <row r="8160" s="1" customFormat="1" spans="1:3">
      <c r="A8160" s="6"/>
      <c r="B8160" s="6"/>
      <c r="C8160" s="6"/>
    </row>
    <row r="8161" s="1" customFormat="1" spans="1:3">
      <c r="A8161" s="6"/>
      <c r="B8161" s="6"/>
      <c r="C8161" s="6"/>
    </row>
    <row r="8162" s="1" customFormat="1" spans="1:3">
      <c r="A8162" s="6"/>
      <c r="B8162" s="6"/>
      <c r="C8162" s="6"/>
    </row>
    <row r="8163" s="1" customFormat="1" spans="1:3">
      <c r="A8163" s="6"/>
      <c r="B8163" s="6"/>
      <c r="C8163" s="6"/>
    </row>
    <row r="8164" s="1" customFormat="1" spans="1:3">
      <c r="A8164" s="6"/>
      <c r="B8164" s="6"/>
      <c r="C8164" s="6"/>
    </row>
    <row r="8165" s="1" customFormat="1" spans="1:3">
      <c r="A8165" s="6"/>
      <c r="B8165" s="6"/>
      <c r="C8165" s="6"/>
    </row>
    <row r="8166" s="1" customFormat="1" spans="1:3">
      <c r="A8166" s="6"/>
      <c r="B8166" s="6"/>
      <c r="C8166" s="6"/>
    </row>
    <row r="8167" s="1" customFormat="1" spans="1:3">
      <c r="A8167" s="6"/>
      <c r="B8167" s="6"/>
      <c r="C8167" s="6"/>
    </row>
    <row r="8168" s="1" customFormat="1" spans="1:3">
      <c r="A8168" s="6"/>
      <c r="B8168" s="6"/>
      <c r="C8168" s="6"/>
    </row>
    <row r="8169" s="1" customFormat="1" spans="1:3">
      <c r="A8169" s="6"/>
      <c r="B8169" s="6"/>
      <c r="C8169" s="6"/>
    </row>
    <row r="8170" s="1" customFormat="1" spans="1:3">
      <c r="A8170" s="6"/>
      <c r="B8170" s="6"/>
      <c r="C8170" s="6"/>
    </row>
    <row r="8171" s="1" customFormat="1" spans="1:3">
      <c r="A8171" s="6"/>
      <c r="B8171" s="6"/>
      <c r="C8171" s="6"/>
    </row>
    <row r="8172" s="1" customFormat="1" spans="1:3">
      <c r="A8172" s="6"/>
      <c r="B8172" s="6"/>
      <c r="C8172" s="6"/>
    </row>
    <row r="8173" s="1" customFormat="1" spans="1:3">
      <c r="A8173" s="6"/>
      <c r="B8173" s="6"/>
      <c r="C8173" s="6"/>
    </row>
    <row r="8174" s="1" customFormat="1" spans="1:3">
      <c r="A8174" s="6"/>
      <c r="B8174" s="6"/>
      <c r="C8174" s="6"/>
    </row>
    <row r="8175" s="1" customFormat="1" spans="1:3">
      <c r="A8175" s="6"/>
      <c r="B8175" s="6"/>
      <c r="C8175" s="6"/>
    </row>
    <row r="8176" s="1" customFormat="1" spans="1:3">
      <c r="A8176" s="6"/>
      <c r="B8176" s="6"/>
      <c r="C8176" s="6"/>
    </row>
    <row r="8177" s="1" customFormat="1" spans="1:3">
      <c r="A8177" s="6"/>
      <c r="B8177" s="6"/>
      <c r="C8177" s="6"/>
    </row>
    <row r="8178" s="1" customFormat="1" spans="1:3">
      <c r="A8178" s="6"/>
      <c r="B8178" s="6"/>
      <c r="C8178" s="6"/>
    </row>
    <row r="8179" s="1" customFormat="1" spans="1:3">
      <c r="A8179" s="6"/>
      <c r="B8179" s="6"/>
      <c r="C8179" s="6"/>
    </row>
    <row r="8180" s="1" customFormat="1" spans="1:3">
      <c r="A8180" s="6"/>
      <c r="B8180" s="6"/>
      <c r="C8180" s="6"/>
    </row>
    <row r="8181" s="1" customFormat="1" spans="1:3">
      <c r="A8181" s="6"/>
      <c r="B8181" s="6"/>
      <c r="C8181" s="6"/>
    </row>
    <row r="8182" s="1" customFormat="1" spans="1:3">
      <c r="A8182" s="6"/>
      <c r="B8182" s="6"/>
      <c r="C8182" s="6"/>
    </row>
    <row r="8183" s="1" customFormat="1" spans="1:3">
      <c r="A8183" s="6"/>
      <c r="B8183" s="6"/>
      <c r="C8183" s="6"/>
    </row>
    <row r="8184" s="1" customFormat="1" spans="1:3">
      <c r="A8184" s="6"/>
      <c r="B8184" s="6"/>
      <c r="C8184" s="6"/>
    </row>
    <row r="8185" s="1" customFormat="1" spans="1:3">
      <c r="A8185" s="6"/>
      <c r="B8185" s="6"/>
      <c r="C8185" s="6"/>
    </row>
    <row r="8186" s="1" customFormat="1" spans="1:3">
      <c r="A8186" s="6"/>
      <c r="B8186" s="6"/>
      <c r="C8186" s="6"/>
    </row>
    <row r="8187" s="1" customFormat="1" spans="1:3">
      <c r="A8187" s="6"/>
      <c r="B8187" s="6"/>
      <c r="C8187" s="6"/>
    </row>
    <row r="8188" s="1" customFormat="1" spans="1:3">
      <c r="A8188" s="6"/>
      <c r="B8188" s="6"/>
      <c r="C8188" s="6"/>
    </row>
    <row r="8189" s="1" customFormat="1" spans="1:3">
      <c r="A8189" s="6"/>
      <c r="B8189" s="6"/>
      <c r="C8189" s="6"/>
    </row>
    <row r="8190" s="1" customFormat="1" spans="1:3">
      <c r="A8190" s="6"/>
      <c r="B8190" s="6"/>
      <c r="C8190" s="6"/>
    </row>
    <row r="8191" s="1" customFormat="1" spans="1:3">
      <c r="A8191" s="6"/>
      <c r="B8191" s="6"/>
      <c r="C8191" s="6"/>
    </row>
    <row r="8192" s="1" customFormat="1" spans="1:3">
      <c r="A8192" s="6"/>
      <c r="B8192" s="6"/>
      <c r="C8192" s="6"/>
    </row>
    <row r="8193" s="1" customFormat="1" spans="1:3">
      <c r="A8193" s="6"/>
      <c r="B8193" s="6"/>
      <c r="C8193" s="6"/>
    </row>
    <row r="8194" s="1" customFormat="1" spans="1:3">
      <c r="A8194" s="6"/>
      <c r="B8194" s="6"/>
      <c r="C8194" s="6"/>
    </row>
    <row r="8195" s="1" customFormat="1" spans="1:3">
      <c r="A8195" s="6"/>
      <c r="B8195" s="6"/>
      <c r="C8195" s="6"/>
    </row>
    <row r="8196" s="1" customFormat="1" spans="1:3">
      <c r="A8196" s="6"/>
      <c r="B8196" s="6"/>
      <c r="C8196" s="6"/>
    </row>
    <row r="8197" s="1" customFormat="1" spans="1:3">
      <c r="A8197" s="6"/>
      <c r="B8197" s="6"/>
      <c r="C8197" s="6"/>
    </row>
    <row r="8198" s="1" customFormat="1" spans="1:3">
      <c r="A8198" s="6"/>
      <c r="B8198" s="6"/>
      <c r="C8198" s="6"/>
    </row>
    <row r="8199" s="1" customFormat="1" spans="1:3">
      <c r="A8199" s="6"/>
      <c r="B8199" s="6"/>
      <c r="C8199" s="6"/>
    </row>
    <row r="8200" s="1" customFormat="1" spans="1:3">
      <c r="A8200" s="6"/>
      <c r="B8200" s="6"/>
      <c r="C8200" s="6"/>
    </row>
    <row r="8201" s="1" customFormat="1" spans="1:3">
      <c r="A8201" s="6"/>
      <c r="B8201" s="6"/>
      <c r="C8201" s="6"/>
    </row>
    <row r="8202" s="1" customFormat="1" spans="1:3">
      <c r="A8202" s="6"/>
      <c r="B8202" s="6"/>
      <c r="C8202" s="6"/>
    </row>
    <row r="8203" s="1" customFormat="1" spans="1:3">
      <c r="A8203" s="6"/>
      <c r="B8203" s="6"/>
      <c r="C8203" s="6"/>
    </row>
    <row r="8204" s="1" customFormat="1" spans="1:3">
      <c r="A8204" s="6"/>
      <c r="B8204" s="6"/>
      <c r="C8204" s="6"/>
    </row>
    <row r="8205" s="1" customFormat="1" spans="1:3">
      <c r="A8205" s="6"/>
      <c r="B8205" s="6"/>
      <c r="C8205" s="6"/>
    </row>
    <row r="8206" s="1" customFormat="1" spans="1:3">
      <c r="A8206" s="6"/>
      <c r="B8206" s="6"/>
      <c r="C8206" s="6"/>
    </row>
    <row r="8207" s="1" customFormat="1" spans="1:3">
      <c r="A8207" s="6"/>
      <c r="B8207" s="6"/>
      <c r="C8207" s="6"/>
    </row>
    <row r="8208" s="1" customFormat="1" spans="1:3">
      <c r="A8208" s="6"/>
      <c r="B8208" s="6"/>
      <c r="C8208" s="6"/>
    </row>
    <row r="8209" s="1" customFormat="1" spans="1:3">
      <c r="A8209" s="6"/>
      <c r="B8209" s="6"/>
      <c r="C8209" s="6"/>
    </row>
    <row r="8210" s="1" customFormat="1" spans="1:3">
      <c r="A8210" s="6"/>
      <c r="B8210" s="6"/>
      <c r="C8210" s="6"/>
    </row>
    <row r="8211" s="1" customFormat="1" spans="1:3">
      <c r="A8211" s="6"/>
      <c r="B8211" s="6"/>
      <c r="C8211" s="6"/>
    </row>
    <row r="8212" s="1" customFormat="1" spans="1:3">
      <c r="A8212" s="6"/>
      <c r="B8212" s="6"/>
      <c r="C8212" s="6"/>
    </row>
    <row r="8213" s="1" customFormat="1" spans="1:3">
      <c r="A8213" s="6"/>
      <c r="B8213" s="6"/>
      <c r="C8213" s="6"/>
    </row>
    <row r="8214" s="1" customFormat="1" spans="1:3">
      <c r="A8214" s="6"/>
      <c r="B8214" s="6"/>
      <c r="C8214" s="6"/>
    </row>
    <row r="8215" s="1" customFormat="1" spans="1:3">
      <c r="A8215" s="6"/>
      <c r="B8215" s="6"/>
      <c r="C8215" s="6"/>
    </row>
    <row r="8216" s="1" customFormat="1" spans="1:3">
      <c r="A8216" s="6"/>
      <c r="B8216" s="6"/>
      <c r="C8216" s="6"/>
    </row>
    <row r="8217" s="1" customFormat="1" spans="1:3">
      <c r="A8217" s="6"/>
      <c r="B8217" s="6"/>
      <c r="C8217" s="6"/>
    </row>
    <row r="8218" s="1" customFormat="1" spans="1:3">
      <c r="A8218" s="6"/>
      <c r="B8218" s="6"/>
      <c r="C8218" s="6"/>
    </row>
    <row r="8219" s="1" customFormat="1" spans="1:3">
      <c r="A8219" s="6"/>
      <c r="B8219" s="6"/>
      <c r="C8219" s="6"/>
    </row>
    <row r="8220" s="1" customFormat="1" spans="1:3">
      <c r="A8220" s="6"/>
      <c r="B8220" s="6"/>
      <c r="C8220" s="6"/>
    </row>
    <row r="8221" s="1" customFormat="1" spans="1:3">
      <c r="A8221" s="6"/>
      <c r="B8221" s="6"/>
      <c r="C8221" s="6"/>
    </row>
    <row r="8222" s="1" customFormat="1" spans="1:3">
      <c r="A8222" s="6"/>
      <c r="B8222" s="6"/>
      <c r="C8222" s="6"/>
    </row>
    <row r="8223" s="1" customFormat="1" spans="1:3">
      <c r="A8223" s="6"/>
      <c r="B8223" s="6"/>
      <c r="C8223" s="6"/>
    </row>
    <row r="8224" s="1" customFormat="1" spans="1:3">
      <c r="A8224" s="6"/>
      <c r="B8224" s="6"/>
      <c r="C8224" s="6"/>
    </row>
    <row r="8225" s="1" customFormat="1" spans="1:3">
      <c r="A8225" s="6"/>
      <c r="B8225" s="6"/>
      <c r="C8225" s="6"/>
    </row>
    <row r="8226" s="1" customFormat="1" spans="1:3">
      <c r="A8226" s="6"/>
      <c r="B8226" s="6"/>
      <c r="C8226" s="6"/>
    </row>
    <row r="8227" s="1" customFormat="1" spans="1:3">
      <c r="A8227" s="6"/>
      <c r="B8227" s="6"/>
      <c r="C8227" s="6"/>
    </row>
    <row r="8228" s="1" customFormat="1" spans="1:3">
      <c r="A8228" s="6"/>
      <c r="B8228" s="6"/>
      <c r="C8228" s="6"/>
    </row>
    <row r="8229" s="1" customFormat="1" spans="1:3">
      <c r="A8229" s="6"/>
      <c r="B8229" s="6"/>
      <c r="C8229" s="6"/>
    </row>
    <row r="8230" s="1" customFormat="1" spans="1:3">
      <c r="A8230" s="6"/>
      <c r="B8230" s="6"/>
      <c r="C8230" s="6"/>
    </row>
    <row r="8231" s="1" customFormat="1" spans="1:3">
      <c r="A8231" s="6"/>
      <c r="B8231" s="6"/>
      <c r="C8231" s="6"/>
    </row>
    <row r="8232" s="1" customFormat="1" spans="1:3">
      <c r="A8232" s="6"/>
      <c r="B8232" s="6"/>
      <c r="C8232" s="6"/>
    </row>
    <row r="8233" s="1" customFormat="1" spans="1:3">
      <c r="A8233" s="6"/>
      <c r="B8233" s="6"/>
      <c r="C8233" s="6"/>
    </row>
    <row r="8234" s="1" customFormat="1" spans="1:3">
      <c r="A8234" s="6"/>
      <c r="B8234" s="6"/>
      <c r="C8234" s="6"/>
    </row>
    <row r="8235" s="1" customFormat="1" spans="1:3">
      <c r="A8235" s="6"/>
      <c r="B8235" s="6"/>
      <c r="C8235" s="6"/>
    </row>
    <row r="8236" s="1" customFormat="1" spans="1:3">
      <c r="A8236" s="6"/>
      <c r="B8236" s="6"/>
      <c r="C8236" s="6"/>
    </row>
    <row r="8237" s="1" customFormat="1" spans="1:3">
      <c r="A8237" s="6"/>
      <c r="B8237" s="6"/>
      <c r="C8237" s="6"/>
    </row>
    <row r="8238" s="1" customFormat="1" spans="1:3">
      <c r="A8238" s="6"/>
      <c r="B8238" s="6"/>
      <c r="C8238" s="6"/>
    </row>
    <row r="8239" s="1" customFormat="1" spans="1:3">
      <c r="A8239" s="6"/>
      <c r="B8239" s="6"/>
      <c r="C8239" s="6"/>
    </row>
    <row r="8240" s="1" customFormat="1" spans="1:3">
      <c r="A8240" s="6"/>
      <c r="B8240" s="6"/>
      <c r="C8240" s="6"/>
    </row>
    <row r="8241" s="1" customFormat="1" spans="1:3">
      <c r="A8241" s="6"/>
      <c r="B8241" s="6"/>
      <c r="C8241" s="6"/>
    </row>
    <row r="8242" s="1" customFormat="1" spans="1:3">
      <c r="A8242" s="6"/>
      <c r="B8242" s="6"/>
      <c r="C8242" s="6"/>
    </row>
    <row r="8243" s="1" customFormat="1" spans="1:3">
      <c r="A8243" s="6"/>
      <c r="B8243" s="6"/>
      <c r="C8243" s="6"/>
    </row>
    <row r="8244" s="1" customFormat="1" spans="1:3">
      <c r="A8244" s="6"/>
      <c r="B8244" s="6"/>
      <c r="C8244" s="6"/>
    </row>
    <row r="8245" s="1" customFormat="1" spans="1:3">
      <c r="A8245" s="6"/>
      <c r="B8245" s="6"/>
      <c r="C8245" s="6"/>
    </row>
    <row r="8246" s="1" customFormat="1" spans="1:3">
      <c r="A8246" s="6"/>
      <c r="B8246" s="6"/>
      <c r="C8246" s="6"/>
    </row>
    <row r="8247" s="1" customFormat="1" spans="1:3">
      <c r="A8247" s="6"/>
      <c r="B8247" s="6"/>
      <c r="C8247" s="6"/>
    </row>
    <row r="8248" s="1" customFormat="1" spans="1:3">
      <c r="A8248" s="6"/>
      <c r="B8248" s="6"/>
      <c r="C8248" s="6"/>
    </row>
    <row r="8249" s="1" customFormat="1" spans="1:3">
      <c r="A8249" s="6"/>
      <c r="B8249" s="6"/>
      <c r="C8249" s="6"/>
    </row>
    <row r="8250" s="1" customFormat="1" spans="1:3">
      <c r="A8250" s="6"/>
      <c r="B8250" s="6"/>
      <c r="C8250" s="6"/>
    </row>
    <row r="8251" s="1" customFormat="1" spans="1:3">
      <c r="A8251" s="6"/>
      <c r="B8251" s="6"/>
      <c r="C8251" s="6"/>
    </row>
    <row r="8252" s="1" customFormat="1" spans="1:3">
      <c r="A8252" s="6"/>
      <c r="B8252" s="6"/>
      <c r="C8252" s="6"/>
    </row>
    <row r="8253" s="1" customFormat="1" spans="1:3">
      <c r="A8253" s="6"/>
      <c r="B8253" s="6"/>
      <c r="C8253" s="6"/>
    </row>
    <row r="8254" s="1" customFormat="1" spans="1:3">
      <c r="A8254" s="6"/>
      <c r="B8254" s="6"/>
      <c r="C8254" s="6"/>
    </row>
    <row r="8255" s="1" customFormat="1" spans="1:3">
      <c r="A8255" s="6"/>
      <c r="B8255" s="6"/>
      <c r="C8255" s="6"/>
    </row>
    <row r="8256" s="1" customFormat="1" spans="1:3">
      <c r="A8256" s="6"/>
      <c r="B8256" s="6"/>
      <c r="C8256" s="6"/>
    </row>
    <row r="8257" s="1" customFormat="1" spans="1:3">
      <c r="A8257" s="6"/>
      <c r="B8257" s="6"/>
      <c r="C8257" s="6"/>
    </row>
    <row r="8258" s="1" customFormat="1" spans="1:3">
      <c r="A8258" s="6"/>
      <c r="B8258" s="6"/>
      <c r="C8258" s="6"/>
    </row>
    <row r="8259" s="1" customFormat="1" spans="1:3">
      <c r="A8259" s="6"/>
      <c r="B8259" s="6"/>
      <c r="C8259" s="6"/>
    </row>
    <row r="8260" s="1" customFormat="1" spans="1:3">
      <c r="A8260" s="6"/>
      <c r="B8260" s="6"/>
      <c r="C8260" s="6"/>
    </row>
    <row r="8261" s="1" customFormat="1" spans="1:3">
      <c r="A8261" s="6"/>
      <c r="B8261" s="6"/>
      <c r="C8261" s="6"/>
    </row>
    <row r="8262" s="1" customFormat="1" spans="1:3">
      <c r="A8262" s="6"/>
      <c r="B8262" s="6"/>
      <c r="C8262" s="6"/>
    </row>
    <row r="8263" s="1" customFormat="1" spans="1:3">
      <c r="A8263" s="6"/>
      <c r="B8263" s="6"/>
      <c r="C8263" s="6"/>
    </row>
    <row r="8264" s="1" customFormat="1" spans="1:3">
      <c r="A8264" s="6"/>
      <c r="B8264" s="6"/>
      <c r="C8264" s="6"/>
    </row>
    <row r="8265" s="1" customFormat="1" spans="1:3">
      <c r="A8265" s="6"/>
      <c r="B8265" s="6"/>
      <c r="C8265" s="6"/>
    </row>
    <row r="8266" s="1" customFormat="1" spans="1:3">
      <c r="A8266" s="6"/>
      <c r="B8266" s="6"/>
      <c r="C8266" s="6"/>
    </row>
    <row r="8267" s="1" customFormat="1" spans="1:3">
      <c r="A8267" s="6"/>
      <c r="B8267" s="6"/>
      <c r="C8267" s="6"/>
    </row>
    <row r="8268" s="1" customFormat="1" spans="1:3">
      <c r="A8268" s="6"/>
      <c r="B8268" s="6"/>
      <c r="C8268" s="6"/>
    </row>
    <row r="8269" s="1" customFormat="1" spans="1:3">
      <c r="A8269" s="6"/>
      <c r="B8269" s="6"/>
      <c r="C8269" s="6"/>
    </row>
    <row r="8270" s="1" customFormat="1" spans="1:3">
      <c r="A8270" s="6"/>
      <c r="B8270" s="6"/>
      <c r="C8270" s="6"/>
    </row>
    <row r="8271" s="1" customFormat="1" spans="1:3">
      <c r="A8271" s="6"/>
      <c r="B8271" s="6"/>
      <c r="C8271" s="6"/>
    </row>
    <row r="8272" s="1" customFormat="1" spans="1:3">
      <c r="A8272" s="6"/>
      <c r="B8272" s="6"/>
      <c r="C8272" s="6"/>
    </row>
    <row r="8273" s="1" customFormat="1" spans="1:3">
      <c r="A8273" s="6"/>
      <c r="B8273" s="6"/>
      <c r="C8273" s="6"/>
    </row>
    <row r="8274" s="1" customFormat="1" spans="1:3">
      <c r="A8274" s="6"/>
      <c r="B8274" s="6"/>
      <c r="C8274" s="6"/>
    </row>
    <row r="8275" s="1" customFormat="1" spans="1:3">
      <c r="A8275" s="6"/>
      <c r="B8275" s="6"/>
      <c r="C8275" s="6"/>
    </row>
    <row r="8276" s="1" customFormat="1" spans="1:3">
      <c r="A8276" s="6"/>
      <c r="B8276" s="6"/>
      <c r="C8276" s="6"/>
    </row>
    <row r="8277" s="1" customFormat="1" spans="1:3">
      <c r="A8277" s="6"/>
      <c r="B8277" s="6"/>
      <c r="C8277" s="6"/>
    </row>
    <row r="8278" s="1" customFormat="1" spans="1:3">
      <c r="A8278" s="6"/>
      <c r="B8278" s="6"/>
      <c r="C8278" s="6"/>
    </row>
    <row r="8279" s="1" customFormat="1" spans="1:3">
      <c r="A8279" s="6"/>
      <c r="B8279" s="6"/>
      <c r="C8279" s="6"/>
    </row>
    <row r="8280" s="1" customFormat="1" spans="1:3">
      <c r="A8280" s="6"/>
      <c r="B8280" s="6"/>
      <c r="C8280" s="6"/>
    </row>
    <row r="8281" s="1" customFormat="1" spans="1:3">
      <c r="A8281" s="6"/>
      <c r="B8281" s="6"/>
      <c r="C8281" s="6"/>
    </row>
    <row r="8282" s="1" customFormat="1" spans="1:3">
      <c r="A8282" s="6"/>
      <c r="B8282" s="6"/>
      <c r="C8282" s="6"/>
    </row>
    <row r="8283" s="1" customFormat="1" spans="1:3">
      <c r="A8283" s="6"/>
      <c r="B8283" s="6"/>
      <c r="C8283" s="6"/>
    </row>
    <row r="8284" s="1" customFormat="1" spans="1:3">
      <c r="A8284" s="6"/>
      <c r="B8284" s="6"/>
      <c r="C8284" s="6"/>
    </row>
    <row r="8285" s="1" customFormat="1" spans="1:3">
      <c r="A8285" s="6"/>
      <c r="B8285" s="6"/>
      <c r="C8285" s="6"/>
    </row>
    <row r="8286" s="1" customFormat="1" spans="1:3">
      <c r="A8286" s="6"/>
      <c r="B8286" s="6"/>
      <c r="C8286" s="6"/>
    </row>
    <row r="8287" s="1" customFormat="1" spans="1:3">
      <c r="A8287" s="6"/>
      <c r="B8287" s="6"/>
      <c r="C8287" s="6"/>
    </row>
    <row r="8288" s="1" customFormat="1" spans="1:3">
      <c r="A8288" s="6"/>
      <c r="B8288" s="6"/>
      <c r="C8288" s="6"/>
    </row>
    <row r="8289" s="1" customFormat="1" spans="1:3">
      <c r="A8289" s="6"/>
      <c r="B8289" s="6"/>
      <c r="C8289" s="6"/>
    </row>
    <row r="8290" s="1" customFormat="1" spans="1:3">
      <c r="A8290" s="6"/>
      <c r="B8290" s="6"/>
      <c r="C8290" s="6"/>
    </row>
    <row r="8291" s="1" customFormat="1" spans="1:3">
      <c r="A8291" s="6"/>
      <c r="B8291" s="6"/>
      <c r="C8291" s="6"/>
    </row>
    <row r="8292" s="1" customFormat="1" spans="1:3">
      <c r="A8292" s="6"/>
      <c r="B8292" s="6"/>
      <c r="C8292" s="6"/>
    </row>
    <row r="8293" s="1" customFormat="1" spans="1:3">
      <c r="A8293" s="6"/>
      <c r="B8293" s="6"/>
      <c r="C8293" s="6"/>
    </row>
    <row r="8294" s="1" customFormat="1" spans="1:3">
      <c r="A8294" s="6"/>
      <c r="B8294" s="6"/>
      <c r="C8294" s="6"/>
    </row>
    <row r="8295" s="1" customFormat="1" spans="1:3">
      <c r="A8295" s="6"/>
      <c r="B8295" s="6"/>
      <c r="C8295" s="6"/>
    </row>
    <row r="8296" s="1" customFormat="1" spans="1:3">
      <c r="A8296" s="6"/>
      <c r="B8296" s="6"/>
      <c r="C8296" s="6"/>
    </row>
    <row r="8297" s="1" customFormat="1" spans="1:3">
      <c r="A8297" s="6"/>
      <c r="B8297" s="6"/>
      <c r="C8297" s="6"/>
    </row>
    <row r="8298" s="1" customFormat="1" spans="1:3">
      <c r="A8298" s="6"/>
      <c r="B8298" s="6"/>
      <c r="C8298" s="6"/>
    </row>
    <row r="8299" s="1" customFormat="1" spans="1:3">
      <c r="A8299" s="6"/>
      <c r="B8299" s="6"/>
      <c r="C8299" s="6"/>
    </row>
    <row r="8300" s="1" customFormat="1" spans="1:3">
      <c r="A8300" s="6"/>
      <c r="B8300" s="6"/>
      <c r="C8300" s="6"/>
    </row>
    <row r="8301" s="1" customFormat="1" spans="1:3">
      <c r="A8301" s="6"/>
      <c r="B8301" s="6"/>
      <c r="C8301" s="6"/>
    </row>
    <row r="8302" s="1" customFormat="1" spans="1:3">
      <c r="A8302" s="6"/>
      <c r="B8302" s="6"/>
      <c r="C8302" s="6"/>
    </row>
    <row r="8303" s="1" customFormat="1" spans="1:3">
      <c r="A8303" s="6"/>
      <c r="B8303" s="6"/>
      <c r="C8303" s="6"/>
    </row>
    <row r="8304" s="1" customFormat="1" spans="1:3">
      <c r="A8304" s="6"/>
      <c r="B8304" s="6"/>
      <c r="C8304" s="6"/>
    </row>
    <row r="8305" s="1" customFormat="1" spans="1:3">
      <c r="A8305" s="6"/>
      <c r="B8305" s="6"/>
      <c r="C8305" s="6"/>
    </row>
    <row r="8306" s="1" customFormat="1" spans="1:3">
      <c r="A8306" s="6"/>
      <c r="B8306" s="6"/>
      <c r="C8306" s="6"/>
    </row>
    <row r="8307" s="1" customFormat="1" spans="1:3">
      <c r="A8307" s="6"/>
      <c r="B8307" s="6"/>
      <c r="C8307" s="6"/>
    </row>
    <row r="8308" s="1" customFormat="1" spans="1:3">
      <c r="A8308" s="6"/>
      <c r="B8308" s="6"/>
      <c r="C8308" s="6"/>
    </row>
    <row r="8309" s="1" customFormat="1" spans="1:3">
      <c r="A8309" s="6"/>
      <c r="B8309" s="6"/>
      <c r="C8309" s="6"/>
    </row>
    <row r="8310" s="1" customFormat="1" spans="1:3">
      <c r="A8310" s="6"/>
      <c r="B8310" s="6"/>
      <c r="C8310" s="6"/>
    </row>
    <row r="8311" s="1" customFormat="1" spans="1:3">
      <c r="A8311" s="6"/>
      <c r="B8311" s="6"/>
      <c r="C8311" s="6"/>
    </row>
    <row r="8312" s="1" customFormat="1" spans="1:3">
      <c r="A8312" s="6"/>
      <c r="B8312" s="6"/>
      <c r="C8312" s="6"/>
    </row>
    <row r="8313" s="1" customFormat="1" spans="1:3">
      <c r="A8313" s="6"/>
      <c r="B8313" s="6"/>
      <c r="C8313" s="6"/>
    </row>
    <row r="8314" s="1" customFormat="1" spans="1:3">
      <c r="A8314" s="6"/>
      <c r="B8314" s="6"/>
      <c r="C8314" s="6"/>
    </row>
    <row r="8315" s="1" customFormat="1" spans="1:3">
      <c r="A8315" s="6"/>
      <c r="B8315" s="6"/>
      <c r="C8315" s="6"/>
    </row>
    <row r="8316" s="1" customFormat="1" spans="1:3">
      <c r="A8316" s="6"/>
      <c r="B8316" s="6"/>
      <c r="C8316" s="6"/>
    </row>
    <row r="8317" s="1" customFormat="1" spans="1:3">
      <c r="A8317" s="6"/>
      <c r="B8317" s="6"/>
      <c r="C8317" s="6"/>
    </row>
    <row r="8318" s="1" customFormat="1" spans="1:3">
      <c r="A8318" s="6"/>
      <c r="B8318" s="6"/>
      <c r="C8318" s="6"/>
    </row>
    <row r="8319" s="1" customFormat="1" spans="1:3">
      <c r="A8319" s="6"/>
      <c r="B8319" s="6"/>
      <c r="C8319" s="6"/>
    </row>
    <row r="8320" s="1" customFormat="1" spans="1:3">
      <c r="A8320" s="6"/>
      <c r="B8320" s="6"/>
      <c r="C8320" s="6"/>
    </row>
    <row r="8321" s="1" customFormat="1" spans="1:3">
      <c r="A8321" s="6"/>
      <c r="B8321" s="6"/>
      <c r="C8321" s="6"/>
    </row>
    <row r="8322" s="1" customFormat="1" spans="1:3">
      <c r="A8322" s="6"/>
      <c r="B8322" s="6"/>
      <c r="C8322" s="6"/>
    </row>
    <row r="8323" s="1" customFormat="1" spans="1:3">
      <c r="A8323" s="6"/>
      <c r="B8323" s="6"/>
      <c r="C8323" s="6"/>
    </row>
    <row r="8324" s="1" customFormat="1" spans="1:3">
      <c r="A8324" s="6"/>
      <c r="B8324" s="6"/>
      <c r="C8324" s="6"/>
    </row>
    <row r="8325" s="1" customFormat="1" spans="1:3">
      <c r="A8325" s="6"/>
      <c r="B8325" s="6"/>
      <c r="C8325" s="6"/>
    </row>
    <row r="8326" s="1" customFormat="1" spans="1:3">
      <c r="A8326" s="6"/>
      <c r="B8326" s="6"/>
      <c r="C8326" s="6"/>
    </row>
    <row r="8327" s="1" customFormat="1" spans="1:3">
      <c r="A8327" s="6"/>
      <c r="B8327" s="6"/>
      <c r="C8327" s="6"/>
    </row>
    <row r="8328" s="1" customFormat="1" spans="1:3">
      <c r="A8328" s="6"/>
      <c r="B8328" s="6"/>
      <c r="C8328" s="6"/>
    </row>
    <row r="8329" s="1" customFormat="1" spans="1:3">
      <c r="A8329" s="6"/>
      <c r="B8329" s="6"/>
      <c r="C8329" s="6"/>
    </row>
    <row r="8330" s="1" customFormat="1" spans="1:3">
      <c r="A8330" s="6"/>
      <c r="B8330" s="6"/>
      <c r="C8330" s="6"/>
    </row>
    <row r="8331" s="1" customFormat="1" spans="1:3">
      <c r="A8331" s="6"/>
      <c r="B8331" s="6"/>
      <c r="C8331" s="6"/>
    </row>
    <row r="8332" s="1" customFormat="1" spans="1:3">
      <c r="A8332" s="6"/>
      <c r="B8332" s="6"/>
      <c r="C8332" s="6"/>
    </row>
    <row r="8333" s="1" customFormat="1" spans="1:3">
      <c r="A8333" s="6"/>
      <c r="B8333" s="6"/>
      <c r="C8333" s="6"/>
    </row>
    <row r="8334" s="1" customFormat="1" spans="1:3">
      <c r="A8334" s="6"/>
      <c r="B8334" s="6"/>
      <c r="C8334" s="6"/>
    </row>
    <row r="8335" s="1" customFormat="1" spans="1:3">
      <c r="A8335" s="6"/>
      <c r="B8335" s="6"/>
      <c r="C8335" s="6"/>
    </row>
    <row r="8336" s="1" customFormat="1" spans="1:3">
      <c r="A8336" s="6"/>
      <c r="B8336" s="6"/>
      <c r="C8336" s="6"/>
    </row>
    <row r="8337" s="1" customFormat="1" spans="1:3">
      <c r="A8337" s="6"/>
      <c r="B8337" s="6"/>
      <c r="C8337" s="6"/>
    </row>
    <row r="8338" s="1" customFormat="1" spans="1:3">
      <c r="A8338" s="6"/>
      <c r="B8338" s="6"/>
      <c r="C8338" s="6"/>
    </row>
    <row r="8339" s="1" customFormat="1" spans="1:3">
      <c r="A8339" s="6"/>
      <c r="B8339" s="6"/>
      <c r="C8339" s="6"/>
    </row>
    <row r="8340" s="1" customFormat="1" spans="1:3">
      <c r="A8340" s="6"/>
      <c r="B8340" s="6"/>
      <c r="C8340" s="6"/>
    </row>
    <row r="8341" s="1" customFormat="1" spans="1:3">
      <c r="A8341" s="6"/>
      <c r="B8341" s="6"/>
      <c r="C8341" s="6"/>
    </row>
    <row r="8342" s="1" customFormat="1" spans="1:3">
      <c r="A8342" s="6"/>
      <c r="B8342" s="6"/>
      <c r="C8342" s="6"/>
    </row>
    <row r="8343" s="1" customFormat="1" spans="1:3">
      <c r="A8343" s="6"/>
      <c r="B8343" s="6"/>
      <c r="C8343" s="6"/>
    </row>
    <row r="8344" s="1" customFormat="1" spans="1:3">
      <c r="A8344" s="6"/>
      <c r="B8344" s="6"/>
      <c r="C8344" s="6"/>
    </row>
    <row r="8345" s="1" customFormat="1" spans="1:3">
      <c r="A8345" s="6"/>
      <c r="B8345" s="6"/>
      <c r="C8345" s="6"/>
    </row>
    <row r="8346" s="1" customFormat="1" spans="1:3">
      <c r="A8346" s="6"/>
      <c r="B8346" s="6"/>
      <c r="C8346" s="6"/>
    </row>
    <row r="8347" s="1" customFormat="1" spans="1:3">
      <c r="A8347" s="6"/>
      <c r="B8347" s="6"/>
      <c r="C8347" s="6"/>
    </row>
    <row r="8348" s="1" customFormat="1" spans="1:3">
      <c r="A8348" s="6"/>
      <c r="B8348" s="6"/>
      <c r="C8348" s="6"/>
    </row>
    <row r="8349" s="1" customFormat="1" spans="1:3">
      <c r="A8349" s="6"/>
      <c r="B8349" s="6"/>
      <c r="C8349" s="6"/>
    </row>
    <row r="8350" s="1" customFormat="1" spans="1:3">
      <c r="A8350" s="6"/>
      <c r="B8350" s="6"/>
      <c r="C8350" s="6"/>
    </row>
    <row r="8351" s="1" customFormat="1" spans="1:3">
      <c r="A8351" s="6"/>
      <c r="B8351" s="6"/>
      <c r="C8351" s="6"/>
    </row>
    <row r="8352" s="1" customFormat="1" spans="1:3">
      <c r="A8352" s="6"/>
      <c r="B8352" s="6"/>
      <c r="C8352" s="6"/>
    </row>
    <row r="8353" s="1" customFormat="1" spans="1:3">
      <c r="A8353" s="6"/>
      <c r="B8353" s="6"/>
      <c r="C8353" s="6"/>
    </row>
    <row r="8354" s="1" customFormat="1" spans="1:3">
      <c r="A8354" s="6"/>
      <c r="B8354" s="6"/>
      <c r="C8354" s="6"/>
    </row>
    <row r="8355" s="1" customFormat="1" spans="1:3">
      <c r="A8355" s="6"/>
      <c r="B8355" s="6"/>
      <c r="C8355" s="6"/>
    </row>
    <row r="8356" s="1" customFormat="1" spans="1:3">
      <c r="A8356" s="6"/>
      <c r="B8356" s="6"/>
      <c r="C8356" s="6"/>
    </row>
    <row r="8357" s="1" customFormat="1" spans="1:3">
      <c r="A8357" s="6"/>
      <c r="B8357" s="6"/>
      <c r="C8357" s="6"/>
    </row>
    <row r="8358" s="1" customFormat="1" spans="1:3">
      <c r="A8358" s="6"/>
      <c r="B8358" s="6"/>
      <c r="C8358" s="6"/>
    </row>
    <row r="8359" s="1" customFormat="1" spans="1:3">
      <c r="A8359" s="6"/>
      <c r="B8359" s="6"/>
      <c r="C8359" s="6"/>
    </row>
    <row r="8360" s="1" customFormat="1" spans="1:3">
      <c r="A8360" s="6"/>
      <c r="B8360" s="6"/>
      <c r="C8360" s="6"/>
    </row>
    <row r="8361" s="1" customFormat="1" spans="1:3">
      <c r="A8361" s="6"/>
      <c r="B8361" s="6"/>
      <c r="C8361" s="6"/>
    </row>
    <row r="8362" s="1" customFormat="1" spans="1:3">
      <c r="A8362" s="6"/>
      <c r="B8362" s="6"/>
      <c r="C8362" s="6"/>
    </row>
    <row r="8363" s="1" customFormat="1" spans="1:3">
      <c r="A8363" s="6"/>
      <c r="B8363" s="6"/>
      <c r="C8363" s="6"/>
    </row>
    <row r="8364" s="1" customFormat="1" spans="1:3">
      <c r="A8364" s="6"/>
      <c r="B8364" s="6"/>
      <c r="C8364" s="6"/>
    </row>
    <row r="8365" s="1" customFormat="1" spans="1:3">
      <c r="A8365" s="6"/>
      <c r="B8365" s="6"/>
      <c r="C8365" s="6"/>
    </row>
    <row r="8366" s="1" customFormat="1" spans="1:3">
      <c r="A8366" s="6"/>
      <c r="B8366" s="6"/>
      <c r="C8366" s="6"/>
    </row>
    <row r="8367" s="1" customFormat="1" spans="1:3">
      <c r="A8367" s="6"/>
      <c r="B8367" s="6"/>
      <c r="C8367" s="6"/>
    </row>
    <row r="8368" s="1" customFormat="1" spans="1:3">
      <c r="A8368" s="6"/>
      <c r="B8368" s="6"/>
      <c r="C8368" s="6"/>
    </row>
    <row r="8369" s="1" customFormat="1" spans="1:3">
      <c r="A8369" s="6"/>
      <c r="B8369" s="6"/>
      <c r="C8369" s="6"/>
    </row>
    <row r="8370" s="1" customFormat="1" spans="1:3">
      <c r="A8370" s="6"/>
      <c r="B8370" s="6"/>
      <c r="C8370" s="6"/>
    </row>
    <row r="8371" s="1" customFormat="1" spans="1:3">
      <c r="A8371" s="6"/>
      <c r="B8371" s="6"/>
      <c r="C8371" s="6"/>
    </row>
    <row r="8372" s="1" customFormat="1" spans="1:3">
      <c r="A8372" s="6"/>
      <c r="B8372" s="6"/>
      <c r="C8372" s="6"/>
    </row>
    <row r="8373" s="1" customFormat="1" spans="1:3">
      <c r="A8373" s="6"/>
      <c r="B8373" s="6"/>
      <c r="C8373" s="6"/>
    </row>
    <row r="8374" s="1" customFormat="1" spans="1:3">
      <c r="A8374" s="6"/>
      <c r="B8374" s="6"/>
      <c r="C8374" s="6"/>
    </row>
    <row r="8375" s="1" customFormat="1" spans="1:3">
      <c r="A8375" s="6"/>
      <c r="B8375" s="6"/>
      <c r="C8375" s="6"/>
    </row>
    <row r="8376" s="1" customFormat="1" spans="1:3">
      <c r="A8376" s="6"/>
      <c r="B8376" s="6"/>
      <c r="C8376" s="6"/>
    </row>
    <row r="8377" s="1" customFormat="1" spans="1:3">
      <c r="A8377" s="6"/>
      <c r="B8377" s="6"/>
      <c r="C8377" s="6"/>
    </row>
    <row r="8378" s="1" customFormat="1" spans="1:3">
      <c r="A8378" s="6"/>
      <c r="B8378" s="6"/>
      <c r="C8378" s="6"/>
    </row>
    <row r="8379" s="1" customFormat="1" spans="1:3">
      <c r="A8379" s="6"/>
      <c r="B8379" s="6"/>
      <c r="C8379" s="6"/>
    </row>
    <row r="8380" s="1" customFormat="1" spans="1:3">
      <c r="A8380" s="6"/>
      <c r="B8380" s="6"/>
      <c r="C8380" s="6"/>
    </row>
    <row r="8381" s="1" customFormat="1" spans="1:3">
      <c r="A8381" s="6"/>
      <c r="B8381" s="6"/>
      <c r="C8381" s="6"/>
    </row>
    <row r="8382" s="1" customFormat="1" spans="1:3">
      <c r="A8382" s="6"/>
      <c r="B8382" s="6"/>
      <c r="C8382" s="6"/>
    </row>
    <row r="8383" s="1" customFormat="1" spans="1:3">
      <c r="A8383" s="6"/>
      <c r="B8383" s="6"/>
      <c r="C8383" s="6"/>
    </row>
    <row r="8384" s="1" customFormat="1" spans="1:3">
      <c r="A8384" s="6"/>
      <c r="B8384" s="6"/>
      <c r="C8384" s="6"/>
    </row>
    <row r="8385" s="1" customFormat="1" spans="1:3">
      <c r="A8385" s="6"/>
      <c r="B8385" s="6"/>
      <c r="C8385" s="6"/>
    </row>
    <row r="8386" s="1" customFormat="1" spans="1:3">
      <c r="A8386" s="6"/>
      <c r="B8386" s="6"/>
      <c r="C8386" s="6"/>
    </row>
    <row r="8387" s="1" customFormat="1" spans="1:3">
      <c r="A8387" s="6"/>
      <c r="B8387" s="6"/>
      <c r="C8387" s="6"/>
    </row>
    <row r="8388" s="1" customFormat="1" spans="1:3">
      <c r="A8388" s="6"/>
      <c r="B8388" s="6"/>
      <c r="C8388" s="6"/>
    </row>
    <row r="8389" s="1" customFormat="1" spans="1:3">
      <c r="A8389" s="6"/>
      <c r="B8389" s="6"/>
      <c r="C8389" s="6"/>
    </row>
    <row r="8390" s="1" customFormat="1" spans="1:3">
      <c r="A8390" s="6"/>
      <c r="B8390" s="6"/>
      <c r="C8390" s="6"/>
    </row>
    <row r="8391" s="1" customFormat="1" spans="1:3">
      <c r="A8391" s="6"/>
      <c r="B8391" s="6"/>
      <c r="C8391" s="6"/>
    </row>
    <row r="8392" s="1" customFormat="1" spans="1:3">
      <c r="A8392" s="6"/>
      <c r="B8392" s="6"/>
      <c r="C8392" s="6"/>
    </row>
    <row r="8393" s="1" customFormat="1" spans="1:3">
      <c r="A8393" s="6"/>
      <c r="B8393" s="6"/>
      <c r="C8393" s="6"/>
    </row>
    <row r="8394" s="1" customFormat="1" spans="1:3">
      <c r="A8394" s="6"/>
      <c r="B8394" s="6"/>
      <c r="C8394" s="6"/>
    </row>
    <row r="8395" s="1" customFormat="1" spans="1:3">
      <c r="A8395" s="6"/>
      <c r="B8395" s="6"/>
      <c r="C8395" s="6"/>
    </row>
    <row r="8396" s="1" customFormat="1" spans="1:3">
      <c r="A8396" s="6"/>
      <c r="B8396" s="6"/>
      <c r="C8396" s="6"/>
    </row>
    <row r="8397" s="1" customFormat="1" spans="1:3">
      <c r="A8397" s="6"/>
      <c r="B8397" s="6"/>
      <c r="C8397" s="6"/>
    </row>
    <row r="8398" s="1" customFormat="1" spans="1:3">
      <c r="A8398" s="6"/>
      <c r="B8398" s="6"/>
      <c r="C8398" s="6"/>
    </row>
    <row r="8399" s="1" customFormat="1" spans="1:3">
      <c r="A8399" s="6"/>
      <c r="B8399" s="6"/>
      <c r="C8399" s="6"/>
    </row>
    <row r="8400" s="1" customFormat="1" spans="1:3">
      <c r="A8400" s="6"/>
      <c r="B8400" s="6"/>
      <c r="C8400" s="6"/>
    </row>
    <row r="8401" s="1" customFormat="1" spans="1:3">
      <c r="A8401" s="6"/>
      <c r="B8401" s="6"/>
      <c r="C8401" s="6"/>
    </row>
    <row r="8402" s="1" customFormat="1" spans="1:3">
      <c r="A8402" s="6"/>
      <c r="B8402" s="6"/>
      <c r="C8402" s="6"/>
    </row>
    <row r="8403" s="1" customFormat="1" spans="1:3">
      <c r="A8403" s="6"/>
      <c r="B8403" s="6"/>
      <c r="C8403" s="6"/>
    </row>
    <row r="8404" s="1" customFormat="1" spans="1:3">
      <c r="A8404" s="6"/>
      <c r="B8404" s="6"/>
      <c r="C8404" s="6"/>
    </row>
    <row r="8405" s="1" customFormat="1" spans="1:3">
      <c r="A8405" s="6"/>
      <c r="B8405" s="6"/>
      <c r="C8405" s="6"/>
    </row>
    <row r="8406" s="1" customFormat="1" spans="1:3">
      <c r="A8406" s="6"/>
      <c r="B8406" s="6"/>
      <c r="C8406" s="6"/>
    </row>
    <row r="8407" s="1" customFormat="1" spans="1:3">
      <c r="A8407" s="6"/>
      <c r="B8407" s="6"/>
      <c r="C8407" s="6"/>
    </row>
    <row r="8408" s="1" customFormat="1" spans="1:3">
      <c r="A8408" s="6"/>
      <c r="B8408" s="6"/>
      <c r="C8408" s="6"/>
    </row>
    <row r="8409" s="1" customFormat="1" spans="1:3">
      <c r="A8409" s="6"/>
      <c r="B8409" s="6"/>
      <c r="C8409" s="6"/>
    </row>
    <row r="8410" s="1" customFormat="1" spans="1:3">
      <c r="A8410" s="6"/>
      <c r="B8410" s="6"/>
      <c r="C8410" s="6"/>
    </row>
    <row r="8411" s="1" customFormat="1" spans="1:3">
      <c r="A8411" s="6"/>
      <c r="B8411" s="6"/>
      <c r="C8411" s="6"/>
    </row>
    <row r="8412" s="1" customFormat="1" spans="1:3">
      <c r="A8412" s="6"/>
      <c r="B8412" s="6"/>
      <c r="C8412" s="6"/>
    </row>
    <row r="8413" s="1" customFormat="1" spans="1:3">
      <c r="A8413" s="6"/>
      <c r="B8413" s="6"/>
      <c r="C8413" s="6"/>
    </row>
    <row r="8414" s="1" customFormat="1" spans="1:3">
      <c r="A8414" s="6"/>
      <c r="B8414" s="6"/>
      <c r="C8414" s="6"/>
    </row>
    <row r="8415" s="1" customFormat="1" spans="1:3">
      <c r="A8415" s="6"/>
      <c r="B8415" s="6"/>
      <c r="C8415" s="6"/>
    </row>
    <row r="8416" s="1" customFormat="1" spans="1:3">
      <c r="A8416" s="6"/>
      <c r="B8416" s="6"/>
      <c r="C8416" s="6"/>
    </row>
    <row r="8417" s="1" customFormat="1" spans="1:3">
      <c r="A8417" s="6"/>
      <c r="B8417" s="6"/>
      <c r="C8417" s="6"/>
    </row>
    <row r="8418" s="1" customFormat="1" spans="1:3">
      <c r="A8418" s="6"/>
      <c r="B8418" s="6"/>
      <c r="C8418" s="6"/>
    </row>
    <row r="8419" s="1" customFormat="1" spans="1:3">
      <c r="A8419" s="6"/>
      <c r="B8419" s="6"/>
      <c r="C8419" s="6"/>
    </row>
    <row r="8420" s="1" customFormat="1" spans="1:3">
      <c r="A8420" s="6"/>
      <c r="B8420" s="6"/>
      <c r="C8420" s="6"/>
    </row>
    <row r="8421" s="1" customFormat="1" spans="1:3">
      <c r="A8421" s="6"/>
      <c r="B8421" s="6"/>
      <c r="C8421" s="6"/>
    </row>
    <row r="8422" s="1" customFormat="1" spans="1:3">
      <c r="A8422" s="6"/>
      <c r="B8422" s="6"/>
      <c r="C8422" s="6"/>
    </row>
    <row r="8423" s="1" customFormat="1" spans="1:3">
      <c r="A8423" s="6"/>
      <c r="B8423" s="6"/>
      <c r="C8423" s="6"/>
    </row>
    <row r="8424" s="1" customFormat="1" spans="1:3">
      <c r="A8424" s="6"/>
      <c r="B8424" s="6"/>
      <c r="C8424" s="6"/>
    </row>
    <row r="8425" s="1" customFormat="1" spans="1:3">
      <c r="A8425" s="6"/>
      <c r="B8425" s="6"/>
      <c r="C8425" s="6"/>
    </row>
    <row r="8426" s="1" customFormat="1" spans="1:3">
      <c r="A8426" s="6"/>
      <c r="B8426" s="6"/>
      <c r="C8426" s="6"/>
    </row>
    <row r="8427" s="1" customFormat="1" spans="1:3">
      <c r="A8427" s="6"/>
      <c r="B8427" s="6"/>
      <c r="C8427" s="6"/>
    </row>
    <row r="8428" s="1" customFormat="1" spans="1:3">
      <c r="A8428" s="6"/>
      <c r="B8428" s="6"/>
      <c r="C8428" s="6"/>
    </row>
    <row r="8429" s="1" customFormat="1" spans="1:3">
      <c r="A8429" s="6"/>
      <c r="B8429" s="6"/>
      <c r="C8429" s="6"/>
    </row>
    <row r="8430" s="1" customFormat="1" spans="1:3">
      <c r="A8430" s="6"/>
      <c r="B8430" s="6"/>
      <c r="C8430" s="6"/>
    </row>
    <row r="8431" s="1" customFormat="1" spans="1:3">
      <c r="A8431" s="6"/>
      <c r="B8431" s="6"/>
      <c r="C8431" s="6"/>
    </row>
    <row r="8432" s="1" customFormat="1" spans="1:3">
      <c r="A8432" s="6"/>
      <c r="B8432" s="6"/>
      <c r="C8432" s="6"/>
    </row>
    <row r="8433" s="1" customFormat="1" spans="1:3">
      <c r="A8433" s="6"/>
      <c r="B8433" s="6"/>
      <c r="C8433" s="6"/>
    </row>
    <row r="8434" s="1" customFormat="1" spans="1:3">
      <c r="A8434" s="6"/>
      <c r="B8434" s="6"/>
      <c r="C8434" s="6"/>
    </row>
    <row r="8435" s="1" customFormat="1" spans="1:3">
      <c r="A8435" s="6"/>
      <c r="B8435" s="6"/>
      <c r="C8435" s="6"/>
    </row>
    <row r="8436" s="1" customFormat="1" spans="1:3">
      <c r="A8436" s="6"/>
      <c r="B8436" s="6"/>
      <c r="C8436" s="6"/>
    </row>
    <row r="8437" s="1" customFormat="1" spans="1:3">
      <c r="A8437" s="6"/>
      <c r="B8437" s="6"/>
      <c r="C8437" s="6"/>
    </row>
    <row r="8438" s="1" customFormat="1" spans="1:3">
      <c r="A8438" s="6"/>
      <c r="B8438" s="6"/>
      <c r="C8438" s="6"/>
    </row>
    <row r="8439" s="1" customFormat="1" spans="1:3">
      <c r="A8439" s="6"/>
      <c r="B8439" s="6"/>
      <c r="C8439" s="6"/>
    </row>
    <row r="8440" s="1" customFormat="1" spans="1:3">
      <c r="A8440" s="6"/>
      <c r="B8440" s="6"/>
      <c r="C8440" s="6"/>
    </row>
    <row r="8441" s="1" customFormat="1" spans="1:3">
      <c r="A8441" s="6"/>
      <c r="B8441" s="6"/>
      <c r="C8441" s="6"/>
    </row>
    <row r="8442" s="1" customFormat="1" spans="1:3">
      <c r="A8442" s="6"/>
      <c r="B8442" s="6"/>
      <c r="C8442" s="6"/>
    </row>
    <row r="8443" s="1" customFormat="1" spans="1:3">
      <c r="A8443" s="6"/>
      <c r="B8443" s="6"/>
      <c r="C8443" s="6"/>
    </row>
    <row r="8444" s="1" customFormat="1" spans="1:3">
      <c r="A8444" s="6"/>
      <c r="B8444" s="6"/>
      <c r="C8444" s="6"/>
    </row>
    <row r="8445" s="1" customFormat="1" spans="1:3">
      <c r="A8445" s="6"/>
      <c r="B8445" s="6"/>
      <c r="C8445" s="6"/>
    </row>
    <row r="8446" s="1" customFormat="1" spans="1:3">
      <c r="A8446" s="6"/>
      <c r="B8446" s="6"/>
      <c r="C8446" s="6"/>
    </row>
    <row r="8447" s="1" customFormat="1" spans="1:3">
      <c r="A8447" s="6"/>
      <c r="B8447" s="6"/>
      <c r="C8447" s="6"/>
    </row>
    <row r="8448" s="1" customFormat="1" spans="1:3">
      <c r="A8448" s="6"/>
      <c r="B8448" s="6"/>
      <c r="C8448" s="6"/>
    </row>
    <row r="8449" s="1" customFormat="1" spans="1:3">
      <c r="A8449" s="6"/>
      <c r="B8449" s="6"/>
      <c r="C8449" s="6"/>
    </row>
    <row r="8450" s="1" customFormat="1" spans="1:3">
      <c r="A8450" s="6"/>
      <c r="B8450" s="6"/>
      <c r="C8450" s="6"/>
    </row>
    <row r="8451" s="1" customFormat="1" spans="1:3">
      <c r="A8451" s="6"/>
      <c r="B8451" s="6"/>
      <c r="C8451" s="6"/>
    </row>
    <row r="8452" s="1" customFormat="1" spans="1:3">
      <c r="A8452" s="6"/>
      <c r="B8452" s="6"/>
      <c r="C8452" s="6"/>
    </row>
    <row r="8453" s="1" customFormat="1" spans="1:3">
      <c r="A8453" s="6"/>
      <c r="B8453" s="6"/>
      <c r="C8453" s="6"/>
    </row>
    <row r="8454" s="1" customFormat="1" spans="1:3">
      <c r="A8454" s="6"/>
      <c r="B8454" s="6"/>
      <c r="C8454" s="6"/>
    </row>
    <row r="8455" s="1" customFormat="1" spans="1:3">
      <c r="A8455" s="6"/>
      <c r="B8455" s="6"/>
      <c r="C8455" s="6"/>
    </row>
    <row r="8456" s="1" customFormat="1" spans="1:3">
      <c r="A8456" s="6"/>
      <c r="B8456" s="6"/>
      <c r="C8456" s="6"/>
    </row>
    <row r="8457" s="1" customFormat="1" spans="1:3">
      <c r="A8457" s="6"/>
      <c r="B8457" s="6"/>
      <c r="C8457" s="6"/>
    </row>
    <row r="8458" s="1" customFormat="1" spans="1:3">
      <c r="A8458" s="6"/>
      <c r="B8458" s="6"/>
      <c r="C8458" s="6"/>
    </row>
    <row r="8459" s="1" customFormat="1" spans="1:3">
      <c r="A8459" s="6"/>
      <c r="B8459" s="6"/>
      <c r="C8459" s="6"/>
    </row>
    <row r="8460" s="1" customFormat="1" spans="1:3">
      <c r="A8460" s="6"/>
      <c r="B8460" s="6"/>
      <c r="C8460" s="6"/>
    </row>
    <row r="8461" s="1" customFormat="1" spans="1:3">
      <c r="A8461" s="6"/>
      <c r="B8461" s="6"/>
      <c r="C8461" s="6"/>
    </row>
    <row r="8462" s="1" customFormat="1" spans="1:3">
      <c r="A8462" s="6"/>
      <c r="B8462" s="6"/>
      <c r="C8462" s="6"/>
    </row>
    <row r="8463" s="1" customFormat="1" spans="1:3">
      <c r="A8463" s="6"/>
      <c r="B8463" s="6"/>
      <c r="C8463" s="6"/>
    </row>
    <row r="8464" s="1" customFormat="1" spans="1:3">
      <c r="A8464" s="6"/>
      <c r="B8464" s="6"/>
      <c r="C8464" s="6"/>
    </row>
    <row r="8465" s="1" customFormat="1" spans="1:3">
      <c r="A8465" s="6"/>
      <c r="B8465" s="6"/>
      <c r="C8465" s="6"/>
    </row>
    <row r="8466" s="1" customFormat="1" spans="1:3">
      <c r="A8466" s="6"/>
      <c r="B8466" s="6"/>
      <c r="C8466" s="6"/>
    </row>
    <row r="8467" s="1" customFormat="1" spans="1:3">
      <c r="A8467" s="6"/>
      <c r="B8467" s="6"/>
      <c r="C8467" s="6"/>
    </row>
    <row r="8468" s="1" customFormat="1" spans="1:3">
      <c r="A8468" s="6"/>
      <c r="B8468" s="6"/>
      <c r="C8468" s="6"/>
    </row>
    <row r="8469" s="1" customFormat="1" spans="1:3">
      <c r="A8469" s="6"/>
      <c r="B8469" s="6"/>
      <c r="C8469" s="6"/>
    </row>
    <row r="8470" s="1" customFormat="1" spans="1:3">
      <c r="A8470" s="6"/>
      <c r="B8470" s="6"/>
      <c r="C8470" s="6"/>
    </row>
    <row r="8471" s="1" customFormat="1" spans="1:3">
      <c r="A8471" s="6"/>
      <c r="B8471" s="6"/>
      <c r="C8471" s="6"/>
    </row>
    <row r="8472" s="1" customFormat="1" spans="1:3">
      <c r="A8472" s="6"/>
      <c r="B8472" s="6"/>
      <c r="C8472" s="6"/>
    </row>
    <row r="8473" s="1" customFormat="1" spans="1:3">
      <c r="A8473" s="6"/>
      <c r="B8473" s="6"/>
      <c r="C8473" s="6"/>
    </row>
    <row r="8474" s="1" customFormat="1" spans="1:3">
      <c r="A8474" s="6"/>
      <c r="B8474" s="6"/>
      <c r="C8474" s="6"/>
    </row>
    <row r="8475" s="1" customFormat="1" spans="1:3">
      <c r="A8475" s="6"/>
      <c r="B8475" s="6"/>
      <c r="C8475" s="6"/>
    </row>
    <row r="8476" s="1" customFormat="1" spans="1:3">
      <c r="A8476" s="6"/>
      <c r="B8476" s="6"/>
      <c r="C8476" s="6"/>
    </row>
    <row r="8477" s="1" customFormat="1" spans="1:3">
      <c r="A8477" s="6"/>
      <c r="B8477" s="6"/>
      <c r="C8477" s="6"/>
    </row>
    <row r="8478" s="1" customFormat="1" spans="1:3">
      <c r="A8478" s="6"/>
      <c r="B8478" s="6"/>
      <c r="C8478" s="6"/>
    </row>
    <row r="8479" s="1" customFormat="1" spans="1:3">
      <c r="A8479" s="6"/>
      <c r="B8479" s="6"/>
      <c r="C8479" s="6"/>
    </row>
    <row r="8480" s="1" customFormat="1" spans="1:3">
      <c r="A8480" s="6"/>
      <c r="B8480" s="6"/>
      <c r="C8480" s="6"/>
    </row>
    <row r="8481" s="1" customFormat="1" spans="1:3">
      <c r="A8481" s="6"/>
      <c r="B8481" s="6"/>
      <c r="C8481" s="6"/>
    </row>
    <row r="8482" s="1" customFormat="1" spans="1:3">
      <c r="A8482" s="6"/>
      <c r="B8482" s="6"/>
      <c r="C8482" s="6"/>
    </row>
    <row r="8483" s="1" customFormat="1" spans="1:3">
      <c r="A8483" s="6"/>
      <c r="B8483" s="6"/>
      <c r="C8483" s="6"/>
    </row>
    <row r="8484" s="1" customFormat="1" spans="1:3">
      <c r="A8484" s="6"/>
      <c r="B8484" s="6"/>
      <c r="C8484" s="6"/>
    </row>
    <row r="8485" s="1" customFormat="1" spans="1:3">
      <c r="A8485" s="6"/>
      <c r="B8485" s="6"/>
      <c r="C8485" s="6"/>
    </row>
    <row r="8486" s="1" customFormat="1" spans="1:3">
      <c r="A8486" s="6"/>
      <c r="B8486" s="6"/>
      <c r="C8486" s="6"/>
    </row>
    <row r="8487" s="1" customFormat="1" spans="1:3">
      <c r="A8487" s="6"/>
      <c r="B8487" s="6"/>
      <c r="C8487" s="6"/>
    </row>
    <row r="8488" s="1" customFormat="1" spans="1:3">
      <c r="A8488" s="6"/>
      <c r="B8488" s="6"/>
      <c r="C8488" s="6"/>
    </row>
    <row r="8489" s="1" customFormat="1" spans="1:3">
      <c r="A8489" s="6"/>
      <c r="B8489" s="6"/>
      <c r="C8489" s="6"/>
    </row>
    <row r="8490" s="1" customFormat="1" spans="1:3">
      <c r="A8490" s="6"/>
      <c r="B8490" s="6"/>
      <c r="C8490" s="6"/>
    </row>
    <row r="8491" s="1" customFormat="1" spans="1:3">
      <c r="A8491" s="6"/>
      <c r="B8491" s="6"/>
      <c r="C8491" s="6"/>
    </row>
    <row r="8492" s="1" customFormat="1" spans="1:3">
      <c r="A8492" s="6"/>
      <c r="B8492" s="6"/>
      <c r="C8492" s="6"/>
    </row>
    <row r="8493" s="1" customFormat="1" spans="1:3">
      <c r="A8493" s="6"/>
      <c r="B8493" s="6"/>
      <c r="C8493" s="6"/>
    </row>
    <row r="8494" s="1" customFormat="1" spans="1:3">
      <c r="A8494" s="6"/>
      <c r="B8494" s="6"/>
      <c r="C8494" s="6"/>
    </row>
    <row r="8495" s="1" customFormat="1" spans="1:3">
      <c r="A8495" s="6"/>
      <c r="B8495" s="6"/>
      <c r="C8495" s="6"/>
    </row>
    <row r="8496" s="1" customFormat="1" spans="1:3">
      <c r="A8496" s="6"/>
      <c r="B8496" s="6"/>
      <c r="C8496" s="6"/>
    </row>
    <row r="8497" s="1" customFormat="1" spans="1:3">
      <c r="A8497" s="6"/>
      <c r="B8497" s="6"/>
      <c r="C8497" s="6"/>
    </row>
    <row r="8498" s="1" customFormat="1" spans="1:3">
      <c r="A8498" s="6"/>
      <c r="B8498" s="6"/>
      <c r="C8498" s="6"/>
    </row>
    <row r="8499" s="1" customFormat="1" spans="1:3">
      <c r="A8499" s="6"/>
      <c r="B8499" s="6"/>
      <c r="C8499" s="6"/>
    </row>
    <row r="8500" s="1" customFormat="1" spans="1:3">
      <c r="A8500" s="6"/>
      <c r="B8500" s="6"/>
      <c r="C8500" s="6"/>
    </row>
    <row r="8501" s="1" customFormat="1" spans="1:3">
      <c r="A8501" s="6"/>
      <c r="B8501" s="6"/>
      <c r="C8501" s="6"/>
    </row>
    <row r="8502" s="1" customFormat="1" spans="1:3">
      <c r="A8502" s="6"/>
      <c r="B8502" s="6"/>
      <c r="C8502" s="6"/>
    </row>
    <row r="8503" s="1" customFormat="1" spans="1:3">
      <c r="A8503" s="6"/>
      <c r="B8503" s="6"/>
      <c r="C8503" s="6"/>
    </row>
    <row r="8504" s="1" customFormat="1" spans="1:3">
      <c r="A8504" s="6"/>
      <c r="B8504" s="6"/>
      <c r="C8504" s="6"/>
    </row>
    <row r="8505" s="1" customFormat="1" spans="1:3">
      <c r="A8505" s="6"/>
      <c r="B8505" s="6"/>
      <c r="C8505" s="6"/>
    </row>
    <row r="8506" s="1" customFormat="1" spans="1:3">
      <c r="A8506" s="6"/>
      <c r="B8506" s="6"/>
      <c r="C8506" s="6"/>
    </row>
    <row r="8507" s="1" customFormat="1" spans="1:3">
      <c r="A8507" s="6"/>
      <c r="B8507" s="6"/>
      <c r="C8507" s="6"/>
    </row>
    <row r="8508" s="1" customFormat="1" spans="1:3">
      <c r="A8508" s="6"/>
      <c r="B8508" s="6"/>
      <c r="C8508" s="6"/>
    </row>
    <row r="8509" s="1" customFormat="1" spans="1:3">
      <c r="A8509" s="6"/>
      <c r="B8509" s="6"/>
      <c r="C8509" s="6"/>
    </row>
    <row r="8510" s="1" customFormat="1" spans="1:3">
      <c r="A8510" s="6"/>
      <c r="B8510" s="6"/>
      <c r="C8510" s="6"/>
    </row>
    <row r="8511" s="1" customFormat="1" spans="1:3">
      <c r="A8511" s="6"/>
      <c r="B8511" s="6"/>
      <c r="C8511" s="6"/>
    </row>
    <row r="8512" s="1" customFormat="1" spans="1:3">
      <c r="A8512" s="6"/>
      <c r="B8512" s="6"/>
      <c r="C8512" s="6"/>
    </row>
    <row r="8513" s="1" customFormat="1" spans="1:3">
      <c r="A8513" s="6"/>
      <c r="B8513" s="6"/>
      <c r="C8513" s="6"/>
    </row>
    <row r="8514" s="1" customFormat="1" spans="1:3">
      <c r="A8514" s="6"/>
      <c r="B8514" s="6"/>
      <c r="C8514" s="6"/>
    </row>
    <row r="8515" s="1" customFormat="1" spans="1:3">
      <c r="A8515" s="6"/>
      <c r="B8515" s="6"/>
      <c r="C8515" s="6"/>
    </row>
    <row r="8516" s="1" customFormat="1" spans="1:3">
      <c r="A8516" s="6"/>
      <c r="B8516" s="6"/>
      <c r="C8516" s="6"/>
    </row>
    <row r="8517" s="1" customFormat="1" spans="1:3">
      <c r="A8517" s="6"/>
      <c r="B8517" s="6"/>
      <c r="C8517" s="6"/>
    </row>
    <row r="8518" s="1" customFormat="1" spans="1:3">
      <c r="A8518" s="6"/>
      <c r="B8518" s="6"/>
      <c r="C8518" s="6"/>
    </row>
    <row r="8519" s="1" customFormat="1" spans="1:3">
      <c r="A8519" s="6"/>
      <c r="B8519" s="6"/>
      <c r="C8519" s="6"/>
    </row>
    <row r="8520" s="1" customFormat="1" spans="1:3">
      <c r="A8520" s="6"/>
      <c r="B8520" s="6"/>
      <c r="C8520" s="6"/>
    </row>
    <row r="8521" s="1" customFormat="1" spans="1:3">
      <c r="A8521" s="6"/>
      <c r="B8521" s="6"/>
      <c r="C8521" s="6"/>
    </row>
    <row r="8522" s="1" customFormat="1" spans="1:3">
      <c r="A8522" s="6"/>
      <c r="B8522" s="6"/>
      <c r="C8522" s="6"/>
    </row>
    <row r="8523" s="1" customFormat="1" spans="1:3">
      <c r="A8523" s="6"/>
      <c r="B8523" s="6"/>
      <c r="C8523" s="6"/>
    </row>
    <row r="8524" s="1" customFormat="1" spans="1:3">
      <c r="A8524" s="6"/>
      <c r="B8524" s="6"/>
      <c r="C8524" s="6"/>
    </row>
    <row r="8525" s="1" customFormat="1" spans="1:3">
      <c r="A8525" s="6"/>
      <c r="B8525" s="6"/>
      <c r="C8525" s="6"/>
    </row>
    <row r="8526" s="1" customFormat="1" spans="1:3">
      <c r="A8526" s="6"/>
      <c r="B8526" s="6"/>
      <c r="C8526" s="6"/>
    </row>
    <row r="8527" s="1" customFormat="1" spans="1:3">
      <c r="A8527" s="6"/>
      <c r="B8527" s="6"/>
      <c r="C8527" s="6"/>
    </row>
    <row r="8528" s="1" customFormat="1" spans="1:3">
      <c r="A8528" s="6"/>
      <c r="B8528" s="6"/>
      <c r="C8528" s="6"/>
    </row>
    <row r="8529" s="1" customFormat="1" spans="1:3">
      <c r="A8529" s="6"/>
      <c r="B8529" s="6"/>
      <c r="C8529" s="6"/>
    </row>
    <row r="8530" s="1" customFormat="1" spans="1:3">
      <c r="A8530" s="6"/>
      <c r="B8530" s="6"/>
      <c r="C8530" s="6"/>
    </row>
    <row r="8531" s="1" customFormat="1" spans="1:3">
      <c r="A8531" s="6"/>
      <c r="B8531" s="6"/>
      <c r="C8531" s="6"/>
    </row>
    <row r="8532" s="1" customFormat="1" spans="1:3">
      <c r="A8532" s="6"/>
      <c r="B8532" s="6"/>
      <c r="C8532" s="6"/>
    </row>
    <row r="8533" s="1" customFormat="1" spans="1:3">
      <c r="A8533" s="6"/>
      <c r="B8533" s="6"/>
      <c r="C8533" s="6"/>
    </row>
    <row r="8534" s="1" customFormat="1" spans="1:3">
      <c r="A8534" s="6"/>
      <c r="B8534" s="6"/>
      <c r="C8534" s="6"/>
    </row>
    <row r="8535" s="1" customFormat="1" spans="1:3">
      <c r="A8535" s="6"/>
      <c r="B8535" s="6"/>
      <c r="C8535" s="6"/>
    </row>
    <row r="8536" s="1" customFormat="1" spans="1:3">
      <c r="A8536" s="6"/>
      <c r="B8536" s="6"/>
      <c r="C8536" s="6"/>
    </row>
    <row r="8537" s="1" customFormat="1" spans="1:3">
      <c r="A8537" s="6"/>
      <c r="B8537" s="6"/>
      <c r="C8537" s="6"/>
    </row>
    <row r="8538" s="1" customFormat="1" spans="1:3">
      <c r="A8538" s="6"/>
      <c r="B8538" s="6"/>
      <c r="C8538" s="6"/>
    </row>
    <row r="8539" s="1" customFormat="1" spans="1:3">
      <c r="A8539" s="6"/>
      <c r="B8539" s="6"/>
      <c r="C8539" s="6"/>
    </row>
    <row r="8540" s="1" customFormat="1" spans="1:3">
      <c r="A8540" s="6"/>
      <c r="B8540" s="6"/>
      <c r="C8540" s="6"/>
    </row>
    <row r="8541" s="1" customFormat="1" spans="1:3">
      <c r="A8541" s="6"/>
      <c r="B8541" s="6"/>
      <c r="C8541" s="6"/>
    </row>
    <row r="8542" s="1" customFormat="1" spans="1:3">
      <c r="A8542" s="6"/>
      <c r="B8542" s="6"/>
      <c r="C8542" s="6"/>
    </row>
    <row r="8543" s="1" customFormat="1" spans="1:3">
      <c r="A8543" s="6"/>
      <c r="B8543" s="6"/>
      <c r="C8543" s="6"/>
    </row>
    <row r="8544" s="1" customFormat="1" spans="1:3">
      <c r="A8544" s="6"/>
      <c r="B8544" s="6"/>
      <c r="C8544" s="6"/>
    </row>
    <row r="8545" s="1" customFormat="1" spans="1:3">
      <c r="A8545" s="6"/>
      <c r="B8545" s="6"/>
      <c r="C8545" s="6"/>
    </row>
    <row r="8546" s="1" customFormat="1" spans="1:3">
      <c r="A8546" s="6"/>
      <c r="B8546" s="6"/>
      <c r="C8546" s="6"/>
    </row>
    <row r="8547" s="1" customFormat="1" spans="1:3">
      <c r="A8547" s="6"/>
      <c r="B8547" s="6"/>
      <c r="C8547" s="6"/>
    </row>
    <row r="8548" s="1" customFormat="1" spans="1:3">
      <c r="A8548" s="6"/>
      <c r="B8548" s="6"/>
      <c r="C8548" s="6"/>
    </row>
    <row r="8549" s="1" customFormat="1" spans="1:3">
      <c r="A8549" s="6"/>
      <c r="B8549" s="6"/>
      <c r="C8549" s="6"/>
    </row>
    <row r="8550" s="1" customFormat="1" spans="1:3">
      <c r="A8550" s="6"/>
      <c r="B8550" s="6"/>
      <c r="C8550" s="6"/>
    </row>
    <row r="8551" s="1" customFormat="1" spans="1:3">
      <c r="A8551" s="6"/>
      <c r="B8551" s="6"/>
      <c r="C8551" s="6"/>
    </row>
    <row r="8552" s="1" customFormat="1" spans="1:3">
      <c r="A8552" s="6"/>
      <c r="B8552" s="6"/>
      <c r="C8552" s="6"/>
    </row>
    <row r="8553" s="1" customFormat="1" spans="1:3">
      <c r="A8553" s="6"/>
      <c r="B8553" s="6"/>
      <c r="C8553" s="6"/>
    </row>
    <row r="8554" s="1" customFormat="1" spans="1:3">
      <c r="A8554" s="6"/>
      <c r="B8554" s="6"/>
      <c r="C8554" s="6"/>
    </row>
    <row r="8555" s="1" customFormat="1" spans="1:3">
      <c r="A8555" s="6"/>
      <c r="B8555" s="6"/>
      <c r="C8555" s="6"/>
    </row>
    <row r="8556" s="1" customFormat="1" spans="1:3">
      <c r="A8556" s="6"/>
      <c r="B8556" s="6"/>
      <c r="C8556" s="6"/>
    </row>
    <row r="8557" s="1" customFormat="1" spans="1:3">
      <c r="A8557" s="6"/>
      <c r="B8557" s="6"/>
      <c r="C8557" s="6"/>
    </row>
    <row r="8558" s="1" customFormat="1" spans="1:3">
      <c r="A8558" s="6"/>
      <c r="B8558" s="6"/>
      <c r="C8558" s="6"/>
    </row>
    <row r="8559" s="1" customFormat="1" spans="1:3">
      <c r="A8559" s="6"/>
      <c r="B8559" s="6"/>
      <c r="C8559" s="6"/>
    </row>
    <row r="8560" s="1" customFormat="1" spans="1:3">
      <c r="A8560" s="6"/>
      <c r="B8560" s="6"/>
      <c r="C8560" s="6"/>
    </row>
    <row r="8561" s="1" customFormat="1" spans="1:3">
      <c r="A8561" s="6"/>
      <c r="B8561" s="6"/>
      <c r="C8561" s="6"/>
    </row>
    <row r="8562" s="1" customFormat="1" spans="1:3">
      <c r="A8562" s="6"/>
      <c r="B8562" s="6"/>
      <c r="C8562" s="6"/>
    </row>
    <row r="8563" s="1" customFormat="1" spans="1:3">
      <c r="A8563" s="6"/>
      <c r="B8563" s="6"/>
      <c r="C8563" s="6"/>
    </row>
    <row r="8564" s="1" customFormat="1" spans="1:3">
      <c r="A8564" s="6"/>
      <c r="B8564" s="6"/>
      <c r="C8564" s="6"/>
    </row>
    <row r="8565" s="1" customFormat="1" spans="1:3">
      <c r="A8565" s="6"/>
      <c r="B8565" s="6"/>
      <c r="C8565" s="6"/>
    </row>
    <row r="8566" s="1" customFormat="1" spans="1:3">
      <c r="A8566" s="6"/>
      <c r="B8566" s="6"/>
      <c r="C8566" s="6"/>
    </row>
    <row r="8567" s="1" customFormat="1" spans="1:3">
      <c r="A8567" s="6"/>
      <c r="B8567" s="6"/>
      <c r="C8567" s="6"/>
    </row>
    <row r="8568" s="1" customFormat="1" spans="1:3">
      <c r="A8568" s="6"/>
      <c r="B8568" s="6"/>
      <c r="C8568" s="6"/>
    </row>
    <row r="8569" s="1" customFormat="1" spans="1:3">
      <c r="A8569" s="6"/>
      <c r="B8569" s="6"/>
      <c r="C8569" s="6"/>
    </row>
    <row r="8570" s="1" customFormat="1" spans="1:3">
      <c r="A8570" s="6"/>
      <c r="B8570" s="6"/>
      <c r="C8570" s="6"/>
    </row>
    <row r="8571" s="1" customFormat="1" spans="1:3">
      <c r="A8571" s="6"/>
      <c r="B8571" s="6"/>
      <c r="C8571" s="6"/>
    </row>
    <row r="8572" s="1" customFormat="1" spans="1:3">
      <c r="A8572" s="6"/>
      <c r="B8572" s="6"/>
      <c r="C8572" s="6"/>
    </row>
    <row r="8573" s="1" customFormat="1" spans="1:3">
      <c r="A8573" s="6"/>
      <c r="B8573" s="6"/>
      <c r="C8573" s="6"/>
    </row>
    <row r="8574" s="1" customFormat="1" spans="1:3">
      <c r="A8574" s="6"/>
      <c r="B8574" s="6"/>
      <c r="C8574" s="6"/>
    </row>
    <row r="8575" s="1" customFormat="1" spans="1:3">
      <c r="A8575" s="6"/>
      <c r="B8575" s="6"/>
      <c r="C8575" s="6"/>
    </row>
    <row r="8576" s="1" customFormat="1" spans="1:3">
      <c r="A8576" s="6"/>
      <c r="B8576" s="6"/>
      <c r="C8576" s="6"/>
    </row>
    <row r="8577" s="1" customFormat="1" spans="1:3">
      <c r="A8577" s="6"/>
      <c r="B8577" s="6"/>
      <c r="C8577" s="6"/>
    </row>
    <row r="8578" s="1" customFormat="1" spans="1:3">
      <c r="A8578" s="6"/>
      <c r="B8578" s="6"/>
      <c r="C8578" s="6"/>
    </row>
    <row r="8579" s="1" customFormat="1" spans="1:3">
      <c r="A8579" s="6"/>
      <c r="B8579" s="6"/>
      <c r="C8579" s="6"/>
    </row>
    <row r="8580" s="1" customFormat="1" spans="1:3">
      <c r="A8580" s="6"/>
      <c r="B8580" s="6"/>
      <c r="C8580" s="6"/>
    </row>
    <row r="8581" s="1" customFormat="1" spans="1:3">
      <c r="A8581" s="6"/>
      <c r="B8581" s="6"/>
      <c r="C8581" s="6"/>
    </row>
    <row r="8582" s="1" customFormat="1" spans="1:3">
      <c r="A8582" s="6"/>
      <c r="B8582" s="6"/>
      <c r="C8582" s="6"/>
    </row>
    <row r="8583" s="1" customFormat="1" spans="1:3">
      <c r="A8583" s="6"/>
      <c r="B8583" s="6"/>
      <c r="C8583" s="6"/>
    </row>
    <row r="8584" s="1" customFormat="1" spans="1:3">
      <c r="A8584" s="6"/>
      <c r="B8584" s="6"/>
      <c r="C8584" s="6"/>
    </row>
    <row r="8585" s="1" customFormat="1" spans="1:3">
      <c r="A8585" s="6"/>
      <c r="B8585" s="6"/>
      <c r="C8585" s="6"/>
    </row>
    <row r="8586" s="1" customFormat="1" spans="1:3">
      <c r="A8586" s="6"/>
      <c r="B8586" s="6"/>
      <c r="C8586" s="6"/>
    </row>
    <row r="8587" s="1" customFormat="1" spans="1:3">
      <c r="A8587" s="6"/>
      <c r="B8587" s="6"/>
      <c r="C8587" s="6"/>
    </row>
    <row r="8588" s="1" customFormat="1" spans="1:3">
      <c r="A8588" s="6"/>
      <c r="B8588" s="6"/>
      <c r="C8588" s="6"/>
    </row>
    <row r="8589" s="1" customFormat="1" spans="1:3">
      <c r="A8589" s="6"/>
      <c r="B8589" s="6"/>
      <c r="C8589" s="6"/>
    </row>
    <row r="8590" s="1" customFormat="1" spans="1:3">
      <c r="A8590" s="6"/>
      <c r="B8590" s="6"/>
      <c r="C8590" s="6"/>
    </row>
    <row r="8591" s="1" customFormat="1" spans="1:3">
      <c r="A8591" s="6"/>
      <c r="B8591" s="6"/>
      <c r="C8591" s="6"/>
    </row>
    <row r="8592" s="1" customFormat="1" spans="1:3">
      <c r="A8592" s="6"/>
      <c r="B8592" s="6"/>
      <c r="C8592" s="6"/>
    </row>
    <row r="8593" s="1" customFormat="1" spans="1:3">
      <c r="A8593" s="6"/>
      <c r="B8593" s="6"/>
      <c r="C8593" s="6"/>
    </row>
    <row r="8594" s="1" customFormat="1" spans="1:3">
      <c r="A8594" s="6"/>
      <c r="B8594" s="6"/>
      <c r="C8594" s="6"/>
    </row>
    <row r="8595" s="1" customFormat="1" spans="1:3">
      <c r="A8595" s="6"/>
      <c r="B8595" s="6"/>
      <c r="C8595" s="6"/>
    </row>
    <row r="8596" s="1" customFormat="1" spans="1:3">
      <c r="A8596" s="6"/>
      <c r="B8596" s="6"/>
      <c r="C8596" s="6"/>
    </row>
    <row r="8597" s="1" customFormat="1" spans="1:3">
      <c r="A8597" s="6"/>
      <c r="B8597" s="6"/>
      <c r="C8597" s="6"/>
    </row>
    <row r="8598" s="1" customFormat="1" spans="1:3">
      <c r="A8598" s="6"/>
      <c r="B8598" s="6"/>
      <c r="C8598" s="6"/>
    </row>
    <row r="8599" s="1" customFormat="1" spans="1:3">
      <c r="A8599" s="6"/>
      <c r="B8599" s="6"/>
      <c r="C8599" s="6"/>
    </row>
    <row r="8600" s="1" customFormat="1" spans="1:3">
      <c r="A8600" s="6"/>
      <c r="B8600" s="6"/>
      <c r="C8600" s="6"/>
    </row>
    <row r="8601" s="1" customFormat="1" spans="1:3">
      <c r="A8601" s="6"/>
      <c r="B8601" s="6"/>
      <c r="C8601" s="6"/>
    </row>
    <row r="8602" s="1" customFormat="1" spans="1:3">
      <c r="A8602" s="6"/>
      <c r="B8602" s="6"/>
      <c r="C8602" s="6"/>
    </row>
    <row r="8603" s="1" customFormat="1" spans="1:3">
      <c r="A8603" s="6"/>
      <c r="B8603" s="6"/>
      <c r="C8603" s="6"/>
    </row>
    <row r="8604" s="1" customFormat="1" spans="1:3">
      <c r="A8604" s="6"/>
      <c r="B8604" s="6"/>
      <c r="C8604" s="6"/>
    </row>
    <row r="8605" s="1" customFormat="1" spans="1:3">
      <c r="A8605" s="6"/>
      <c r="B8605" s="6"/>
      <c r="C8605" s="6"/>
    </row>
    <row r="8606" s="1" customFormat="1" spans="1:3">
      <c r="A8606" s="6"/>
      <c r="B8606" s="6"/>
      <c r="C8606" s="6"/>
    </row>
    <row r="8607" s="1" customFormat="1" spans="1:3">
      <c r="A8607" s="6"/>
      <c r="B8607" s="6"/>
      <c r="C8607" s="6"/>
    </row>
    <row r="8608" s="1" customFormat="1" spans="1:3">
      <c r="A8608" s="6"/>
      <c r="B8608" s="6"/>
      <c r="C8608" s="6"/>
    </row>
    <row r="8609" s="1" customFormat="1" spans="1:3">
      <c r="A8609" s="6"/>
      <c r="B8609" s="6"/>
      <c r="C8609" s="6"/>
    </row>
    <row r="8610" s="1" customFormat="1" spans="1:3">
      <c r="A8610" s="6"/>
      <c r="B8610" s="6"/>
      <c r="C8610" s="6"/>
    </row>
    <row r="8611" s="1" customFormat="1" spans="1:3">
      <c r="A8611" s="6"/>
      <c r="B8611" s="6"/>
      <c r="C8611" s="6"/>
    </row>
    <row r="8612" s="1" customFormat="1" spans="1:3">
      <c r="A8612" s="6"/>
      <c r="B8612" s="6"/>
      <c r="C8612" s="6"/>
    </row>
    <row r="8613" s="1" customFormat="1" spans="1:3">
      <c r="A8613" s="6"/>
      <c r="B8613" s="6"/>
      <c r="C8613" s="6"/>
    </row>
    <row r="8614" s="1" customFormat="1" spans="1:3">
      <c r="A8614" s="6"/>
      <c r="B8614" s="6"/>
      <c r="C8614" s="6"/>
    </row>
    <row r="8615" s="1" customFormat="1" spans="1:3">
      <c r="A8615" s="6"/>
      <c r="B8615" s="6"/>
      <c r="C8615" s="6"/>
    </row>
    <row r="8616" s="1" customFormat="1" spans="1:3">
      <c r="A8616" s="6"/>
      <c r="B8616" s="6"/>
      <c r="C8616" s="6"/>
    </row>
    <row r="8617" s="1" customFormat="1" spans="1:3">
      <c r="A8617" s="6"/>
      <c r="B8617" s="6"/>
      <c r="C8617" s="6"/>
    </row>
    <row r="8618" s="1" customFormat="1" spans="1:3">
      <c r="A8618" s="6"/>
      <c r="B8618" s="6"/>
      <c r="C8618" s="6"/>
    </row>
    <row r="8619" s="1" customFormat="1" spans="1:3">
      <c r="A8619" s="6"/>
      <c r="B8619" s="6"/>
      <c r="C8619" s="6"/>
    </row>
    <row r="8620" s="1" customFormat="1" spans="1:3">
      <c r="A8620" s="6"/>
      <c r="B8620" s="6"/>
      <c r="C8620" s="6"/>
    </row>
    <row r="8621" s="1" customFormat="1" spans="1:3">
      <c r="A8621" s="6"/>
      <c r="B8621" s="6"/>
      <c r="C8621" s="6"/>
    </row>
    <row r="8622" s="1" customFormat="1" spans="1:3">
      <c r="A8622" s="6"/>
      <c r="B8622" s="6"/>
      <c r="C8622" s="6"/>
    </row>
    <row r="8623" s="1" customFormat="1" spans="1:3">
      <c r="A8623" s="6"/>
      <c r="B8623" s="6"/>
      <c r="C8623" s="6"/>
    </row>
    <row r="8624" s="1" customFormat="1" spans="1:3">
      <c r="A8624" s="6"/>
      <c r="B8624" s="6"/>
      <c r="C8624" s="6"/>
    </row>
    <row r="8625" s="1" customFormat="1" spans="1:3">
      <c r="A8625" s="6"/>
      <c r="B8625" s="6"/>
      <c r="C8625" s="6"/>
    </row>
    <row r="8626" s="1" customFormat="1" spans="1:3">
      <c r="A8626" s="6"/>
      <c r="B8626" s="6"/>
      <c r="C8626" s="6"/>
    </row>
    <row r="8627" s="1" customFormat="1" spans="1:3">
      <c r="A8627" s="6"/>
      <c r="B8627" s="6"/>
      <c r="C8627" s="6"/>
    </row>
    <row r="8628" s="1" customFormat="1" spans="1:3">
      <c r="A8628" s="6"/>
      <c r="B8628" s="6"/>
      <c r="C8628" s="6"/>
    </row>
    <row r="8629" s="1" customFormat="1" spans="1:3">
      <c r="A8629" s="6"/>
      <c r="B8629" s="6"/>
      <c r="C8629" s="6"/>
    </row>
    <row r="8630" s="1" customFormat="1" spans="1:3">
      <c r="A8630" s="6"/>
      <c r="B8630" s="6"/>
      <c r="C8630" s="6"/>
    </row>
    <row r="8631" s="1" customFormat="1" spans="1:3">
      <c r="A8631" s="6"/>
      <c r="B8631" s="6"/>
      <c r="C8631" s="6"/>
    </row>
    <row r="8632" s="1" customFormat="1" spans="1:3">
      <c r="A8632" s="6"/>
      <c r="B8632" s="6"/>
      <c r="C8632" s="6"/>
    </row>
    <row r="8633" s="1" customFormat="1" spans="1:3">
      <c r="A8633" s="6"/>
      <c r="B8633" s="6"/>
      <c r="C8633" s="6"/>
    </row>
    <row r="8634" s="1" customFormat="1" spans="1:3">
      <c r="A8634" s="6"/>
      <c r="B8634" s="6"/>
      <c r="C8634" s="6"/>
    </row>
    <row r="8635" s="1" customFormat="1" spans="1:3">
      <c r="A8635" s="6"/>
      <c r="B8635" s="6"/>
      <c r="C8635" s="6"/>
    </row>
    <row r="8636" s="1" customFormat="1" spans="1:3">
      <c r="A8636" s="6"/>
      <c r="B8636" s="6"/>
      <c r="C8636" s="6"/>
    </row>
    <row r="8637" s="1" customFormat="1" spans="1:3">
      <c r="A8637" s="6"/>
      <c r="B8637" s="6"/>
      <c r="C8637" s="6"/>
    </row>
    <row r="8638" s="1" customFormat="1" spans="1:3">
      <c r="A8638" s="6"/>
      <c r="B8638" s="6"/>
      <c r="C8638" s="6"/>
    </row>
    <row r="8639" s="1" customFormat="1" spans="1:3">
      <c r="A8639" s="6"/>
      <c r="B8639" s="6"/>
      <c r="C8639" s="6"/>
    </row>
    <row r="8640" s="1" customFormat="1" spans="1:3">
      <c r="A8640" s="6"/>
      <c r="B8640" s="6"/>
      <c r="C8640" s="6"/>
    </row>
    <row r="8641" s="1" customFormat="1" spans="1:3">
      <c r="A8641" s="6"/>
      <c r="B8641" s="6"/>
      <c r="C8641" s="6"/>
    </row>
    <row r="8642" s="1" customFormat="1" spans="1:3">
      <c r="A8642" s="6"/>
      <c r="B8642" s="6"/>
      <c r="C8642" s="6"/>
    </row>
    <row r="8643" s="1" customFormat="1" spans="1:3">
      <c r="A8643" s="6"/>
      <c r="B8643" s="6"/>
      <c r="C8643" s="6"/>
    </row>
    <row r="8644" s="1" customFormat="1" spans="1:3">
      <c r="A8644" s="6"/>
      <c r="B8644" s="6"/>
      <c r="C8644" s="6"/>
    </row>
    <row r="8645" s="1" customFormat="1" spans="1:3">
      <c r="A8645" s="6"/>
      <c r="B8645" s="6"/>
      <c r="C8645" s="6"/>
    </row>
    <row r="8646" s="1" customFormat="1" spans="1:3">
      <c r="A8646" s="6"/>
      <c r="B8646" s="6"/>
      <c r="C8646" s="6"/>
    </row>
    <row r="8647" s="1" customFormat="1" spans="1:3">
      <c r="A8647" s="6"/>
      <c r="B8647" s="6"/>
      <c r="C8647" s="6"/>
    </row>
    <row r="8648" s="1" customFormat="1" spans="1:3">
      <c r="A8648" s="6"/>
      <c r="B8648" s="6"/>
      <c r="C8648" s="6"/>
    </row>
    <row r="8649" s="1" customFormat="1" spans="1:3">
      <c r="A8649" s="6"/>
      <c r="B8649" s="6"/>
      <c r="C8649" s="6"/>
    </row>
    <row r="8650" s="1" customFormat="1" spans="1:3">
      <c r="A8650" s="6"/>
      <c r="B8650" s="6"/>
      <c r="C8650" s="6"/>
    </row>
    <row r="8651" s="1" customFormat="1" spans="1:3">
      <c r="A8651" s="6"/>
      <c r="B8651" s="6"/>
      <c r="C8651" s="6"/>
    </row>
    <row r="8652" s="1" customFormat="1" spans="1:3">
      <c r="A8652" s="6"/>
      <c r="B8652" s="6"/>
      <c r="C8652" s="6"/>
    </row>
    <row r="8653" s="1" customFormat="1" spans="1:3">
      <c r="A8653" s="6"/>
      <c r="B8653" s="6"/>
      <c r="C8653" s="6"/>
    </row>
    <row r="8654" s="1" customFormat="1" spans="1:3">
      <c r="A8654" s="6"/>
      <c r="B8654" s="6"/>
      <c r="C8654" s="6"/>
    </row>
    <row r="8655" s="1" customFormat="1" spans="1:3">
      <c r="A8655" s="6"/>
      <c r="B8655" s="6"/>
      <c r="C8655" s="6"/>
    </row>
    <row r="8656" s="1" customFormat="1" spans="1:3">
      <c r="A8656" s="6"/>
      <c r="B8656" s="6"/>
      <c r="C8656" s="6"/>
    </row>
    <row r="8657" s="1" customFormat="1" spans="1:3">
      <c r="A8657" s="6"/>
      <c r="B8657" s="6"/>
      <c r="C8657" s="6"/>
    </row>
    <row r="8658" s="1" customFormat="1" spans="1:3">
      <c r="A8658" s="6"/>
      <c r="B8658" s="6"/>
      <c r="C8658" s="6"/>
    </row>
    <row r="8659" s="1" customFormat="1" spans="1:3">
      <c r="A8659" s="6"/>
      <c r="B8659" s="6"/>
      <c r="C8659" s="6"/>
    </row>
    <row r="8660" s="1" customFormat="1" spans="1:3">
      <c r="A8660" s="6"/>
      <c r="B8660" s="6"/>
      <c r="C8660" s="6"/>
    </row>
    <row r="8661" s="1" customFormat="1" spans="1:3">
      <c r="A8661" s="6"/>
      <c r="B8661" s="6"/>
      <c r="C8661" s="6"/>
    </row>
    <row r="8662" s="1" customFormat="1" spans="1:3">
      <c r="A8662" s="6"/>
      <c r="B8662" s="6"/>
      <c r="C8662" s="6"/>
    </row>
    <row r="8663" s="1" customFormat="1" spans="1:3">
      <c r="A8663" s="6"/>
      <c r="B8663" s="6"/>
      <c r="C8663" s="6"/>
    </row>
    <row r="8664" s="1" customFormat="1" spans="1:3">
      <c r="A8664" s="6"/>
      <c r="B8664" s="6"/>
      <c r="C8664" s="6"/>
    </row>
    <row r="8665" s="1" customFormat="1" spans="1:3">
      <c r="A8665" s="6"/>
      <c r="B8665" s="6"/>
      <c r="C8665" s="6"/>
    </row>
    <row r="8666" s="1" customFormat="1" spans="1:3">
      <c r="A8666" s="6"/>
      <c r="B8666" s="6"/>
      <c r="C8666" s="6"/>
    </row>
    <row r="8667" s="1" customFormat="1" spans="1:3">
      <c r="A8667" s="6"/>
      <c r="B8667" s="6"/>
      <c r="C8667" s="6"/>
    </row>
    <row r="8668" s="1" customFormat="1" spans="1:3">
      <c r="A8668" s="6"/>
      <c r="B8668" s="6"/>
      <c r="C8668" s="6"/>
    </row>
    <row r="8669" s="1" customFormat="1" spans="1:3">
      <c r="A8669" s="6"/>
      <c r="B8669" s="6"/>
      <c r="C8669" s="6"/>
    </row>
    <row r="8670" s="1" customFormat="1" spans="1:3">
      <c r="A8670" s="6"/>
      <c r="B8670" s="6"/>
      <c r="C8670" s="6"/>
    </row>
    <row r="8671" s="1" customFormat="1" spans="1:3">
      <c r="A8671" s="6"/>
      <c r="B8671" s="6"/>
      <c r="C8671" s="6"/>
    </row>
    <row r="8672" s="1" customFormat="1" spans="1:3">
      <c r="A8672" s="6"/>
      <c r="B8672" s="6"/>
      <c r="C8672" s="6"/>
    </row>
    <row r="8673" s="1" customFormat="1" spans="1:3">
      <c r="A8673" s="6"/>
      <c r="B8673" s="6"/>
      <c r="C8673" s="6"/>
    </row>
    <row r="8674" s="1" customFormat="1" spans="1:3">
      <c r="A8674" s="6"/>
      <c r="B8674" s="6"/>
      <c r="C8674" s="6"/>
    </row>
    <row r="8675" s="1" customFormat="1" spans="1:3">
      <c r="A8675" s="6"/>
      <c r="B8675" s="6"/>
      <c r="C8675" s="6"/>
    </row>
    <row r="8676" s="1" customFormat="1" spans="1:3">
      <c r="A8676" s="6"/>
      <c r="B8676" s="6"/>
      <c r="C8676" s="6"/>
    </row>
    <row r="8677" s="1" customFormat="1" spans="1:3">
      <c r="A8677" s="6"/>
      <c r="B8677" s="6"/>
      <c r="C8677" s="6"/>
    </row>
    <row r="8678" s="1" customFormat="1" spans="1:3">
      <c r="A8678" s="6"/>
      <c r="B8678" s="6"/>
      <c r="C8678" s="6"/>
    </row>
    <row r="8679" s="1" customFormat="1" spans="1:3">
      <c r="A8679" s="6"/>
      <c r="B8679" s="6"/>
      <c r="C8679" s="6"/>
    </row>
    <row r="8680" s="1" customFormat="1" spans="1:3">
      <c r="A8680" s="6"/>
      <c r="B8680" s="6"/>
      <c r="C8680" s="6"/>
    </row>
    <row r="8681" s="1" customFormat="1" spans="1:3">
      <c r="A8681" s="6"/>
      <c r="B8681" s="6"/>
      <c r="C8681" s="6"/>
    </row>
    <row r="8682" s="1" customFormat="1" spans="1:3">
      <c r="A8682" s="6"/>
      <c r="B8682" s="6"/>
      <c r="C8682" s="6"/>
    </row>
    <row r="8683" s="1" customFormat="1" spans="1:3">
      <c r="A8683" s="6"/>
      <c r="B8683" s="6"/>
      <c r="C8683" s="6"/>
    </row>
    <row r="8684" s="1" customFormat="1" spans="1:3">
      <c r="A8684" s="6"/>
      <c r="B8684" s="6"/>
      <c r="C8684" s="6"/>
    </row>
    <row r="8685" s="1" customFormat="1" spans="1:3">
      <c r="A8685" s="6"/>
      <c r="B8685" s="6"/>
      <c r="C8685" s="6"/>
    </row>
    <row r="8686" s="1" customFormat="1" spans="1:3">
      <c r="A8686" s="6"/>
      <c r="B8686" s="6"/>
      <c r="C8686" s="6"/>
    </row>
    <row r="8687" s="1" customFormat="1" spans="1:3">
      <c r="A8687" s="6"/>
      <c r="B8687" s="6"/>
      <c r="C8687" s="6"/>
    </row>
    <row r="8688" s="1" customFormat="1" spans="1:3">
      <c r="A8688" s="6"/>
      <c r="B8688" s="6"/>
      <c r="C8688" s="6"/>
    </row>
    <row r="8689" s="1" customFormat="1" spans="1:3">
      <c r="A8689" s="6"/>
      <c r="B8689" s="6"/>
      <c r="C8689" s="6"/>
    </row>
    <row r="8690" s="1" customFormat="1" spans="1:3">
      <c r="A8690" s="6"/>
      <c r="B8690" s="6"/>
      <c r="C8690" s="6"/>
    </row>
    <row r="8691" s="1" customFormat="1" spans="1:3">
      <c r="A8691" s="6"/>
      <c r="B8691" s="6"/>
      <c r="C8691" s="6"/>
    </row>
    <row r="8692" s="1" customFormat="1" spans="1:3">
      <c r="A8692" s="6"/>
      <c r="B8692" s="6"/>
      <c r="C8692" s="6"/>
    </row>
    <row r="8693" s="1" customFormat="1" spans="1:3">
      <c r="A8693" s="6"/>
      <c r="B8693" s="6"/>
      <c r="C8693" s="6"/>
    </row>
    <row r="8694" s="1" customFormat="1" spans="1:3">
      <c r="A8694" s="6"/>
      <c r="B8694" s="6"/>
      <c r="C8694" s="6"/>
    </row>
    <row r="8695" s="1" customFormat="1" spans="1:3">
      <c r="A8695" s="6"/>
      <c r="B8695" s="6"/>
      <c r="C8695" s="6"/>
    </row>
    <row r="8696" s="1" customFormat="1" spans="1:3">
      <c r="A8696" s="6"/>
      <c r="B8696" s="6"/>
      <c r="C8696" s="6"/>
    </row>
    <row r="8697" s="1" customFormat="1" spans="1:3">
      <c r="A8697" s="6"/>
      <c r="B8697" s="6"/>
      <c r="C8697" s="6"/>
    </row>
    <row r="8698" s="1" customFormat="1" spans="1:3">
      <c r="A8698" s="6"/>
      <c r="B8698" s="6"/>
      <c r="C8698" s="6"/>
    </row>
    <row r="8699" s="1" customFormat="1" spans="1:3">
      <c r="A8699" s="6"/>
      <c r="B8699" s="6"/>
      <c r="C8699" s="6"/>
    </row>
    <row r="8700" s="1" customFormat="1" spans="1:3">
      <c r="A8700" s="6"/>
      <c r="B8700" s="6"/>
      <c r="C8700" s="6"/>
    </row>
    <row r="8701" s="1" customFormat="1" spans="1:3">
      <c r="A8701" s="6"/>
      <c r="B8701" s="6"/>
      <c r="C8701" s="6"/>
    </row>
    <row r="8702" s="1" customFormat="1" spans="1:3">
      <c r="A8702" s="6"/>
      <c r="B8702" s="6"/>
      <c r="C8702" s="6"/>
    </row>
    <row r="8703" s="1" customFormat="1" spans="1:3">
      <c r="A8703" s="6"/>
      <c r="B8703" s="6"/>
      <c r="C8703" s="6"/>
    </row>
    <row r="8704" s="1" customFormat="1" spans="1:3">
      <c r="A8704" s="6"/>
      <c r="B8704" s="6"/>
      <c r="C8704" s="6"/>
    </row>
    <row r="8705" s="1" customFormat="1" spans="1:3">
      <c r="A8705" s="6"/>
      <c r="B8705" s="6"/>
      <c r="C8705" s="6"/>
    </row>
    <row r="8706" s="1" customFormat="1" spans="1:3">
      <c r="A8706" s="6"/>
      <c r="B8706" s="6"/>
      <c r="C8706" s="6"/>
    </row>
    <row r="8707" s="1" customFormat="1" spans="1:3">
      <c r="A8707" s="6"/>
      <c r="B8707" s="6"/>
      <c r="C8707" s="6"/>
    </row>
    <row r="8708" s="1" customFormat="1" spans="1:3">
      <c r="A8708" s="6"/>
      <c r="B8708" s="6"/>
      <c r="C8708" s="6"/>
    </row>
    <row r="8709" s="1" customFormat="1" spans="1:3">
      <c r="A8709" s="6"/>
      <c r="B8709" s="6"/>
      <c r="C8709" s="6"/>
    </row>
    <row r="8710" s="1" customFormat="1" spans="1:3">
      <c r="A8710" s="6"/>
      <c r="B8710" s="6"/>
      <c r="C8710" s="6"/>
    </row>
    <row r="8711" s="1" customFormat="1" spans="1:3">
      <c r="A8711" s="6"/>
      <c r="B8711" s="6"/>
      <c r="C8711" s="6"/>
    </row>
    <row r="8712" s="1" customFormat="1" spans="1:3">
      <c r="A8712" s="6"/>
      <c r="B8712" s="6"/>
      <c r="C8712" s="6"/>
    </row>
    <row r="8713" s="1" customFormat="1" spans="1:3">
      <c r="A8713" s="6"/>
      <c r="B8713" s="6"/>
      <c r="C8713" s="6"/>
    </row>
    <row r="8714" s="1" customFormat="1" spans="1:3">
      <c r="A8714" s="6"/>
      <c r="B8714" s="6"/>
      <c r="C8714" s="6"/>
    </row>
    <row r="8715" s="1" customFormat="1" spans="1:3">
      <c r="A8715" s="6"/>
      <c r="B8715" s="6"/>
      <c r="C8715" s="6"/>
    </row>
    <row r="8716" s="1" customFormat="1" spans="1:3">
      <c r="A8716" s="6"/>
      <c r="B8716" s="6"/>
      <c r="C8716" s="6"/>
    </row>
    <row r="8717" s="1" customFormat="1" spans="1:3">
      <c r="A8717" s="6"/>
      <c r="B8717" s="6"/>
      <c r="C8717" s="6"/>
    </row>
    <row r="8718" s="1" customFormat="1" spans="1:3">
      <c r="A8718" s="6"/>
      <c r="B8718" s="6"/>
      <c r="C8718" s="6"/>
    </row>
    <row r="8719" s="1" customFormat="1" spans="1:3">
      <c r="A8719" s="6"/>
      <c r="B8719" s="6"/>
      <c r="C8719" s="6"/>
    </row>
    <row r="8720" s="1" customFormat="1" spans="1:3">
      <c r="A8720" s="6"/>
      <c r="B8720" s="6"/>
      <c r="C8720" s="6"/>
    </row>
    <row r="8721" s="1" customFormat="1" spans="1:3">
      <c r="A8721" s="6"/>
      <c r="B8721" s="6"/>
      <c r="C8721" s="6"/>
    </row>
    <row r="8722" s="1" customFormat="1" spans="1:3">
      <c r="A8722" s="6"/>
      <c r="B8722" s="6"/>
      <c r="C8722" s="6"/>
    </row>
    <row r="8723" s="1" customFormat="1" spans="1:3">
      <c r="A8723" s="6"/>
      <c r="B8723" s="6"/>
      <c r="C8723" s="6"/>
    </row>
    <row r="8724" s="1" customFormat="1" spans="1:3">
      <c r="A8724" s="6"/>
      <c r="B8724" s="6"/>
      <c r="C8724" s="6"/>
    </row>
    <row r="8725" s="1" customFormat="1" spans="1:3">
      <c r="A8725" s="6"/>
      <c r="B8725" s="6"/>
      <c r="C8725" s="6"/>
    </row>
    <row r="8726" s="1" customFormat="1" spans="1:3">
      <c r="A8726" s="6"/>
      <c r="B8726" s="6"/>
      <c r="C8726" s="6"/>
    </row>
    <row r="8727" s="1" customFormat="1" spans="1:3">
      <c r="A8727" s="6"/>
      <c r="B8727" s="6"/>
      <c r="C8727" s="6"/>
    </row>
    <row r="8728" s="1" customFormat="1" spans="1:3">
      <c r="A8728" s="6"/>
      <c r="B8728" s="6"/>
      <c r="C8728" s="6"/>
    </row>
    <row r="8729" s="1" customFormat="1" spans="1:3">
      <c r="A8729" s="6"/>
      <c r="B8729" s="6"/>
      <c r="C8729" s="6"/>
    </row>
    <row r="8730" s="1" customFormat="1" spans="1:3">
      <c r="A8730" s="6"/>
      <c r="B8730" s="6"/>
      <c r="C8730" s="6"/>
    </row>
    <row r="8731" s="1" customFormat="1" spans="1:3">
      <c r="A8731" s="6"/>
      <c r="B8731" s="6"/>
      <c r="C8731" s="6"/>
    </row>
    <row r="8732" s="1" customFormat="1" spans="1:3">
      <c r="A8732" s="6"/>
      <c r="B8732" s="6"/>
      <c r="C8732" s="6"/>
    </row>
    <row r="8733" s="1" customFormat="1" spans="1:3">
      <c r="A8733" s="6"/>
      <c r="B8733" s="6"/>
      <c r="C8733" s="6"/>
    </row>
    <row r="8734" s="1" customFormat="1" spans="1:3">
      <c r="A8734" s="6"/>
      <c r="B8734" s="6"/>
      <c r="C8734" s="6"/>
    </row>
    <row r="8735" s="1" customFormat="1" spans="1:3">
      <c r="A8735" s="6"/>
      <c r="B8735" s="6"/>
      <c r="C8735" s="6"/>
    </row>
    <row r="8736" s="1" customFormat="1" spans="1:3">
      <c r="A8736" s="6"/>
      <c r="B8736" s="6"/>
      <c r="C8736" s="6"/>
    </row>
    <row r="8737" s="1" customFormat="1" spans="1:3">
      <c r="A8737" s="6"/>
      <c r="B8737" s="6"/>
      <c r="C8737" s="6"/>
    </row>
    <row r="8738" s="1" customFormat="1" spans="1:3">
      <c r="A8738" s="6"/>
      <c r="B8738" s="6"/>
      <c r="C8738" s="6"/>
    </row>
    <row r="8739" s="1" customFormat="1" spans="1:3">
      <c r="A8739" s="6"/>
      <c r="B8739" s="6"/>
      <c r="C8739" s="6"/>
    </row>
    <row r="8740" s="1" customFormat="1" spans="1:3">
      <c r="A8740" s="6"/>
      <c r="B8740" s="6"/>
      <c r="C8740" s="6"/>
    </row>
    <row r="8741" s="1" customFormat="1" spans="1:3">
      <c r="A8741" s="6"/>
      <c r="B8741" s="6"/>
      <c r="C8741" s="6"/>
    </row>
    <row r="8742" s="1" customFormat="1" spans="1:3">
      <c r="A8742" s="6"/>
      <c r="B8742" s="6"/>
      <c r="C8742" s="6"/>
    </row>
    <row r="8743" s="1" customFormat="1" spans="1:3">
      <c r="A8743" s="6"/>
      <c r="B8743" s="6"/>
      <c r="C8743" s="6"/>
    </row>
    <row r="8744" s="1" customFormat="1" spans="1:3">
      <c r="A8744" s="6"/>
      <c r="B8744" s="6"/>
      <c r="C8744" s="6"/>
    </row>
    <row r="8745" s="1" customFormat="1" spans="1:3">
      <c r="A8745" s="6"/>
      <c r="B8745" s="6"/>
      <c r="C8745" s="6"/>
    </row>
    <row r="8746" s="1" customFormat="1" spans="1:3">
      <c r="A8746" s="6"/>
      <c r="B8746" s="6"/>
      <c r="C8746" s="6"/>
    </row>
    <row r="8747" s="1" customFormat="1" spans="1:3">
      <c r="A8747" s="6"/>
      <c r="B8747" s="6"/>
      <c r="C8747" s="6"/>
    </row>
    <row r="8748" s="1" customFormat="1" spans="1:3">
      <c r="A8748" s="6"/>
      <c r="B8748" s="6"/>
      <c r="C8748" s="6"/>
    </row>
    <row r="8749" s="1" customFormat="1" spans="1:3">
      <c r="A8749" s="6"/>
      <c r="B8749" s="6"/>
      <c r="C8749" s="6"/>
    </row>
    <row r="8750" s="1" customFormat="1" spans="1:3">
      <c r="A8750" s="6"/>
      <c r="B8750" s="6"/>
      <c r="C8750" s="6"/>
    </row>
    <row r="8751" s="1" customFormat="1" spans="1:3">
      <c r="A8751" s="6"/>
      <c r="B8751" s="6"/>
      <c r="C8751" s="6"/>
    </row>
    <row r="8752" s="1" customFormat="1" spans="1:3">
      <c r="A8752" s="6"/>
      <c r="B8752" s="6"/>
      <c r="C8752" s="6"/>
    </row>
    <row r="8753" s="1" customFormat="1" spans="1:3">
      <c r="A8753" s="6"/>
      <c r="B8753" s="6"/>
      <c r="C8753" s="6"/>
    </row>
    <row r="8754" s="1" customFormat="1" spans="1:3">
      <c r="A8754" s="6"/>
      <c r="B8754" s="6"/>
      <c r="C8754" s="6"/>
    </row>
    <row r="8755" s="1" customFormat="1" spans="1:3">
      <c r="A8755" s="6"/>
      <c r="B8755" s="6"/>
      <c r="C8755" s="6"/>
    </row>
    <row r="8756" s="1" customFormat="1" spans="1:3">
      <c r="A8756" s="6"/>
      <c r="B8756" s="6"/>
      <c r="C8756" s="6"/>
    </row>
    <row r="8757" s="1" customFormat="1" spans="1:3">
      <c r="A8757" s="6"/>
      <c r="B8757" s="6"/>
      <c r="C8757" s="6"/>
    </row>
    <row r="8758" s="1" customFormat="1" spans="1:3">
      <c r="A8758" s="6"/>
      <c r="B8758" s="6"/>
      <c r="C8758" s="6"/>
    </row>
    <row r="8759" s="1" customFormat="1" spans="1:3">
      <c r="A8759" s="6"/>
      <c r="B8759" s="6"/>
      <c r="C8759" s="6"/>
    </row>
    <row r="8760" s="1" customFormat="1" spans="1:3">
      <c r="A8760" s="6"/>
      <c r="B8760" s="6"/>
      <c r="C8760" s="6"/>
    </row>
    <row r="8761" s="1" customFormat="1" spans="1:3">
      <c r="A8761" s="6"/>
      <c r="B8761" s="6"/>
      <c r="C8761" s="6"/>
    </row>
    <row r="8762" s="1" customFormat="1" spans="1:3">
      <c r="A8762" s="6"/>
      <c r="B8762" s="6"/>
      <c r="C8762" s="6"/>
    </row>
    <row r="8763" s="1" customFormat="1" spans="1:3">
      <c r="A8763" s="6"/>
      <c r="B8763" s="6"/>
      <c r="C8763" s="6"/>
    </row>
    <row r="8764" s="1" customFormat="1" spans="1:3">
      <c r="A8764" s="6"/>
      <c r="B8764" s="6"/>
      <c r="C8764" s="6"/>
    </row>
    <row r="8765" s="1" customFormat="1" spans="1:3">
      <c r="A8765" s="6"/>
      <c r="B8765" s="6"/>
      <c r="C8765" s="6"/>
    </row>
    <row r="8766" s="1" customFormat="1" spans="1:3">
      <c r="A8766" s="6"/>
      <c r="B8766" s="6"/>
      <c r="C8766" s="6"/>
    </row>
    <row r="8767" s="1" customFormat="1" spans="1:3">
      <c r="A8767" s="6"/>
      <c r="B8767" s="6"/>
      <c r="C8767" s="6"/>
    </row>
    <row r="8768" s="1" customFormat="1" spans="1:3">
      <c r="A8768" s="6"/>
      <c r="B8768" s="6"/>
      <c r="C8768" s="6"/>
    </row>
    <row r="8769" s="1" customFormat="1" spans="1:3">
      <c r="A8769" s="6"/>
      <c r="B8769" s="6"/>
      <c r="C8769" s="6"/>
    </row>
    <row r="8770" s="1" customFormat="1" spans="1:3">
      <c r="A8770" s="6"/>
      <c r="B8770" s="6"/>
      <c r="C8770" s="6"/>
    </row>
    <row r="8771" s="1" customFormat="1" spans="1:3">
      <c r="A8771" s="6"/>
      <c r="B8771" s="6"/>
      <c r="C8771" s="6"/>
    </row>
    <row r="8772" s="1" customFormat="1" spans="1:3">
      <c r="A8772" s="6"/>
      <c r="B8772" s="6"/>
      <c r="C8772" s="6"/>
    </row>
    <row r="8773" s="1" customFormat="1" spans="1:3">
      <c r="A8773" s="6"/>
      <c r="B8773" s="6"/>
      <c r="C8773" s="6"/>
    </row>
    <row r="8774" s="1" customFormat="1" spans="1:3">
      <c r="A8774" s="6"/>
      <c r="B8774" s="6"/>
      <c r="C8774" s="6"/>
    </row>
    <row r="8775" s="1" customFormat="1" spans="1:3">
      <c r="A8775" s="6"/>
      <c r="B8775" s="6"/>
      <c r="C8775" s="6"/>
    </row>
    <row r="8776" s="1" customFormat="1" spans="1:3">
      <c r="A8776" s="6"/>
      <c r="B8776" s="6"/>
      <c r="C8776" s="6"/>
    </row>
    <row r="8777" s="1" customFormat="1" spans="1:3">
      <c r="A8777" s="6"/>
      <c r="B8777" s="6"/>
      <c r="C8777" s="6"/>
    </row>
    <row r="8778" s="1" customFormat="1" spans="1:3">
      <c r="A8778" s="6"/>
      <c r="B8778" s="6"/>
      <c r="C8778" s="6"/>
    </row>
    <row r="8779" s="1" customFormat="1" spans="1:3">
      <c r="A8779" s="6"/>
      <c r="B8779" s="6"/>
      <c r="C8779" s="6"/>
    </row>
    <row r="8780" s="1" customFormat="1" spans="1:3">
      <c r="A8780" s="6"/>
      <c r="B8780" s="6"/>
      <c r="C8780" s="6"/>
    </row>
    <row r="8781" s="1" customFormat="1" spans="1:3">
      <c r="A8781" s="6"/>
      <c r="B8781" s="6"/>
      <c r="C8781" s="6"/>
    </row>
    <row r="8782" s="1" customFormat="1" spans="1:3">
      <c r="A8782" s="6"/>
      <c r="B8782" s="6"/>
      <c r="C8782" s="6"/>
    </row>
    <row r="8783" s="1" customFormat="1" spans="1:3">
      <c r="A8783" s="6"/>
      <c r="B8783" s="6"/>
      <c r="C8783" s="6"/>
    </row>
    <row r="8784" s="1" customFormat="1" spans="1:3">
      <c r="A8784" s="6"/>
      <c r="B8784" s="6"/>
      <c r="C8784" s="6"/>
    </row>
    <row r="8785" s="1" customFormat="1" spans="1:3">
      <c r="A8785" s="6"/>
      <c r="B8785" s="6"/>
      <c r="C8785" s="6"/>
    </row>
    <row r="8786" s="1" customFormat="1" spans="1:3">
      <c r="A8786" s="6"/>
      <c r="B8786" s="6"/>
      <c r="C8786" s="6"/>
    </row>
    <row r="8787" s="1" customFormat="1" spans="1:3">
      <c r="A8787" s="6"/>
      <c r="B8787" s="6"/>
      <c r="C8787" s="6"/>
    </row>
    <row r="8788" s="1" customFormat="1" spans="1:3">
      <c r="A8788" s="6"/>
      <c r="B8788" s="6"/>
      <c r="C8788" s="6"/>
    </row>
    <row r="8789" s="1" customFormat="1" spans="1:3">
      <c r="A8789" s="6"/>
      <c r="B8789" s="6"/>
      <c r="C8789" s="6"/>
    </row>
    <row r="8790" s="1" customFormat="1" spans="1:3">
      <c r="A8790" s="6"/>
      <c r="B8790" s="6"/>
      <c r="C8790" s="6"/>
    </row>
    <row r="8791" s="1" customFormat="1" spans="1:3">
      <c r="A8791" s="6"/>
      <c r="B8791" s="6"/>
      <c r="C8791" s="6"/>
    </row>
    <row r="8792" s="1" customFormat="1" spans="1:3">
      <c r="A8792" s="6"/>
      <c r="B8792" s="6"/>
      <c r="C8792" s="6"/>
    </row>
    <row r="8793" s="1" customFormat="1" spans="1:3">
      <c r="A8793" s="6"/>
      <c r="B8793" s="6"/>
      <c r="C8793" s="6"/>
    </row>
    <row r="8794" s="1" customFormat="1" spans="1:3">
      <c r="A8794" s="6"/>
      <c r="B8794" s="6"/>
      <c r="C8794" s="6"/>
    </row>
    <row r="8795" s="1" customFormat="1" spans="1:3">
      <c r="A8795" s="6"/>
      <c r="B8795" s="6"/>
      <c r="C8795" s="6"/>
    </row>
    <row r="8796" s="1" customFormat="1" spans="1:3">
      <c r="A8796" s="6"/>
      <c r="B8796" s="6"/>
      <c r="C8796" s="6"/>
    </row>
    <row r="8797" s="1" customFormat="1" spans="1:3">
      <c r="A8797" s="6"/>
      <c r="B8797" s="6"/>
      <c r="C8797" s="6"/>
    </row>
    <row r="8798" s="1" customFormat="1" spans="1:3">
      <c r="A8798" s="6"/>
      <c r="B8798" s="6"/>
      <c r="C8798" s="6"/>
    </row>
    <row r="8799" s="1" customFormat="1" spans="1:3">
      <c r="A8799" s="6"/>
      <c r="B8799" s="6"/>
      <c r="C8799" s="6"/>
    </row>
    <row r="8800" s="1" customFormat="1" spans="1:3">
      <c r="A8800" s="6"/>
      <c r="B8800" s="6"/>
      <c r="C8800" s="6"/>
    </row>
    <row r="8801" s="1" customFormat="1" spans="1:3">
      <c r="A8801" s="6"/>
      <c r="B8801" s="6"/>
      <c r="C8801" s="6"/>
    </row>
    <row r="8802" s="1" customFormat="1" spans="1:3">
      <c r="A8802" s="6"/>
      <c r="B8802" s="6"/>
      <c r="C8802" s="6"/>
    </row>
    <row r="8803" s="1" customFormat="1" spans="1:3">
      <c r="A8803" s="6"/>
      <c r="B8803" s="6"/>
      <c r="C8803" s="6"/>
    </row>
    <row r="8804" s="1" customFormat="1" spans="1:3">
      <c r="A8804" s="6"/>
      <c r="B8804" s="6"/>
      <c r="C8804" s="6"/>
    </row>
    <row r="8805" s="1" customFormat="1" spans="1:3">
      <c r="A8805" s="6"/>
      <c r="B8805" s="6"/>
      <c r="C8805" s="6"/>
    </row>
    <row r="8806" s="1" customFormat="1" spans="1:3">
      <c r="A8806" s="6"/>
      <c r="B8806" s="6"/>
      <c r="C8806" s="6"/>
    </row>
    <row r="8807" s="1" customFormat="1" spans="1:3">
      <c r="A8807" s="6"/>
      <c r="B8807" s="6"/>
      <c r="C8807" s="6"/>
    </row>
    <row r="8808" s="1" customFormat="1" spans="1:3">
      <c r="A8808" s="6"/>
      <c r="B8808" s="6"/>
      <c r="C8808" s="6"/>
    </row>
    <row r="8809" s="1" customFormat="1" spans="1:3">
      <c r="A8809" s="6"/>
      <c r="B8809" s="6"/>
      <c r="C8809" s="6"/>
    </row>
    <row r="8810" s="1" customFormat="1" spans="1:3">
      <c r="A8810" s="6"/>
      <c r="B8810" s="6"/>
      <c r="C8810" s="6"/>
    </row>
    <row r="8811" s="1" customFormat="1" spans="1:3">
      <c r="A8811" s="6"/>
      <c r="B8811" s="6"/>
      <c r="C8811" s="6"/>
    </row>
    <row r="8812" s="1" customFormat="1" spans="1:3">
      <c r="A8812" s="6"/>
      <c r="B8812" s="6"/>
      <c r="C8812" s="6"/>
    </row>
    <row r="8813" s="1" customFormat="1" spans="1:3">
      <c r="A8813" s="6"/>
      <c r="B8813" s="6"/>
      <c r="C8813" s="6"/>
    </row>
    <row r="8814" s="1" customFormat="1" spans="1:3">
      <c r="A8814" s="6"/>
      <c r="B8814" s="6"/>
      <c r="C8814" s="6"/>
    </row>
    <row r="8815" s="1" customFormat="1" spans="1:3">
      <c r="A8815" s="6"/>
      <c r="B8815" s="6"/>
      <c r="C8815" s="6"/>
    </row>
    <row r="8816" s="1" customFormat="1" spans="1:3">
      <c r="A8816" s="6"/>
      <c r="B8816" s="6"/>
      <c r="C8816" s="6"/>
    </row>
    <row r="8817" s="1" customFormat="1" spans="1:3">
      <c r="A8817" s="6"/>
      <c r="B8817" s="6"/>
      <c r="C8817" s="6"/>
    </row>
    <row r="8818" s="1" customFormat="1" spans="1:3">
      <c r="A8818" s="6"/>
      <c r="B8818" s="6"/>
      <c r="C8818" s="6"/>
    </row>
    <row r="8819" s="1" customFormat="1" spans="1:3">
      <c r="A8819" s="6"/>
      <c r="B8819" s="6"/>
      <c r="C8819" s="6"/>
    </row>
    <row r="8820" s="1" customFormat="1" spans="1:3">
      <c r="A8820" s="6"/>
      <c r="B8820" s="6"/>
      <c r="C8820" s="6"/>
    </row>
    <row r="8821" s="1" customFormat="1" spans="1:3">
      <c r="A8821" s="6"/>
      <c r="B8821" s="6"/>
      <c r="C8821" s="6"/>
    </row>
    <row r="8822" s="1" customFormat="1" spans="1:3">
      <c r="A8822" s="6"/>
      <c r="B8822" s="6"/>
      <c r="C8822" s="6"/>
    </row>
    <row r="8823" s="1" customFormat="1" spans="1:3">
      <c r="A8823" s="6"/>
      <c r="B8823" s="6"/>
      <c r="C8823" s="6"/>
    </row>
    <row r="8824" s="1" customFormat="1" spans="1:3">
      <c r="A8824" s="6"/>
      <c r="B8824" s="6"/>
      <c r="C8824" s="6"/>
    </row>
    <row r="8825" s="1" customFormat="1" spans="1:3">
      <c r="A8825" s="6"/>
      <c r="B8825" s="6"/>
      <c r="C8825" s="6"/>
    </row>
    <row r="8826" s="1" customFormat="1" spans="1:3">
      <c r="A8826" s="6"/>
      <c r="B8826" s="6"/>
      <c r="C8826" s="6"/>
    </row>
    <row r="8827" s="1" customFormat="1" spans="1:3">
      <c r="A8827" s="6"/>
      <c r="B8827" s="6"/>
      <c r="C8827" s="6"/>
    </row>
    <row r="8828" s="1" customFormat="1" spans="1:3">
      <c r="A8828" s="6"/>
      <c r="B8828" s="6"/>
      <c r="C8828" s="6"/>
    </row>
    <row r="8829" s="1" customFormat="1" spans="1:3">
      <c r="A8829" s="6"/>
      <c r="B8829" s="6"/>
      <c r="C8829" s="6"/>
    </row>
    <row r="8830" s="1" customFormat="1" spans="1:3">
      <c r="A8830" s="6"/>
      <c r="B8830" s="6"/>
      <c r="C8830" s="6"/>
    </row>
    <row r="8831" s="1" customFormat="1" spans="1:3">
      <c r="A8831" s="6"/>
      <c r="B8831" s="6"/>
      <c r="C8831" s="6"/>
    </row>
    <row r="8832" s="1" customFormat="1" spans="1:3">
      <c r="A8832" s="6"/>
      <c r="B8832" s="6"/>
      <c r="C8832" s="6"/>
    </row>
    <row r="8833" s="1" customFormat="1" spans="1:3">
      <c r="A8833" s="6"/>
      <c r="B8833" s="6"/>
      <c r="C8833" s="6"/>
    </row>
    <row r="8834" s="1" customFormat="1" spans="1:3">
      <c r="A8834" s="6"/>
      <c r="B8834" s="6"/>
      <c r="C8834" s="6"/>
    </row>
    <row r="8835" s="1" customFormat="1" spans="1:3">
      <c r="A8835" s="6"/>
      <c r="B8835" s="6"/>
      <c r="C8835" s="6"/>
    </row>
    <row r="8836" s="1" customFormat="1" spans="1:3">
      <c r="A8836" s="6"/>
      <c r="B8836" s="6"/>
      <c r="C8836" s="6"/>
    </row>
    <row r="8837" s="1" customFormat="1" spans="1:3">
      <c r="A8837" s="6"/>
      <c r="B8837" s="6"/>
      <c r="C8837" s="6"/>
    </row>
    <row r="8838" s="1" customFormat="1" spans="1:3">
      <c r="A8838" s="6"/>
      <c r="B8838" s="6"/>
      <c r="C8838" s="6"/>
    </row>
    <row r="8839" s="1" customFormat="1" spans="1:3">
      <c r="A8839" s="6"/>
      <c r="B8839" s="6"/>
      <c r="C8839" s="6"/>
    </row>
    <row r="8840" s="1" customFormat="1" spans="1:3">
      <c r="A8840" s="6"/>
      <c r="B8840" s="6"/>
      <c r="C8840" s="6"/>
    </row>
    <row r="8841" s="1" customFormat="1" spans="1:3">
      <c r="A8841" s="6"/>
      <c r="B8841" s="6"/>
      <c r="C8841" s="6"/>
    </row>
    <row r="8842" s="1" customFormat="1" spans="1:3">
      <c r="A8842" s="6"/>
      <c r="B8842" s="6"/>
      <c r="C8842" s="6"/>
    </row>
    <row r="8843" s="1" customFormat="1" spans="1:3">
      <c r="A8843" s="6"/>
      <c r="B8843" s="6"/>
      <c r="C8843" s="6"/>
    </row>
    <row r="8844" s="1" customFormat="1" spans="1:3">
      <c r="A8844" s="6"/>
      <c r="B8844" s="6"/>
      <c r="C8844" s="6"/>
    </row>
    <row r="8845" s="1" customFormat="1" spans="1:3">
      <c r="A8845" s="6"/>
      <c r="B8845" s="6"/>
      <c r="C8845" s="6"/>
    </row>
    <row r="8846" s="1" customFormat="1" spans="1:3">
      <c r="A8846" s="6"/>
      <c r="B8846" s="6"/>
      <c r="C8846" s="6"/>
    </row>
    <row r="8847" s="1" customFormat="1" spans="1:3">
      <c r="A8847" s="6"/>
      <c r="B8847" s="6"/>
      <c r="C8847" s="6"/>
    </row>
    <row r="8848" s="1" customFormat="1" spans="1:3">
      <c r="A8848" s="6"/>
      <c r="B8848" s="6"/>
      <c r="C8848" s="6"/>
    </row>
    <row r="8849" s="1" customFormat="1" spans="1:3">
      <c r="A8849" s="6"/>
      <c r="B8849" s="6"/>
      <c r="C8849" s="6"/>
    </row>
    <row r="8850" s="1" customFormat="1" spans="1:3">
      <c r="A8850" s="6"/>
      <c r="B8850" s="6"/>
      <c r="C8850" s="6"/>
    </row>
    <row r="8851" s="1" customFormat="1" spans="1:3">
      <c r="A8851" s="6"/>
      <c r="B8851" s="6"/>
      <c r="C8851" s="6"/>
    </row>
    <row r="8852" s="1" customFormat="1" spans="1:3">
      <c r="A8852" s="6"/>
      <c r="B8852" s="6"/>
      <c r="C8852" s="6"/>
    </row>
    <row r="8853" s="1" customFormat="1" spans="1:3">
      <c r="A8853" s="6"/>
      <c r="B8853" s="6"/>
      <c r="C8853" s="6"/>
    </row>
    <row r="8854" s="1" customFormat="1" spans="1:3">
      <c r="A8854" s="6"/>
      <c r="B8854" s="6"/>
      <c r="C8854" s="6"/>
    </row>
    <row r="8855" s="1" customFormat="1" spans="1:3">
      <c r="A8855" s="6"/>
      <c r="B8855" s="6"/>
      <c r="C8855" s="6"/>
    </row>
    <row r="8856" s="1" customFormat="1" spans="1:3">
      <c r="A8856" s="6"/>
      <c r="B8856" s="6"/>
      <c r="C8856" s="6"/>
    </row>
    <row r="8857" s="1" customFormat="1" spans="1:3">
      <c r="A8857" s="6"/>
      <c r="B8857" s="6"/>
      <c r="C8857" s="6"/>
    </row>
    <row r="8858" s="1" customFormat="1" spans="1:3">
      <c r="A8858" s="6"/>
      <c r="B8858" s="6"/>
      <c r="C8858" s="6"/>
    </row>
    <row r="8859" s="1" customFormat="1" spans="1:3">
      <c r="A8859" s="6"/>
      <c r="B8859" s="6"/>
      <c r="C8859" s="6"/>
    </row>
    <row r="8860" s="1" customFormat="1" spans="1:3">
      <c r="A8860" s="6"/>
      <c r="B8860" s="6"/>
      <c r="C8860" s="6"/>
    </row>
    <row r="8861" s="1" customFormat="1" spans="1:3">
      <c r="A8861" s="6"/>
      <c r="B8861" s="6"/>
      <c r="C8861" s="6"/>
    </row>
    <row r="8862" s="1" customFormat="1" spans="1:3">
      <c r="A8862" s="6"/>
      <c r="B8862" s="6"/>
      <c r="C8862" s="6"/>
    </row>
    <row r="8863" s="1" customFormat="1" spans="1:3">
      <c r="A8863" s="6"/>
      <c r="B8863" s="6"/>
      <c r="C8863" s="6"/>
    </row>
    <row r="8864" s="1" customFormat="1" spans="1:3">
      <c r="A8864" s="6"/>
      <c r="B8864" s="6"/>
      <c r="C8864" s="6"/>
    </row>
    <row r="8865" s="1" customFormat="1" spans="1:3">
      <c r="A8865" s="6"/>
      <c r="B8865" s="6"/>
      <c r="C8865" s="6"/>
    </row>
    <row r="8866" s="1" customFormat="1" spans="1:3">
      <c r="A8866" s="6"/>
      <c r="B8866" s="6"/>
      <c r="C8866" s="6"/>
    </row>
    <row r="8867" s="1" customFormat="1" spans="1:3">
      <c r="A8867" s="6"/>
      <c r="B8867" s="6"/>
      <c r="C8867" s="6"/>
    </row>
    <row r="8868" s="1" customFormat="1" spans="1:3">
      <c r="A8868" s="6"/>
      <c r="B8868" s="6"/>
      <c r="C8868" s="6"/>
    </row>
    <row r="8869" s="1" customFormat="1" spans="1:3">
      <c r="A8869" s="6"/>
      <c r="B8869" s="6"/>
      <c r="C8869" s="6"/>
    </row>
    <row r="8870" s="1" customFormat="1" spans="1:3">
      <c r="A8870" s="6"/>
      <c r="B8870" s="6"/>
      <c r="C8870" s="6"/>
    </row>
    <row r="8871" s="1" customFormat="1" spans="1:3">
      <c r="A8871" s="6"/>
      <c r="B8871" s="6"/>
      <c r="C8871" s="6"/>
    </row>
    <row r="8872" s="1" customFormat="1" spans="1:3">
      <c r="A8872" s="6"/>
      <c r="B8872" s="6"/>
      <c r="C8872" s="6"/>
    </row>
    <row r="8873" s="1" customFormat="1" spans="1:3">
      <c r="A8873" s="6"/>
      <c r="B8873" s="6"/>
      <c r="C8873" s="6"/>
    </row>
    <row r="8874" s="1" customFormat="1" spans="1:3">
      <c r="A8874" s="6"/>
      <c r="B8874" s="6"/>
      <c r="C8874" s="6"/>
    </row>
    <row r="8875" s="1" customFormat="1" spans="1:3">
      <c r="A8875" s="6"/>
      <c r="B8875" s="6"/>
      <c r="C8875" s="6"/>
    </row>
    <row r="8876" s="1" customFormat="1" spans="1:3">
      <c r="A8876" s="6"/>
      <c r="B8876" s="6"/>
      <c r="C8876" s="6"/>
    </row>
    <row r="8877" s="1" customFormat="1" spans="1:3">
      <c r="A8877" s="6"/>
      <c r="B8877" s="6"/>
      <c r="C8877" s="6"/>
    </row>
    <row r="8878" s="1" customFormat="1" spans="1:3">
      <c r="A8878" s="6"/>
      <c r="B8878" s="6"/>
      <c r="C8878" s="6"/>
    </row>
    <row r="8879" s="1" customFormat="1" spans="1:3">
      <c r="A8879" s="6"/>
      <c r="B8879" s="6"/>
      <c r="C8879" s="6"/>
    </row>
    <row r="8880" s="1" customFormat="1" spans="1:3">
      <c r="A8880" s="6"/>
      <c r="B8880" s="6"/>
      <c r="C8880" s="6"/>
    </row>
    <row r="8881" s="1" customFormat="1" spans="1:3">
      <c r="A8881" s="6"/>
      <c r="B8881" s="6"/>
      <c r="C8881" s="6"/>
    </row>
    <row r="8882" s="1" customFormat="1" spans="1:3">
      <c r="A8882" s="6"/>
      <c r="B8882" s="6"/>
      <c r="C8882" s="6"/>
    </row>
    <row r="8883" s="1" customFormat="1" spans="1:3">
      <c r="A8883" s="6"/>
      <c r="B8883" s="6"/>
      <c r="C8883" s="6"/>
    </row>
    <row r="8884" s="1" customFormat="1" spans="1:3">
      <c r="A8884" s="6"/>
      <c r="B8884" s="6"/>
      <c r="C8884" s="6"/>
    </row>
    <row r="8885" s="1" customFormat="1" spans="1:3">
      <c r="A8885" s="6"/>
      <c r="B8885" s="6"/>
      <c r="C8885" s="6"/>
    </row>
    <row r="8886" s="1" customFormat="1" spans="1:3">
      <c r="A8886" s="6"/>
      <c r="B8886" s="6"/>
      <c r="C8886" s="6"/>
    </row>
    <row r="8887" s="1" customFormat="1" spans="1:3">
      <c r="A8887" s="6"/>
      <c r="B8887" s="6"/>
      <c r="C8887" s="6"/>
    </row>
    <row r="8888" s="1" customFormat="1" spans="1:3">
      <c r="A8888" s="6"/>
      <c r="B8888" s="6"/>
      <c r="C8888" s="6"/>
    </row>
    <row r="8889" s="1" customFormat="1" spans="1:3">
      <c r="A8889" s="6"/>
      <c r="B8889" s="6"/>
      <c r="C8889" s="6"/>
    </row>
    <row r="8890" s="1" customFormat="1" spans="1:3">
      <c r="A8890" s="6"/>
      <c r="B8890" s="6"/>
      <c r="C8890" s="6"/>
    </row>
    <row r="8891" s="1" customFormat="1" spans="1:3">
      <c r="A8891" s="6"/>
      <c r="B8891" s="6"/>
      <c r="C8891" s="6"/>
    </row>
    <row r="8892" s="1" customFormat="1" spans="1:3">
      <c r="A8892" s="6"/>
      <c r="B8892" s="6"/>
      <c r="C8892" s="6"/>
    </row>
    <row r="8893" s="1" customFormat="1" spans="1:3">
      <c r="A8893" s="6"/>
      <c r="B8893" s="6"/>
      <c r="C8893" s="6"/>
    </row>
    <row r="8894" s="1" customFormat="1" spans="1:3">
      <c r="A8894" s="6"/>
      <c r="B8894" s="6"/>
      <c r="C8894" s="6"/>
    </row>
    <row r="8895" s="1" customFormat="1" spans="1:3">
      <c r="A8895" s="6"/>
      <c r="B8895" s="6"/>
      <c r="C8895" s="6"/>
    </row>
    <row r="8896" s="1" customFormat="1" spans="1:3">
      <c r="A8896" s="6"/>
      <c r="B8896" s="6"/>
      <c r="C8896" s="6"/>
    </row>
    <row r="8897" s="1" customFormat="1" spans="1:3">
      <c r="A8897" s="6"/>
      <c r="B8897" s="6"/>
      <c r="C8897" s="6"/>
    </row>
    <row r="8898" s="1" customFormat="1" spans="1:3">
      <c r="A8898" s="6"/>
      <c r="B8898" s="6"/>
      <c r="C8898" s="6"/>
    </row>
    <row r="8899" s="1" customFormat="1" spans="1:3">
      <c r="A8899" s="6"/>
      <c r="B8899" s="6"/>
      <c r="C8899" s="6"/>
    </row>
    <row r="8900" s="1" customFormat="1" spans="1:3">
      <c r="A8900" s="6"/>
      <c r="B8900" s="6"/>
      <c r="C8900" s="6"/>
    </row>
    <row r="8901" s="1" customFormat="1" spans="1:3">
      <c r="A8901" s="6"/>
      <c r="B8901" s="6"/>
      <c r="C8901" s="6"/>
    </row>
    <row r="8902" s="1" customFormat="1" spans="1:3">
      <c r="A8902" s="6"/>
      <c r="B8902" s="6"/>
      <c r="C8902" s="6"/>
    </row>
    <row r="8903" s="1" customFormat="1" spans="1:3">
      <c r="A8903" s="6"/>
      <c r="B8903" s="6"/>
      <c r="C8903" s="6"/>
    </row>
    <row r="8904" s="1" customFormat="1" spans="1:3">
      <c r="A8904" s="6"/>
      <c r="B8904" s="6"/>
      <c r="C8904" s="6"/>
    </row>
    <row r="8905" s="1" customFormat="1" spans="1:3">
      <c r="A8905" s="6"/>
      <c r="B8905" s="6"/>
      <c r="C8905" s="6"/>
    </row>
    <row r="8906" s="1" customFormat="1" spans="1:3">
      <c r="A8906" s="6"/>
      <c r="B8906" s="6"/>
      <c r="C8906" s="6"/>
    </row>
    <row r="8907" s="1" customFormat="1" spans="1:3">
      <c r="A8907" s="6"/>
      <c r="B8907" s="6"/>
      <c r="C8907" s="6"/>
    </row>
    <row r="8908" s="1" customFormat="1" spans="1:3">
      <c r="A8908" s="6"/>
      <c r="B8908" s="6"/>
      <c r="C8908" s="6"/>
    </row>
    <row r="8909" s="1" customFormat="1" spans="1:3">
      <c r="A8909" s="6"/>
      <c r="B8909" s="6"/>
      <c r="C8909" s="6"/>
    </row>
    <row r="8910" s="1" customFormat="1" spans="1:3">
      <c r="A8910" s="6"/>
      <c r="B8910" s="6"/>
      <c r="C8910" s="6"/>
    </row>
    <row r="8911" s="1" customFormat="1" spans="1:3">
      <c r="A8911" s="6"/>
      <c r="B8911" s="6"/>
      <c r="C8911" s="6"/>
    </row>
    <row r="8912" s="1" customFormat="1" spans="1:3">
      <c r="A8912" s="6"/>
      <c r="B8912" s="6"/>
      <c r="C8912" s="6"/>
    </row>
    <row r="8913" s="1" customFormat="1" spans="1:3">
      <c r="A8913" s="6"/>
      <c r="B8913" s="6"/>
      <c r="C8913" s="6"/>
    </row>
    <row r="8914" s="1" customFormat="1" spans="1:3">
      <c r="A8914" s="6"/>
      <c r="B8914" s="6"/>
      <c r="C8914" s="6"/>
    </row>
    <row r="8915" s="1" customFormat="1" spans="1:3">
      <c r="A8915" s="6"/>
      <c r="B8915" s="6"/>
      <c r="C8915" s="6"/>
    </row>
    <row r="8916" s="1" customFormat="1" spans="1:3">
      <c r="A8916" s="6"/>
      <c r="B8916" s="6"/>
      <c r="C8916" s="6"/>
    </row>
    <row r="8917" s="1" customFormat="1" spans="1:3">
      <c r="A8917" s="6"/>
      <c r="B8917" s="6"/>
      <c r="C8917" s="6"/>
    </row>
    <row r="8918" s="1" customFormat="1" spans="1:3">
      <c r="A8918" s="6"/>
      <c r="B8918" s="6"/>
      <c r="C8918" s="6"/>
    </row>
    <row r="8919" s="1" customFormat="1" spans="1:3">
      <c r="A8919" s="6"/>
      <c r="B8919" s="6"/>
      <c r="C8919" s="6"/>
    </row>
    <row r="8920" s="1" customFormat="1" spans="1:3">
      <c r="A8920" s="6"/>
      <c r="B8920" s="6"/>
      <c r="C8920" s="6"/>
    </row>
    <row r="8921" s="1" customFormat="1" spans="1:3">
      <c r="A8921" s="6"/>
      <c r="B8921" s="6"/>
      <c r="C8921" s="6"/>
    </row>
    <row r="8922" s="1" customFormat="1" spans="1:3">
      <c r="A8922" s="6"/>
      <c r="B8922" s="6"/>
      <c r="C8922" s="6"/>
    </row>
    <row r="8923" s="1" customFormat="1" spans="1:3">
      <c r="A8923" s="6"/>
      <c r="B8923" s="6"/>
      <c r="C8923" s="6"/>
    </row>
    <row r="8924" s="1" customFormat="1" spans="1:3">
      <c r="A8924" s="6"/>
      <c r="B8924" s="6"/>
      <c r="C8924" s="6"/>
    </row>
    <row r="8925" s="1" customFormat="1" spans="1:3">
      <c r="A8925" s="6"/>
      <c r="B8925" s="6"/>
      <c r="C8925" s="6"/>
    </row>
    <row r="8926" s="1" customFormat="1" spans="1:3">
      <c r="A8926" s="6"/>
      <c r="B8926" s="6"/>
      <c r="C8926" s="6"/>
    </row>
    <row r="8927" s="1" customFormat="1" spans="1:3">
      <c r="A8927" s="6"/>
      <c r="B8927" s="6"/>
      <c r="C8927" s="6"/>
    </row>
    <row r="8928" s="1" customFormat="1" spans="1:3">
      <c r="A8928" s="6"/>
      <c r="B8928" s="6"/>
      <c r="C8928" s="6"/>
    </row>
    <row r="8929" s="1" customFormat="1" spans="1:3">
      <c r="A8929" s="6"/>
      <c r="B8929" s="6"/>
      <c r="C8929" s="6"/>
    </row>
    <row r="8930" s="1" customFormat="1" spans="1:3">
      <c r="A8930" s="6"/>
      <c r="B8930" s="6"/>
      <c r="C8930" s="6"/>
    </row>
    <row r="8931" s="1" customFormat="1" spans="1:3">
      <c r="A8931" s="6"/>
      <c r="B8931" s="6"/>
      <c r="C8931" s="6"/>
    </row>
    <row r="8932" s="1" customFormat="1" spans="1:3">
      <c r="A8932" s="6"/>
      <c r="B8932" s="6"/>
      <c r="C8932" s="6"/>
    </row>
    <row r="8933" s="1" customFormat="1" spans="1:3">
      <c r="A8933" s="6"/>
      <c r="B8933" s="6"/>
      <c r="C8933" s="6"/>
    </row>
    <row r="8934" s="1" customFormat="1" spans="1:3">
      <c r="A8934" s="6"/>
      <c r="B8934" s="6"/>
      <c r="C8934" s="6"/>
    </row>
    <row r="8935" s="1" customFormat="1" spans="1:3">
      <c r="A8935" s="6"/>
      <c r="B8935" s="6"/>
      <c r="C8935" s="6"/>
    </row>
    <row r="8936" s="1" customFormat="1" spans="1:3">
      <c r="A8936" s="6"/>
      <c r="B8936" s="6"/>
      <c r="C8936" s="6"/>
    </row>
    <row r="8937" s="1" customFormat="1" spans="1:3">
      <c r="A8937" s="6"/>
      <c r="B8937" s="6"/>
      <c r="C8937" s="6"/>
    </row>
    <row r="8938" s="1" customFormat="1" spans="1:3">
      <c r="A8938" s="6"/>
      <c r="B8938" s="6"/>
      <c r="C8938" s="6"/>
    </row>
    <row r="8939" s="1" customFormat="1" spans="1:3">
      <c r="A8939" s="6"/>
      <c r="B8939" s="6"/>
      <c r="C8939" s="6"/>
    </row>
    <row r="8940" s="1" customFormat="1" spans="1:3">
      <c r="A8940" s="6"/>
      <c r="B8940" s="6"/>
      <c r="C8940" s="6"/>
    </row>
    <row r="8941" s="1" customFormat="1" spans="1:3">
      <c r="A8941" s="6"/>
      <c r="B8941" s="6"/>
      <c r="C8941" s="6"/>
    </row>
    <row r="8942" s="1" customFormat="1" spans="1:3">
      <c r="A8942" s="6"/>
      <c r="B8942" s="6"/>
      <c r="C8942" s="6"/>
    </row>
    <row r="8943" s="1" customFormat="1" spans="1:3">
      <c r="A8943" s="6"/>
      <c r="B8943" s="6"/>
      <c r="C8943" s="6"/>
    </row>
    <row r="8944" s="1" customFormat="1" spans="1:3">
      <c r="A8944" s="6"/>
      <c r="B8944" s="6"/>
      <c r="C8944" s="6"/>
    </row>
    <row r="8945" s="1" customFormat="1" spans="1:3">
      <c r="A8945" s="6"/>
      <c r="B8945" s="6"/>
      <c r="C8945" s="6"/>
    </row>
    <row r="8946" s="1" customFormat="1" spans="1:3">
      <c r="A8946" s="6"/>
      <c r="B8946" s="6"/>
      <c r="C8946" s="6"/>
    </row>
    <row r="8947" s="1" customFormat="1" spans="1:3">
      <c r="A8947" s="6"/>
      <c r="B8947" s="6"/>
      <c r="C8947" s="6"/>
    </row>
    <row r="8948" s="1" customFormat="1" spans="1:3">
      <c r="A8948" s="6"/>
      <c r="B8948" s="6"/>
      <c r="C8948" s="6"/>
    </row>
    <row r="8949" s="1" customFormat="1" spans="1:3">
      <c r="A8949" s="6"/>
      <c r="B8949" s="6"/>
      <c r="C8949" s="6"/>
    </row>
    <row r="8950" s="1" customFormat="1" spans="1:3">
      <c r="A8950" s="6"/>
      <c r="B8950" s="6"/>
      <c r="C8950" s="6"/>
    </row>
    <row r="8951" s="1" customFormat="1" spans="1:3">
      <c r="A8951" s="6"/>
      <c r="B8951" s="6"/>
      <c r="C8951" s="6"/>
    </row>
    <row r="8952" s="1" customFormat="1" spans="1:3">
      <c r="A8952" s="6"/>
      <c r="B8952" s="6"/>
      <c r="C8952" s="6"/>
    </row>
    <row r="8953" s="1" customFormat="1" spans="1:3">
      <c r="A8953" s="6"/>
      <c r="B8953" s="6"/>
      <c r="C8953" s="6"/>
    </row>
    <row r="8954" s="1" customFormat="1" spans="1:3">
      <c r="A8954" s="6"/>
      <c r="B8954" s="6"/>
      <c r="C8954" s="6"/>
    </row>
    <row r="8955" s="1" customFormat="1" spans="1:3">
      <c r="A8955" s="6"/>
      <c r="B8955" s="6"/>
      <c r="C8955" s="6"/>
    </row>
    <row r="8956" s="1" customFormat="1" spans="1:3">
      <c r="A8956" s="6"/>
      <c r="B8956" s="6"/>
      <c r="C8956" s="6"/>
    </row>
    <row r="8957" s="1" customFormat="1" spans="1:3">
      <c r="A8957" s="6"/>
      <c r="B8957" s="6"/>
      <c r="C8957" s="6"/>
    </row>
    <row r="8958" s="1" customFormat="1" spans="1:3">
      <c r="A8958" s="6"/>
      <c r="B8958" s="6"/>
      <c r="C8958" s="6"/>
    </row>
    <row r="8959" s="1" customFormat="1" spans="1:3">
      <c r="A8959" s="6"/>
      <c r="B8959" s="6"/>
      <c r="C8959" s="6"/>
    </row>
    <row r="8960" s="1" customFormat="1" spans="1:3">
      <c r="A8960" s="6"/>
      <c r="B8960" s="6"/>
      <c r="C8960" s="6"/>
    </row>
    <row r="8961" s="1" customFormat="1" spans="1:3">
      <c r="A8961" s="6"/>
      <c r="B8961" s="6"/>
      <c r="C8961" s="6"/>
    </row>
    <row r="8962" s="1" customFormat="1" spans="1:3">
      <c r="A8962" s="6"/>
      <c r="B8962" s="6"/>
      <c r="C8962" s="6"/>
    </row>
    <row r="8963" s="1" customFormat="1" spans="1:3">
      <c r="A8963" s="6"/>
      <c r="B8963" s="6"/>
      <c r="C8963" s="6"/>
    </row>
    <row r="8964" s="1" customFormat="1" spans="1:3">
      <c r="A8964" s="6"/>
      <c r="B8964" s="6"/>
      <c r="C8964" s="6"/>
    </row>
    <row r="8965" s="1" customFormat="1" spans="1:3">
      <c r="A8965" s="6"/>
      <c r="B8965" s="6"/>
      <c r="C8965" s="6"/>
    </row>
    <row r="8966" s="1" customFormat="1" spans="1:3">
      <c r="A8966" s="6"/>
      <c r="B8966" s="6"/>
      <c r="C8966" s="6"/>
    </row>
    <row r="8967" s="1" customFormat="1" spans="1:3">
      <c r="A8967" s="6"/>
      <c r="B8967" s="6"/>
      <c r="C8967" s="6"/>
    </row>
    <row r="8968" s="1" customFormat="1" spans="1:3">
      <c r="A8968" s="6"/>
      <c r="B8968" s="6"/>
      <c r="C8968" s="6"/>
    </row>
    <row r="8969" s="1" customFormat="1" spans="1:3">
      <c r="A8969" s="6"/>
      <c r="B8969" s="6"/>
      <c r="C8969" s="6"/>
    </row>
    <row r="8970" s="1" customFormat="1" spans="1:3">
      <c r="A8970" s="6"/>
      <c r="B8970" s="6"/>
      <c r="C8970" s="6"/>
    </row>
    <row r="8971" s="1" customFormat="1" spans="1:3">
      <c r="A8971" s="6"/>
      <c r="B8971" s="6"/>
      <c r="C8971" s="6"/>
    </row>
    <row r="8972" s="1" customFormat="1" spans="1:3">
      <c r="A8972" s="6"/>
      <c r="B8972" s="6"/>
      <c r="C8972" s="6"/>
    </row>
    <row r="8973" s="1" customFormat="1" spans="1:3">
      <c r="A8973" s="6"/>
      <c r="B8973" s="6"/>
      <c r="C8973" s="6"/>
    </row>
    <row r="8974" s="1" customFormat="1" spans="1:3">
      <c r="A8974" s="6"/>
      <c r="B8974" s="6"/>
      <c r="C8974" s="6"/>
    </row>
    <row r="8975" s="1" customFormat="1" spans="1:3">
      <c r="A8975" s="6"/>
      <c r="B8975" s="6"/>
      <c r="C8975" s="6"/>
    </row>
    <row r="8976" s="1" customFormat="1" spans="1:3">
      <c r="A8976" s="6"/>
      <c r="B8976" s="6"/>
      <c r="C8976" s="6"/>
    </row>
    <row r="8977" s="1" customFormat="1" spans="1:3">
      <c r="A8977" s="6"/>
      <c r="B8977" s="6"/>
      <c r="C8977" s="6"/>
    </row>
    <row r="8978" s="1" customFormat="1" spans="1:3">
      <c r="A8978" s="6"/>
      <c r="B8978" s="6"/>
      <c r="C8978" s="6"/>
    </row>
    <row r="8979" s="1" customFormat="1" spans="1:3">
      <c r="A8979" s="6"/>
      <c r="B8979" s="6"/>
      <c r="C8979" s="6"/>
    </row>
    <row r="8980" s="1" customFormat="1" spans="1:3">
      <c r="A8980" s="6"/>
      <c r="B8980" s="6"/>
      <c r="C8980" s="6"/>
    </row>
    <row r="8981" s="1" customFormat="1" spans="1:3">
      <c r="A8981" s="6"/>
      <c r="B8981" s="6"/>
      <c r="C8981" s="6"/>
    </row>
    <row r="8982" s="1" customFormat="1" spans="1:3">
      <c r="A8982" s="6"/>
      <c r="B8982" s="6"/>
      <c r="C8982" s="6"/>
    </row>
    <row r="8983" s="1" customFormat="1" spans="1:3">
      <c r="A8983" s="6"/>
      <c r="B8983" s="6"/>
      <c r="C8983" s="6"/>
    </row>
    <row r="8984" s="1" customFormat="1" spans="1:3">
      <c r="A8984" s="6"/>
      <c r="B8984" s="6"/>
      <c r="C8984" s="6"/>
    </row>
    <row r="8985" s="1" customFormat="1" spans="1:3">
      <c r="A8985" s="6"/>
      <c r="B8985" s="6"/>
      <c r="C8985" s="6"/>
    </row>
    <row r="8986" s="1" customFormat="1" spans="1:3">
      <c r="A8986" s="6"/>
      <c r="B8986" s="6"/>
      <c r="C8986" s="6"/>
    </row>
    <row r="8987" s="1" customFormat="1" spans="1:3">
      <c r="A8987" s="6"/>
      <c r="B8987" s="6"/>
      <c r="C8987" s="6"/>
    </row>
    <row r="8988" s="1" customFormat="1" spans="1:3">
      <c r="A8988" s="6"/>
      <c r="B8988" s="6"/>
      <c r="C8988" s="6"/>
    </row>
    <row r="8989" s="1" customFormat="1" spans="1:3">
      <c r="A8989" s="6"/>
      <c r="B8989" s="6"/>
      <c r="C8989" s="6"/>
    </row>
    <row r="8990" s="1" customFormat="1" spans="1:3">
      <c r="A8990" s="6"/>
      <c r="B8990" s="6"/>
      <c r="C8990" s="6"/>
    </row>
    <row r="8991" s="1" customFormat="1" spans="1:3">
      <c r="A8991" s="6"/>
      <c r="B8991" s="6"/>
      <c r="C8991" s="6"/>
    </row>
    <row r="8992" s="1" customFormat="1" spans="1:3">
      <c r="A8992" s="6"/>
      <c r="B8992" s="6"/>
      <c r="C8992" s="6"/>
    </row>
    <row r="8993" s="1" customFormat="1" spans="1:3">
      <c r="A8993" s="6"/>
      <c r="B8993" s="6"/>
      <c r="C8993" s="6"/>
    </row>
    <row r="8994" s="1" customFormat="1" spans="1:3">
      <c r="A8994" s="6"/>
      <c r="B8994" s="6"/>
      <c r="C8994" s="6"/>
    </row>
    <row r="8995" s="1" customFormat="1" spans="1:3">
      <c r="A8995" s="6"/>
      <c r="B8995" s="6"/>
      <c r="C8995" s="6"/>
    </row>
    <row r="8996" s="1" customFormat="1" spans="1:3">
      <c r="A8996" s="6"/>
      <c r="B8996" s="6"/>
      <c r="C8996" s="6"/>
    </row>
    <row r="8997" s="1" customFormat="1" spans="1:3">
      <c r="A8997" s="6"/>
      <c r="B8997" s="6"/>
      <c r="C8997" s="6"/>
    </row>
    <row r="8998" s="1" customFormat="1" spans="1:3">
      <c r="A8998" s="6"/>
      <c r="B8998" s="6"/>
      <c r="C8998" s="6"/>
    </row>
    <row r="8999" s="1" customFormat="1" spans="1:3">
      <c r="A8999" s="6"/>
      <c r="B8999" s="6"/>
      <c r="C8999" s="6"/>
    </row>
    <row r="9000" s="1" customFormat="1" spans="1:3">
      <c r="A9000" s="6"/>
      <c r="B9000" s="6"/>
      <c r="C9000" s="6"/>
    </row>
    <row r="9001" s="1" customFormat="1" spans="1:3">
      <c r="A9001" s="6"/>
      <c r="B9001" s="6"/>
      <c r="C9001" s="6"/>
    </row>
    <row r="9002" s="1" customFormat="1" spans="1:3">
      <c r="A9002" s="6"/>
      <c r="B9002" s="6"/>
      <c r="C9002" s="6"/>
    </row>
    <row r="9003" s="1" customFormat="1" spans="1:3">
      <c r="A9003" s="6"/>
      <c r="B9003" s="6"/>
      <c r="C9003" s="6"/>
    </row>
    <row r="9004" s="1" customFormat="1" spans="1:3">
      <c r="A9004" s="6"/>
      <c r="B9004" s="6"/>
      <c r="C9004" s="6"/>
    </row>
    <row r="9005" s="1" customFormat="1" spans="1:3">
      <c r="A9005" s="6"/>
      <c r="B9005" s="6"/>
      <c r="C9005" s="6"/>
    </row>
    <row r="9006" s="1" customFormat="1" spans="1:3">
      <c r="A9006" s="6"/>
      <c r="B9006" s="6"/>
      <c r="C9006" s="6"/>
    </row>
    <row r="9007" s="1" customFormat="1" spans="1:3">
      <c r="A9007" s="6"/>
      <c r="B9007" s="6"/>
      <c r="C9007" s="6"/>
    </row>
    <row r="9008" s="1" customFormat="1" spans="1:3">
      <c r="A9008" s="6"/>
      <c r="B9008" s="6"/>
      <c r="C9008" s="6"/>
    </row>
    <row r="9009" s="1" customFormat="1" spans="1:3">
      <c r="A9009" s="6"/>
      <c r="B9009" s="6"/>
      <c r="C9009" s="6"/>
    </row>
    <row r="9010" s="1" customFormat="1" spans="1:3">
      <c r="A9010" s="6"/>
      <c r="B9010" s="6"/>
      <c r="C9010" s="6"/>
    </row>
    <row r="9011" s="1" customFormat="1" spans="1:3">
      <c r="A9011" s="6"/>
      <c r="B9011" s="6"/>
      <c r="C9011" s="6"/>
    </row>
    <row r="9012" s="1" customFormat="1" spans="1:3">
      <c r="A9012" s="6"/>
      <c r="B9012" s="6"/>
      <c r="C9012" s="6"/>
    </row>
    <row r="9013" s="1" customFormat="1" spans="1:3">
      <c r="A9013" s="6"/>
      <c r="B9013" s="6"/>
      <c r="C9013" s="6"/>
    </row>
    <row r="9014" s="1" customFormat="1" spans="1:3">
      <c r="A9014" s="6"/>
      <c r="B9014" s="6"/>
      <c r="C9014" s="6"/>
    </row>
    <row r="9015" s="1" customFormat="1" spans="1:3">
      <c r="A9015" s="6"/>
      <c r="B9015" s="6"/>
      <c r="C9015" s="6"/>
    </row>
    <row r="9016" s="1" customFormat="1" spans="1:3">
      <c r="A9016" s="6"/>
      <c r="B9016" s="6"/>
      <c r="C9016" s="6"/>
    </row>
    <row r="9017" s="1" customFormat="1" spans="1:3">
      <c r="A9017" s="6"/>
      <c r="B9017" s="6"/>
      <c r="C9017" s="6"/>
    </row>
    <row r="9018" s="1" customFormat="1" spans="1:3">
      <c r="A9018" s="6"/>
      <c r="B9018" s="6"/>
      <c r="C9018" s="6"/>
    </row>
    <row r="9019" s="1" customFormat="1" spans="1:3">
      <c r="A9019" s="6"/>
      <c r="B9019" s="6"/>
      <c r="C9019" s="6"/>
    </row>
    <row r="9020" s="1" customFormat="1" spans="1:3">
      <c r="A9020" s="6"/>
      <c r="B9020" s="6"/>
      <c r="C9020" s="6"/>
    </row>
    <row r="9021" s="1" customFormat="1" spans="1:3">
      <c r="A9021" s="6"/>
      <c r="B9021" s="6"/>
      <c r="C9021" s="6"/>
    </row>
    <row r="9022" s="1" customFormat="1" spans="1:3">
      <c r="A9022" s="6"/>
      <c r="B9022" s="6"/>
      <c r="C9022" s="6"/>
    </row>
    <row r="9023" s="1" customFormat="1" spans="1:3">
      <c r="A9023" s="6"/>
      <c r="B9023" s="6"/>
      <c r="C9023" s="6"/>
    </row>
    <row r="9024" s="1" customFormat="1" spans="1:3">
      <c r="A9024" s="6"/>
      <c r="B9024" s="6"/>
      <c r="C9024" s="6"/>
    </row>
    <row r="9025" s="1" customFormat="1" spans="1:3">
      <c r="A9025" s="6"/>
      <c r="B9025" s="6"/>
      <c r="C9025" s="6"/>
    </row>
    <row r="9026" s="1" customFormat="1" spans="1:3">
      <c r="A9026" s="6"/>
      <c r="B9026" s="6"/>
      <c r="C9026" s="6"/>
    </row>
    <row r="9027" s="1" customFormat="1" spans="1:3">
      <c r="A9027" s="6"/>
      <c r="B9027" s="6"/>
      <c r="C9027" s="6"/>
    </row>
    <row r="9028" s="1" customFormat="1" spans="1:3">
      <c r="A9028" s="6"/>
      <c r="B9028" s="6"/>
      <c r="C9028" s="6"/>
    </row>
    <row r="9029" s="1" customFormat="1" spans="1:3">
      <c r="A9029" s="6"/>
      <c r="B9029" s="6"/>
      <c r="C9029" s="6"/>
    </row>
    <row r="9030" s="1" customFormat="1" spans="1:3">
      <c r="A9030" s="6"/>
      <c r="B9030" s="6"/>
      <c r="C9030" s="6"/>
    </row>
    <row r="9031" s="1" customFormat="1" spans="1:3">
      <c r="A9031" s="6"/>
      <c r="B9031" s="6"/>
      <c r="C9031" s="6"/>
    </row>
    <row r="9032" s="1" customFormat="1" spans="1:3">
      <c r="A9032" s="6"/>
      <c r="B9032" s="6"/>
      <c r="C9032" s="6"/>
    </row>
    <row r="9033" s="1" customFormat="1" spans="1:3">
      <c r="A9033" s="6"/>
      <c r="B9033" s="6"/>
      <c r="C9033" s="6"/>
    </row>
    <row r="9034" s="1" customFormat="1" spans="1:3">
      <c r="A9034" s="6"/>
      <c r="B9034" s="6"/>
      <c r="C9034" s="6"/>
    </row>
    <row r="9035" s="1" customFormat="1" spans="1:3">
      <c r="A9035" s="6"/>
      <c r="B9035" s="6"/>
      <c r="C9035" s="6"/>
    </row>
    <row r="9036" s="1" customFormat="1" spans="1:3">
      <c r="A9036" s="6"/>
      <c r="B9036" s="6"/>
      <c r="C9036" s="6"/>
    </row>
    <row r="9037" s="1" customFormat="1" spans="1:3">
      <c r="A9037" s="6"/>
      <c r="B9037" s="6"/>
      <c r="C9037" s="6"/>
    </row>
    <row r="9038" s="1" customFormat="1" spans="1:3">
      <c r="A9038" s="6"/>
      <c r="B9038" s="6"/>
      <c r="C9038" s="6"/>
    </row>
    <row r="9039" s="1" customFormat="1" spans="1:3">
      <c r="A9039" s="6"/>
      <c r="B9039" s="6"/>
      <c r="C9039" s="6"/>
    </row>
    <row r="9040" s="1" customFormat="1" spans="1:3">
      <c r="A9040" s="6"/>
      <c r="B9040" s="6"/>
      <c r="C9040" s="6"/>
    </row>
    <row r="9041" s="1" customFormat="1" spans="1:3">
      <c r="A9041" s="6"/>
      <c r="B9041" s="6"/>
      <c r="C9041" s="6"/>
    </row>
    <row r="9042" s="1" customFormat="1" spans="1:3">
      <c r="A9042" s="6"/>
      <c r="B9042" s="6"/>
      <c r="C9042" s="6"/>
    </row>
    <row r="9043" s="1" customFormat="1" spans="1:3">
      <c r="A9043" s="6"/>
      <c r="B9043" s="6"/>
      <c r="C9043" s="6"/>
    </row>
    <row r="9044" s="1" customFormat="1" spans="1:3">
      <c r="A9044" s="6"/>
      <c r="B9044" s="6"/>
      <c r="C9044" s="6"/>
    </row>
    <row r="9045" s="1" customFormat="1" spans="1:3">
      <c r="A9045" s="6"/>
      <c r="B9045" s="6"/>
      <c r="C9045" s="6"/>
    </row>
    <row r="9046" s="1" customFormat="1" spans="1:3">
      <c r="A9046" s="6"/>
      <c r="B9046" s="6"/>
      <c r="C9046" s="6"/>
    </row>
    <row r="9047" s="1" customFormat="1" spans="1:3">
      <c r="A9047" s="6"/>
      <c r="B9047" s="6"/>
      <c r="C9047" s="6"/>
    </row>
    <row r="9048" s="1" customFormat="1" spans="1:3">
      <c r="A9048" s="6"/>
      <c r="B9048" s="6"/>
      <c r="C9048" s="6"/>
    </row>
    <row r="9049" s="1" customFormat="1" spans="1:3">
      <c r="A9049" s="6"/>
      <c r="B9049" s="6"/>
      <c r="C9049" s="6"/>
    </row>
    <row r="9050" s="1" customFormat="1" spans="1:3">
      <c r="A9050" s="6"/>
      <c r="B9050" s="6"/>
      <c r="C9050" s="6"/>
    </row>
    <row r="9051" s="1" customFormat="1" spans="1:3">
      <c r="A9051" s="6"/>
      <c r="B9051" s="6"/>
      <c r="C9051" s="6"/>
    </row>
    <row r="9052" s="1" customFormat="1" spans="1:3">
      <c r="A9052" s="6"/>
      <c r="B9052" s="6"/>
      <c r="C9052" s="6"/>
    </row>
    <row r="9053" s="1" customFormat="1" spans="1:3">
      <c r="A9053" s="6"/>
      <c r="B9053" s="6"/>
      <c r="C9053" s="6"/>
    </row>
    <row r="9054" s="1" customFormat="1" spans="1:3">
      <c r="A9054" s="6"/>
      <c r="B9054" s="6"/>
      <c r="C9054" s="6"/>
    </row>
    <row r="9055" s="1" customFormat="1" spans="1:3">
      <c r="A9055" s="6"/>
      <c r="B9055" s="6"/>
      <c r="C9055" s="6"/>
    </row>
    <row r="9056" s="1" customFormat="1" spans="1:3">
      <c r="A9056" s="6"/>
      <c r="B9056" s="6"/>
      <c r="C9056" s="6"/>
    </row>
    <row r="9057" s="1" customFormat="1" spans="1:3">
      <c r="A9057" s="6"/>
      <c r="B9057" s="6"/>
      <c r="C9057" s="6"/>
    </row>
    <row r="9058" s="1" customFormat="1" spans="1:3">
      <c r="A9058" s="6"/>
      <c r="B9058" s="6"/>
      <c r="C9058" s="6"/>
    </row>
    <row r="9059" s="1" customFormat="1" spans="1:3">
      <c r="A9059" s="6"/>
      <c r="B9059" s="6"/>
      <c r="C9059" s="6"/>
    </row>
    <row r="9060" s="1" customFormat="1" spans="1:3">
      <c r="A9060" s="6"/>
      <c r="B9060" s="6"/>
      <c r="C9060" s="6"/>
    </row>
    <row r="9061" s="1" customFormat="1" spans="1:3">
      <c r="A9061" s="6"/>
      <c r="B9061" s="6"/>
      <c r="C9061" s="6"/>
    </row>
    <row r="9062" s="1" customFormat="1" spans="1:3">
      <c r="A9062" s="6"/>
      <c r="B9062" s="6"/>
      <c r="C9062" s="6"/>
    </row>
    <row r="9063" s="1" customFormat="1" spans="1:3">
      <c r="A9063" s="6"/>
      <c r="B9063" s="6"/>
      <c r="C9063" s="6"/>
    </row>
    <row r="9064" s="1" customFormat="1" spans="1:3">
      <c r="A9064" s="6"/>
      <c r="B9064" s="6"/>
      <c r="C9064" s="6"/>
    </row>
    <row r="9065" s="1" customFormat="1" spans="1:3">
      <c r="A9065" s="6"/>
      <c r="B9065" s="6"/>
      <c r="C9065" s="6"/>
    </row>
    <row r="9066" s="1" customFormat="1" spans="1:3">
      <c r="A9066" s="6"/>
      <c r="B9066" s="6"/>
      <c r="C9066" s="6"/>
    </row>
    <row r="9067" s="1" customFormat="1" spans="1:3">
      <c r="A9067" s="6"/>
      <c r="B9067" s="6"/>
      <c r="C9067" s="6"/>
    </row>
    <row r="9068" s="1" customFormat="1" spans="1:3">
      <c r="A9068" s="6"/>
      <c r="B9068" s="6"/>
      <c r="C9068" s="6"/>
    </row>
    <row r="9069" s="1" customFormat="1" spans="1:3">
      <c r="A9069" s="6"/>
      <c r="B9069" s="6"/>
      <c r="C9069" s="6"/>
    </row>
    <row r="9070" s="1" customFormat="1" spans="1:3">
      <c r="A9070" s="6"/>
      <c r="B9070" s="6"/>
      <c r="C9070" s="6"/>
    </row>
    <row r="9071" s="1" customFormat="1" spans="1:3">
      <c r="A9071" s="6"/>
      <c r="B9071" s="6"/>
      <c r="C9071" s="6"/>
    </row>
    <row r="9072" s="1" customFormat="1" spans="1:3">
      <c r="A9072" s="6"/>
      <c r="B9072" s="6"/>
      <c r="C9072" s="6"/>
    </row>
    <row r="9073" s="1" customFormat="1" spans="1:3">
      <c r="A9073" s="6"/>
      <c r="B9073" s="6"/>
      <c r="C9073" s="6"/>
    </row>
    <row r="9074" s="1" customFormat="1" spans="1:3">
      <c r="A9074" s="6"/>
      <c r="B9074" s="6"/>
      <c r="C9074" s="6"/>
    </row>
    <row r="9075" s="1" customFormat="1" spans="1:3">
      <c r="A9075" s="6"/>
      <c r="B9075" s="6"/>
      <c r="C9075" s="6"/>
    </row>
    <row r="9076" s="1" customFormat="1" spans="1:3">
      <c r="A9076" s="6"/>
      <c r="B9076" s="6"/>
      <c r="C9076" s="6"/>
    </row>
    <row r="9077" s="1" customFormat="1" spans="1:3">
      <c r="A9077" s="6"/>
      <c r="B9077" s="6"/>
      <c r="C9077" s="6"/>
    </row>
    <row r="9078" s="1" customFormat="1" spans="1:3">
      <c r="A9078" s="6"/>
      <c r="B9078" s="6"/>
      <c r="C9078" s="6"/>
    </row>
    <row r="9079" s="1" customFormat="1" spans="1:3">
      <c r="A9079" s="6"/>
      <c r="B9079" s="6"/>
      <c r="C9079" s="6"/>
    </row>
    <row r="9080" s="1" customFormat="1" spans="1:3">
      <c r="A9080" s="6"/>
      <c r="B9080" s="6"/>
      <c r="C9080" s="6"/>
    </row>
    <row r="9081" s="1" customFormat="1" spans="1:3">
      <c r="A9081" s="6"/>
      <c r="B9081" s="6"/>
      <c r="C9081" s="6"/>
    </row>
    <row r="9082" s="1" customFormat="1" spans="1:3">
      <c r="A9082" s="6"/>
      <c r="B9082" s="6"/>
      <c r="C9082" s="6"/>
    </row>
    <row r="9083" s="1" customFormat="1" spans="1:3">
      <c r="A9083" s="6"/>
      <c r="B9083" s="6"/>
      <c r="C9083" s="6"/>
    </row>
    <row r="9084" s="1" customFormat="1" spans="1:3">
      <c r="A9084" s="6"/>
      <c r="B9084" s="6"/>
      <c r="C9084" s="6"/>
    </row>
    <row r="9085" s="1" customFormat="1" spans="1:3">
      <c r="A9085" s="6"/>
      <c r="B9085" s="6"/>
      <c r="C9085" s="6"/>
    </row>
    <row r="9086" s="1" customFormat="1" spans="1:3">
      <c r="A9086" s="6"/>
      <c r="B9086" s="6"/>
      <c r="C9086" s="6"/>
    </row>
    <row r="9087" s="1" customFormat="1" spans="1:3">
      <c r="A9087" s="6"/>
      <c r="B9087" s="6"/>
      <c r="C9087" s="6"/>
    </row>
    <row r="9088" s="1" customFormat="1" spans="1:3">
      <c r="A9088" s="6"/>
      <c r="B9088" s="6"/>
      <c r="C9088" s="6"/>
    </row>
    <row r="9089" s="1" customFormat="1" spans="1:3">
      <c r="A9089" s="6"/>
      <c r="B9089" s="6"/>
      <c r="C9089" s="6"/>
    </row>
    <row r="9090" s="1" customFormat="1" spans="1:3">
      <c r="A9090" s="6"/>
      <c r="B9090" s="6"/>
      <c r="C9090" s="6"/>
    </row>
    <row r="9091" s="1" customFormat="1" spans="1:3">
      <c r="A9091" s="6"/>
      <c r="B9091" s="6"/>
      <c r="C9091" s="6"/>
    </row>
    <row r="9092" s="1" customFormat="1" spans="1:3">
      <c r="A9092" s="6"/>
      <c r="B9092" s="6"/>
      <c r="C9092" s="6"/>
    </row>
    <row r="9093" s="1" customFormat="1" spans="1:3">
      <c r="A9093" s="6"/>
      <c r="B9093" s="6"/>
      <c r="C9093" s="6"/>
    </row>
    <row r="9094" s="1" customFormat="1" spans="1:3">
      <c r="A9094" s="6"/>
      <c r="B9094" s="6"/>
      <c r="C9094" s="6"/>
    </row>
    <row r="9095" s="1" customFormat="1" spans="1:3">
      <c r="A9095" s="6"/>
      <c r="B9095" s="6"/>
      <c r="C9095" s="6"/>
    </row>
    <row r="9096" s="1" customFormat="1" spans="1:3">
      <c r="A9096" s="6"/>
      <c r="B9096" s="6"/>
      <c r="C9096" s="6"/>
    </row>
    <row r="9097" s="1" customFormat="1" spans="1:3">
      <c r="A9097" s="6"/>
      <c r="B9097" s="6"/>
      <c r="C9097" s="6"/>
    </row>
    <row r="9098" s="1" customFormat="1" spans="1:3">
      <c r="A9098" s="6"/>
      <c r="B9098" s="6"/>
      <c r="C9098" s="6"/>
    </row>
    <row r="9099" s="1" customFormat="1" spans="1:3">
      <c r="A9099" s="6"/>
      <c r="B9099" s="6"/>
      <c r="C9099" s="6"/>
    </row>
    <row r="9100" s="1" customFormat="1" spans="1:3">
      <c r="A9100" s="6"/>
      <c r="B9100" s="6"/>
      <c r="C9100" s="6"/>
    </row>
    <row r="9101" s="1" customFormat="1" spans="1:3">
      <c r="A9101" s="6"/>
      <c r="B9101" s="6"/>
      <c r="C9101" s="6"/>
    </row>
    <row r="9102" s="1" customFormat="1" spans="1:3">
      <c r="A9102" s="6"/>
      <c r="B9102" s="6"/>
      <c r="C9102" s="6"/>
    </row>
    <row r="9103" s="1" customFormat="1" spans="1:3">
      <c r="A9103" s="6"/>
      <c r="B9103" s="6"/>
      <c r="C9103" s="6"/>
    </row>
    <row r="9104" s="1" customFormat="1" spans="1:3">
      <c r="A9104" s="6"/>
      <c r="B9104" s="6"/>
      <c r="C9104" s="6"/>
    </row>
    <row r="9105" s="1" customFormat="1" spans="1:3">
      <c r="A9105" s="6"/>
      <c r="B9105" s="6"/>
      <c r="C9105" s="6"/>
    </row>
    <row r="9106" s="1" customFormat="1" spans="1:3">
      <c r="A9106" s="6"/>
      <c r="B9106" s="6"/>
      <c r="C9106" s="6"/>
    </row>
    <row r="9107" s="1" customFormat="1" spans="1:3">
      <c r="A9107" s="6"/>
      <c r="B9107" s="6"/>
      <c r="C9107" s="6"/>
    </row>
    <row r="9108" s="1" customFormat="1" spans="1:3">
      <c r="A9108" s="6"/>
      <c r="B9108" s="6"/>
      <c r="C9108" s="6"/>
    </row>
    <row r="9109" s="1" customFormat="1" spans="1:3">
      <c r="A9109" s="6"/>
      <c r="B9109" s="6"/>
      <c r="C9109" s="6"/>
    </row>
    <row r="9110" s="1" customFormat="1" spans="1:3">
      <c r="A9110" s="6"/>
      <c r="B9110" s="6"/>
      <c r="C9110" s="6"/>
    </row>
    <row r="9111" s="1" customFormat="1" spans="1:3">
      <c r="A9111" s="6"/>
      <c r="B9111" s="6"/>
      <c r="C9111" s="6"/>
    </row>
    <row r="9112" s="1" customFormat="1" spans="1:3">
      <c r="A9112" s="6"/>
      <c r="B9112" s="6"/>
      <c r="C9112" s="6"/>
    </row>
    <row r="9113" s="1" customFormat="1" spans="1:3">
      <c r="A9113" s="6"/>
      <c r="B9113" s="6"/>
      <c r="C9113" s="6"/>
    </row>
    <row r="9114" s="1" customFormat="1" spans="1:3">
      <c r="A9114" s="6"/>
      <c r="B9114" s="6"/>
      <c r="C9114" s="6"/>
    </row>
    <row r="9115" s="1" customFormat="1" spans="1:3">
      <c r="A9115" s="6"/>
      <c r="B9115" s="6"/>
      <c r="C9115" s="6"/>
    </row>
    <row r="9116" s="1" customFormat="1" spans="1:3">
      <c r="A9116" s="6"/>
      <c r="B9116" s="6"/>
      <c r="C9116" s="6"/>
    </row>
    <row r="9117" s="1" customFormat="1" spans="1:3">
      <c r="A9117" s="6"/>
      <c r="B9117" s="6"/>
      <c r="C9117" s="6"/>
    </row>
    <row r="9118" s="1" customFormat="1" spans="1:3">
      <c r="A9118" s="6"/>
      <c r="B9118" s="6"/>
      <c r="C9118" s="6"/>
    </row>
    <row r="9119" s="1" customFormat="1" spans="1:3">
      <c r="A9119" s="6"/>
      <c r="B9119" s="6"/>
      <c r="C9119" s="6"/>
    </row>
    <row r="9120" s="1" customFormat="1" spans="1:3">
      <c r="A9120" s="6"/>
      <c r="B9120" s="6"/>
      <c r="C9120" s="6"/>
    </row>
    <row r="9121" s="1" customFormat="1" spans="1:3">
      <c r="A9121" s="6"/>
      <c r="B9121" s="6"/>
      <c r="C9121" s="6"/>
    </row>
    <row r="9122" s="1" customFormat="1" spans="1:3">
      <c r="A9122" s="6"/>
      <c r="B9122" s="6"/>
      <c r="C9122" s="6"/>
    </row>
    <row r="9123" s="1" customFormat="1" spans="1:3">
      <c r="A9123" s="6"/>
      <c r="B9123" s="6"/>
      <c r="C9123" s="6"/>
    </row>
    <row r="9124" s="1" customFormat="1" spans="1:3">
      <c r="A9124" s="6"/>
      <c r="B9124" s="6"/>
      <c r="C9124" s="6"/>
    </row>
    <row r="9125" s="1" customFormat="1" spans="1:3">
      <c r="A9125" s="6"/>
      <c r="B9125" s="6"/>
      <c r="C9125" s="6"/>
    </row>
    <row r="9126" s="1" customFormat="1" spans="1:3">
      <c r="A9126" s="6"/>
      <c r="B9126" s="6"/>
      <c r="C9126" s="6"/>
    </row>
    <row r="9127" s="1" customFormat="1" spans="1:3">
      <c r="A9127" s="6"/>
      <c r="B9127" s="6"/>
      <c r="C9127" s="6"/>
    </row>
    <row r="9128" s="1" customFormat="1" spans="1:3">
      <c r="A9128" s="6"/>
      <c r="B9128" s="6"/>
      <c r="C9128" s="6"/>
    </row>
    <row r="9129" s="1" customFormat="1" spans="1:3">
      <c r="A9129" s="6"/>
      <c r="B9129" s="6"/>
      <c r="C9129" s="6"/>
    </row>
    <row r="9130" s="1" customFormat="1" spans="1:3">
      <c r="A9130" s="6"/>
      <c r="B9130" s="6"/>
      <c r="C9130" s="6"/>
    </row>
    <row r="9131" s="1" customFormat="1" spans="1:3">
      <c r="A9131" s="6"/>
      <c r="B9131" s="6"/>
      <c r="C9131" s="6"/>
    </row>
    <row r="9132" s="1" customFormat="1" spans="1:3">
      <c r="A9132" s="6"/>
      <c r="B9132" s="6"/>
      <c r="C9132" s="6"/>
    </row>
    <row r="9133" s="1" customFormat="1" spans="1:3">
      <c r="A9133" s="6"/>
      <c r="B9133" s="6"/>
      <c r="C9133" s="6"/>
    </row>
    <row r="9134" s="1" customFormat="1" spans="1:3">
      <c r="A9134" s="6"/>
      <c r="B9134" s="6"/>
      <c r="C9134" s="6"/>
    </row>
    <row r="9135" s="1" customFormat="1" spans="1:3">
      <c r="A9135" s="6"/>
      <c r="B9135" s="6"/>
      <c r="C9135" s="6"/>
    </row>
    <row r="9136" s="1" customFormat="1" spans="1:3">
      <c r="A9136" s="6"/>
      <c r="B9136" s="6"/>
      <c r="C9136" s="6"/>
    </row>
    <row r="9137" s="1" customFormat="1" spans="1:3">
      <c r="A9137" s="6"/>
      <c r="B9137" s="6"/>
      <c r="C9137" s="6"/>
    </row>
    <row r="9138" s="1" customFormat="1" spans="1:3">
      <c r="A9138" s="6"/>
      <c r="B9138" s="6"/>
      <c r="C9138" s="6"/>
    </row>
    <row r="9139" s="1" customFormat="1" spans="1:3">
      <c r="A9139" s="6"/>
      <c r="B9139" s="6"/>
      <c r="C9139" s="6"/>
    </row>
    <row r="9140" s="1" customFormat="1" spans="1:3">
      <c r="A9140" s="6"/>
      <c r="B9140" s="6"/>
      <c r="C9140" s="6"/>
    </row>
    <row r="9141" s="1" customFormat="1" spans="1:3">
      <c r="A9141" s="6"/>
      <c r="B9141" s="6"/>
      <c r="C9141" s="6"/>
    </row>
    <row r="9142" s="1" customFormat="1" spans="1:3">
      <c r="A9142" s="6"/>
      <c r="B9142" s="6"/>
      <c r="C9142" s="6"/>
    </row>
    <row r="9143" s="1" customFormat="1" spans="1:3">
      <c r="A9143" s="6"/>
      <c r="B9143" s="6"/>
      <c r="C9143" s="6"/>
    </row>
    <row r="9144" s="1" customFormat="1" spans="1:3">
      <c r="A9144" s="6"/>
      <c r="B9144" s="6"/>
      <c r="C9144" s="6"/>
    </row>
    <row r="9145" s="1" customFormat="1" spans="1:3">
      <c r="A9145" s="6"/>
      <c r="B9145" s="6"/>
      <c r="C9145" s="6"/>
    </row>
    <row r="9146" s="1" customFormat="1" spans="1:3">
      <c r="A9146" s="6"/>
      <c r="B9146" s="6"/>
      <c r="C9146" s="6"/>
    </row>
    <row r="9147" s="1" customFormat="1" spans="1:3">
      <c r="A9147" s="6"/>
      <c r="B9147" s="6"/>
      <c r="C9147" s="6"/>
    </row>
    <row r="9148" s="1" customFormat="1" spans="1:3">
      <c r="A9148" s="6"/>
      <c r="B9148" s="6"/>
      <c r="C9148" s="6"/>
    </row>
    <row r="9149" s="1" customFormat="1" spans="1:3">
      <c r="A9149" s="6"/>
      <c r="B9149" s="6"/>
      <c r="C9149" s="6"/>
    </row>
    <row r="9150" s="1" customFormat="1" spans="1:3">
      <c r="A9150" s="6"/>
      <c r="B9150" s="6"/>
      <c r="C9150" s="6"/>
    </row>
    <row r="9151" s="1" customFormat="1" spans="1:3">
      <c r="A9151" s="6"/>
      <c r="B9151" s="6"/>
      <c r="C9151" s="6"/>
    </row>
    <row r="9152" s="1" customFormat="1" spans="1:3">
      <c r="A9152" s="6"/>
      <c r="B9152" s="6"/>
      <c r="C9152" s="6"/>
    </row>
    <row r="9153" s="1" customFormat="1" spans="1:3">
      <c r="A9153" s="6"/>
      <c r="B9153" s="6"/>
      <c r="C9153" s="6"/>
    </row>
    <row r="9154" s="1" customFormat="1" spans="1:3">
      <c r="A9154" s="6"/>
      <c r="B9154" s="6"/>
      <c r="C9154" s="6"/>
    </row>
    <row r="9155" s="1" customFormat="1" spans="1:3">
      <c r="A9155" s="6"/>
      <c r="B9155" s="6"/>
      <c r="C9155" s="6"/>
    </row>
    <row r="9156" s="1" customFormat="1" spans="1:3">
      <c r="A9156" s="6"/>
      <c r="B9156" s="6"/>
      <c r="C9156" s="6"/>
    </row>
    <row r="9157" s="1" customFormat="1" spans="1:3">
      <c r="A9157" s="6"/>
      <c r="B9157" s="6"/>
      <c r="C9157" s="6"/>
    </row>
    <row r="9158" s="1" customFormat="1" spans="1:3">
      <c r="A9158" s="6"/>
      <c r="B9158" s="6"/>
      <c r="C9158" s="6"/>
    </row>
    <row r="9159" s="1" customFormat="1" spans="1:3">
      <c r="A9159" s="6"/>
      <c r="B9159" s="6"/>
      <c r="C9159" s="6"/>
    </row>
    <row r="9160" s="1" customFormat="1" spans="1:3">
      <c r="A9160" s="6"/>
      <c r="B9160" s="6"/>
      <c r="C9160" s="6"/>
    </row>
    <row r="9161" s="1" customFormat="1" spans="1:3">
      <c r="A9161" s="6"/>
      <c r="B9161" s="6"/>
      <c r="C9161" s="6"/>
    </row>
    <row r="9162" s="1" customFormat="1" spans="1:3">
      <c r="A9162" s="6"/>
      <c r="B9162" s="6"/>
      <c r="C9162" s="6"/>
    </row>
    <row r="9163" s="1" customFormat="1" spans="1:3">
      <c r="A9163" s="6"/>
      <c r="B9163" s="6"/>
      <c r="C9163" s="6"/>
    </row>
    <row r="9164" s="1" customFormat="1" spans="1:3">
      <c r="A9164" s="6"/>
      <c r="B9164" s="6"/>
      <c r="C9164" s="6"/>
    </row>
    <row r="9165" s="1" customFormat="1" spans="1:3">
      <c r="A9165" s="6"/>
      <c r="B9165" s="6"/>
      <c r="C9165" s="6"/>
    </row>
    <row r="9166" s="1" customFormat="1" spans="1:3">
      <c r="A9166" s="6"/>
      <c r="B9166" s="6"/>
      <c r="C9166" s="6"/>
    </row>
    <row r="9167" s="1" customFormat="1" spans="1:3">
      <c r="A9167" s="6"/>
      <c r="B9167" s="6"/>
      <c r="C9167" s="6"/>
    </row>
    <row r="9168" s="1" customFormat="1" spans="1:3">
      <c r="A9168" s="6"/>
      <c r="B9168" s="6"/>
      <c r="C9168" s="6"/>
    </row>
    <row r="9169" s="1" customFormat="1" spans="1:3">
      <c r="A9169" s="6"/>
      <c r="B9169" s="6"/>
      <c r="C9169" s="6"/>
    </row>
    <row r="9170" s="1" customFormat="1" spans="1:3">
      <c r="A9170" s="6"/>
      <c r="B9170" s="6"/>
      <c r="C9170" s="6"/>
    </row>
    <row r="9171" s="1" customFormat="1" spans="1:3">
      <c r="A9171" s="6"/>
      <c r="B9171" s="6"/>
      <c r="C9171" s="6"/>
    </row>
    <row r="9172" s="1" customFormat="1" spans="1:3">
      <c r="A9172" s="6"/>
      <c r="B9172" s="6"/>
      <c r="C9172" s="6"/>
    </row>
    <row r="9173" s="1" customFormat="1" spans="1:3">
      <c r="A9173" s="6"/>
      <c r="B9173" s="6"/>
      <c r="C9173" s="6"/>
    </row>
    <row r="9174" s="1" customFormat="1" spans="1:3">
      <c r="A9174" s="6"/>
      <c r="B9174" s="6"/>
      <c r="C9174" s="6"/>
    </row>
    <row r="9175" s="1" customFormat="1" spans="1:3">
      <c r="A9175" s="6"/>
      <c r="B9175" s="6"/>
      <c r="C9175" s="6"/>
    </row>
    <row r="9176" s="1" customFormat="1" spans="1:3">
      <c r="A9176" s="6"/>
      <c r="B9176" s="6"/>
      <c r="C9176" s="6"/>
    </row>
    <row r="9177" s="1" customFormat="1" spans="1:3">
      <c r="A9177" s="6"/>
      <c r="B9177" s="6"/>
      <c r="C9177" s="6"/>
    </row>
    <row r="9178" s="1" customFormat="1" spans="1:3">
      <c r="A9178" s="6"/>
      <c r="B9178" s="6"/>
      <c r="C9178" s="6"/>
    </row>
    <row r="9179" s="1" customFormat="1" spans="1:3">
      <c r="A9179" s="6"/>
      <c r="B9179" s="6"/>
      <c r="C9179" s="6"/>
    </row>
    <row r="9180" s="1" customFormat="1" spans="1:3">
      <c r="A9180" s="6"/>
      <c r="B9180" s="6"/>
      <c r="C9180" s="6"/>
    </row>
    <row r="9181" s="1" customFormat="1" spans="1:3">
      <c r="A9181" s="6"/>
      <c r="B9181" s="6"/>
      <c r="C9181" s="6"/>
    </row>
    <row r="9182" s="1" customFormat="1" spans="1:3">
      <c r="A9182" s="6"/>
      <c r="B9182" s="6"/>
      <c r="C9182" s="6"/>
    </row>
    <row r="9183" s="1" customFormat="1" spans="1:3">
      <c r="A9183" s="6"/>
      <c r="B9183" s="6"/>
      <c r="C9183" s="6"/>
    </row>
    <row r="9184" s="1" customFormat="1" spans="1:3">
      <c r="A9184" s="6"/>
      <c r="B9184" s="6"/>
      <c r="C9184" s="6"/>
    </row>
    <row r="9185" s="1" customFormat="1" spans="1:3">
      <c r="A9185" s="6"/>
      <c r="B9185" s="6"/>
      <c r="C9185" s="6"/>
    </row>
    <row r="9186" s="1" customFormat="1" spans="1:3">
      <c r="A9186" s="6"/>
      <c r="B9186" s="6"/>
      <c r="C9186" s="6"/>
    </row>
    <row r="9187" s="1" customFormat="1" spans="1:3">
      <c r="A9187" s="6"/>
      <c r="B9187" s="6"/>
      <c r="C9187" s="6"/>
    </row>
    <row r="9188" s="1" customFormat="1" spans="1:3">
      <c r="A9188" s="6"/>
      <c r="B9188" s="6"/>
      <c r="C9188" s="6"/>
    </row>
    <row r="9189" s="1" customFormat="1" spans="1:3">
      <c r="A9189" s="6"/>
      <c r="B9189" s="6"/>
      <c r="C9189" s="6"/>
    </row>
    <row r="9190" s="1" customFormat="1" spans="1:3">
      <c r="A9190" s="6"/>
      <c r="B9190" s="6"/>
      <c r="C9190" s="6"/>
    </row>
    <row r="9191" s="1" customFormat="1" spans="1:3">
      <c r="A9191" s="6"/>
      <c r="B9191" s="6"/>
      <c r="C9191" s="6"/>
    </row>
    <row r="9192" s="1" customFormat="1" spans="1:3">
      <c r="A9192" s="6"/>
      <c r="B9192" s="6"/>
      <c r="C9192" s="6"/>
    </row>
    <row r="9193" s="1" customFormat="1" spans="1:3">
      <c r="A9193" s="6"/>
      <c r="B9193" s="6"/>
      <c r="C9193" s="6"/>
    </row>
    <row r="9194" s="1" customFormat="1" spans="1:3">
      <c r="A9194" s="6"/>
      <c r="B9194" s="6"/>
      <c r="C9194" s="6"/>
    </row>
    <row r="9195" s="1" customFormat="1" spans="1:3">
      <c r="A9195" s="6"/>
      <c r="B9195" s="6"/>
      <c r="C9195" s="6"/>
    </row>
    <row r="9196" s="1" customFormat="1" spans="1:3">
      <c r="A9196" s="6"/>
      <c r="B9196" s="6"/>
      <c r="C9196" s="6"/>
    </row>
    <row r="9197" s="1" customFormat="1" spans="1:3">
      <c r="A9197" s="6"/>
      <c r="B9197" s="6"/>
      <c r="C9197" s="6"/>
    </row>
    <row r="9198" s="1" customFormat="1" spans="1:3">
      <c r="A9198" s="6"/>
      <c r="B9198" s="6"/>
      <c r="C9198" s="6"/>
    </row>
    <row r="9199" s="1" customFormat="1" spans="1:3">
      <c r="A9199" s="6"/>
      <c r="B9199" s="6"/>
      <c r="C9199" s="6"/>
    </row>
    <row r="9200" s="1" customFormat="1" spans="1:3">
      <c r="A9200" s="6"/>
      <c r="B9200" s="6"/>
      <c r="C9200" s="6"/>
    </row>
    <row r="9201" s="1" customFormat="1" spans="1:3">
      <c r="A9201" s="6"/>
      <c r="B9201" s="6"/>
      <c r="C9201" s="6"/>
    </row>
    <row r="9202" s="1" customFormat="1" spans="1:3">
      <c r="A9202" s="6"/>
      <c r="B9202" s="6"/>
      <c r="C9202" s="6"/>
    </row>
    <row r="9203" s="1" customFormat="1" spans="1:3">
      <c r="A9203" s="6"/>
      <c r="B9203" s="6"/>
      <c r="C9203" s="6"/>
    </row>
    <row r="9204" s="1" customFormat="1" spans="1:3">
      <c r="A9204" s="6"/>
      <c r="B9204" s="6"/>
      <c r="C9204" s="6"/>
    </row>
    <row r="9205" s="1" customFormat="1" spans="1:3">
      <c r="A9205" s="6"/>
      <c r="B9205" s="6"/>
      <c r="C9205" s="6"/>
    </row>
    <row r="9206" s="1" customFormat="1" spans="1:3">
      <c r="A9206" s="6"/>
      <c r="B9206" s="6"/>
      <c r="C9206" s="6"/>
    </row>
    <row r="9207" s="1" customFormat="1" spans="1:3">
      <c r="A9207" s="6"/>
      <c r="B9207" s="6"/>
      <c r="C9207" s="6"/>
    </row>
    <row r="9208" s="1" customFormat="1" spans="1:3">
      <c r="A9208" s="6"/>
      <c r="B9208" s="6"/>
      <c r="C9208" s="6"/>
    </row>
    <row r="9209" s="1" customFormat="1" spans="1:3">
      <c r="A9209" s="6"/>
      <c r="B9209" s="6"/>
      <c r="C9209" s="6"/>
    </row>
    <row r="9210" s="1" customFormat="1" spans="1:3">
      <c r="A9210" s="6"/>
      <c r="B9210" s="6"/>
      <c r="C9210" s="6"/>
    </row>
    <row r="9211" s="1" customFormat="1" spans="1:3">
      <c r="A9211" s="6"/>
      <c r="B9211" s="6"/>
      <c r="C9211" s="6"/>
    </row>
    <row r="9212" s="1" customFormat="1" spans="1:3">
      <c r="A9212" s="6"/>
      <c r="B9212" s="6"/>
      <c r="C9212" s="6"/>
    </row>
    <row r="9213" s="1" customFormat="1" spans="1:3">
      <c r="A9213" s="6"/>
      <c r="B9213" s="6"/>
      <c r="C9213" s="6"/>
    </row>
    <row r="9214" s="1" customFormat="1" spans="1:3">
      <c r="A9214" s="6"/>
      <c r="B9214" s="6"/>
      <c r="C9214" s="6"/>
    </row>
    <row r="9215" s="1" customFormat="1" spans="1:3">
      <c r="A9215" s="6"/>
      <c r="B9215" s="6"/>
      <c r="C9215" s="6"/>
    </row>
    <row r="9216" s="1" customFormat="1" spans="1:3">
      <c r="A9216" s="6"/>
      <c r="B9216" s="6"/>
      <c r="C9216" s="6"/>
    </row>
    <row r="9217" s="1" customFormat="1" spans="1:3">
      <c r="A9217" s="6"/>
      <c r="B9217" s="6"/>
      <c r="C9217" s="6"/>
    </row>
    <row r="9218" s="1" customFormat="1" spans="1:3">
      <c r="A9218" s="6"/>
      <c r="B9218" s="6"/>
      <c r="C9218" s="6"/>
    </row>
    <row r="9219" s="1" customFormat="1" spans="1:3">
      <c r="A9219" s="6"/>
      <c r="B9219" s="6"/>
      <c r="C9219" s="6"/>
    </row>
    <row r="9220" s="1" customFormat="1" spans="1:3">
      <c r="A9220" s="6"/>
      <c r="B9220" s="6"/>
      <c r="C9220" s="6"/>
    </row>
    <row r="9221" s="1" customFormat="1" spans="1:3">
      <c r="A9221" s="6"/>
      <c r="B9221" s="6"/>
      <c r="C9221" s="6"/>
    </row>
    <row r="9222" s="1" customFormat="1" spans="1:3">
      <c r="A9222" s="6"/>
      <c r="B9222" s="6"/>
      <c r="C9222" s="6"/>
    </row>
    <row r="9223" s="1" customFormat="1" spans="1:3">
      <c r="A9223" s="6"/>
      <c r="B9223" s="6"/>
      <c r="C9223" s="6"/>
    </row>
    <row r="9224" s="1" customFormat="1" spans="1:3">
      <c r="A9224" s="6"/>
      <c r="B9224" s="6"/>
      <c r="C9224" s="6"/>
    </row>
    <row r="9225" s="1" customFormat="1" spans="1:3">
      <c r="A9225" s="6"/>
      <c r="B9225" s="6"/>
      <c r="C9225" s="6"/>
    </row>
    <row r="9226" s="1" customFormat="1" spans="1:3">
      <c r="A9226" s="6"/>
      <c r="B9226" s="6"/>
      <c r="C9226" s="6"/>
    </row>
    <row r="9227" s="1" customFormat="1" spans="1:3">
      <c r="A9227" s="6"/>
      <c r="B9227" s="6"/>
      <c r="C9227" s="6"/>
    </row>
    <row r="9228" s="1" customFormat="1" spans="1:3">
      <c r="A9228" s="6"/>
      <c r="B9228" s="6"/>
      <c r="C9228" s="6"/>
    </row>
    <row r="9229" s="1" customFormat="1" spans="1:3">
      <c r="A9229" s="6"/>
      <c r="B9229" s="6"/>
      <c r="C9229" s="6"/>
    </row>
    <row r="9230" s="1" customFormat="1" spans="1:3">
      <c r="A9230" s="6"/>
      <c r="B9230" s="6"/>
      <c r="C9230" s="6"/>
    </row>
    <row r="9231" s="1" customFormat="1" spans="1:3">
      <c r="A9231" s="6"/>
      <c r="B9231" s="6"/>
      <c r="C9231" s="6"/>
    </row>
    <row r="9232" s="1" customFormat="1" spans="1:3">
      <c r="A9232" s="6"/>
      <c r="B9232" s="6"/>
      <c r="C9232" s="6"/>
    </row>
    <row r="9233" s="1" customFormat="1" spans="1:3">
      <c r="A9233" s="6"/>
      <c r="B9233" s="6"/>
      <c r="C9233" s="6"/>
    </row>
    <row r="9234" s="1" customFormat="1" spans="1:3">
      <c r="A9234" s="6"/>
      <c r="B9234" s="6"/>
      <c r="C9234" s="6"/>
    </row>
    <row r="9235" s="1" customFormat="1" spans="1:3">
      <c r="A9235" s="6"/>
      <c r="B9235" s="6"/>
      <c r="C9235" s="6"/>
    </row>
    <row r="9236" s="1" customFormat="1" spans="1:3">
      <c r="A9236" s="6"/>
      <c r="B9236" s="6"/>
      <c r="C9236" s="6"/>
    </row>
    <row r="9237" s="1" customFormat="1" spans="1:3">
      <c r="A9237" s="6"/>
      <c r="B9237" s="6"/>
      <c r="C9237" s="6"/>
    </row>
    <row r="9238" s="1" customFormat="1" spans="1:3">
      <c r="A9238" s="6"/>
      <c r="B9238" s="6"/>
      <c r="C9238" s="6"/>
    </row>
    <row r="9239" s="1" customFormat="1" spans="1:3">
      <c r="A9239" s="6"/>
      <c r="B9239" s="6"/>
      <c r="C9239" s="6"/>
    </row>
    <row r="9240" s="1" customFormat="1" spans="1:3">
      <c r="A9240" s="6"/>
      <c r="B9240" s="6"/>
      <c r="C9240" s="6"/>
    </row>
    <row r="9241" s="1" customFormat="1" spans="1:3">
      <c r="A9241" s="6"/>
      <c r="B9241" s="6"/>
      <c r="C9241" s="6"/>
    </row>
    <row r="9242" s="1" customFormat="1" spans="1:3">
      <c r="A9242" s="6"/>
      <c r="B9242" s="6"/>
      <c r="C9242" s="6"/>
    </row>
    <row r="9243" s="1" customFormat="1" spans="1:3">
      <c r="A9243" s="6"/>
      <c r="B9243" s="6"/>
      <c r="C9243" s="6"/>
    </row>
    <row r="9244" s="1" customFormat="1" spans="1:3">
      <c r="A9244" s="6"/>
      <c r="B9244" s="6"/>
      <c r="C9244" s="6"/>
    </row>
    <row r="9245" s="1" customFormat="1" spans="1:3">
      <c r="A9245" s="6"/>
      <c r="B9245" s="6"/>
      <c r="C9245" s="6"/>
    </row>
    <row r="9246" s="1" customFormat="1" spans="1:3">
      <c r="A9246" s="6"/>
      <c r="B9246" s="6"/>
      <c r="C9246" s="6"/>
    </row>
    <row r="9247" s="1" customFormat="1" spans="1:3">
      <c r="A9247" s="6"/>
      <c r="B9247" s="6"/>
      <c r="C9247" s="6"/>
    </row>
    <row r="9248" s="1" customFormat="1" spans="1:3">
      <c r="A9248" s="6"/>
      <c r="B9248" s="6"/>
      <c r="C9248" s="6"/>
    </row>
    <row r="9249" s="1" customFormat="1" spans="1:3">
      <c r="A9249" s="6"/>
      <c r="B9249" s="6"/>
      <c r="C9249" s="6"/>
    </row>
    <row r="9250" s="1" customFormat="1" spans="1:3">
      <c r="A9250" s="6"/>
      <c r="B9250" s="6"/>
      <c r="C9250" s="6"/>
    </row>
    <row r="9251" s="1" customFormat="1" spans="1:3">
      <c r="A9251" s="6"/>
      <c r="B9251" s="6"/>
      <c r="C9251" s="6"/>
    </row>
    <row r="9252" s="1" customFormat="1" spans="1:3">
      <c r="A9252" s="6"/>
      <c r="B9252" s="6"/>
      <c r="C9252" s="6"/>
    </row>
    <row r="9253" s="1" customFormat="1" spans="1:3">
      <c r="A9253" s="6"/>
      <c r="B9253" s="6"/>
      <c r="C9253" s="6"/>
    </row>
    <row r="9254" s="1" customFormat="1" spans="1:3">
      <c r="A9254" s="6"/>
      <c r="B9254" s="6"/>
      <c r="C9254" s="6"/>
    </row>
    <row r="9255" s="1" customFormat="1" spans="1:3">
      <c r="A9255" s="6"/>
      <c r="B9255" s="6"/>
      <c r="C9255" s="6"/>
    </row>
    <row r="9256" s="1" customFormat="1" spans="1:3">
      <c r="A9256" s="6"/>
      <c r="B9256" s="6"/>
      <c r="C9256" s="6"/>
    </row>
    <row r="9257" s="1" customFormat="1" spans="1:3">
      <c r="A9257" s="6"/>
      <c r="B9257" s="6"/>
      <c r="C9257" s="6"/>
    </row>
    <row r="9258" s="1" customFormat="1" spans="1:3">
      <c r="A9258" s="6"/>
      <c r="B9258" s="6"/>
      <c r="C9258" s="6"/>
    </row>
    <row r="9259" s="1" customFormat="1" spans="1:3">
      <c r="A9259" s="6"/>
      <c r="B9259" s="6"/>
      <c r="C9259" s="6"/>
    </row>
    <row r="9260" s="1" customFormat="1" spans="1:3">
      <c r="A9260" s="6"/>
      <c r="B9260" s="6"/>
      <c r="C9260" s="6"/>
    </row>
    <row r="9261" s="1" customFormat="1" spans="1:3">
      <c r="A9261" s="6"/>
      <c r="B9261" s="6"/>
      <c r="C9261" s="6"/>
    </row>
    <row r="9262" s="1" customFormat="1" spans="1:3">
      <c r="A9262" s="6"/>
      <c r="B9262" s="6"/>
      <c r="C9262" s="6"/>
    </row>
    <row r="9263" s="1" customFormat="1" spans="1:3">
      <c r="A9263" s="6"/>
      <c r="B9263" s="6"/>
      <c r="C9263" s="6"/>
    </row>
    <row r="9264" s="1" customFormat="1" spans="1:3">
      <c r="A9264" s="6"/>
      <c r="B9264" s="6"/>
      <c r="C9264" s="6"/>
    </row>
    <row r="9265" s="1" customFormat="1" spans="1:3">
      <c r="A9265" s="6"/>
      <c r="B9265" s="6"/>
      <c r="C9265" s="6"/>
    </row>
    <row r="9266" s="1" customFormat="1" spans="1:3">
      <c r="A9266" s="6"/>
      <c r="B9266" s="6"/>
      <c r="C9266" s="6"/>
    </row>
    <row r="9267" s="1" customFormat="1" spans="1:3">
      <c r="A9267" s="6"/>
      <c r="B9267" s="6"/>
      <c r="C9267" s="6"/>
    </row>
    <row r="9268" s="1" customFormat="1" spans="1:3">
      <c r="A9268" s="6"/>
      <c r="B9268" s="6"/>
      <c r="C9268" s="6"/>
    </row>
    <row r="9269" s="1" customFormat="1" spans="1:3">
      <c r="A9269" s="6"/>
      <c r="B9269" s="6"/>
      <c r="C9269" s="6"/>
    </row>
    <row r="9270" s="1" customFormat="1" spans="1:3">
      <c r="A9270" s="6"/>
      <c r="B9270" s="6"/>
      <c r="C9270" s="6"/>
    </row>
    <row r="9271" s="1" customFormat="1" spans="1:3">
      <c r="A9271" s="6"/>
      <c r="B9271" s="6"/>
      <c r="C9271" s="6"/>
    </row>
    <row r="9272" s="1" customFormat="1" spans="1:3">
      <c r="A9272" s="6"/>
      <c r="B9272" s="6"/>
      <c r="C9272" s="6"/>
    </row>
    <row r="9273" s="1" customFormat="1" spans="1:3">
      <c r="A9273" s="6"/>
      <c r="B9273" s="6"/>
      <c r="C9273" s="6"/>
    </row>
    <row r="9274" s="1" customFormat="1" spans="1:3">
      <c r="A9274" s="6"/>
      <c r="B9274" s="6"/>
      <c r="C9274" s="6"/>
    </row>
    <row r="9275" s="1" customFormat="1" spans="1:3">
      <c r="A9275" s="6"/>
      <c r="B9275" s="6"/>
      <c r="C9275" s="6"/>
    </row>
    <row r="9276" s="1" customFormat="1" spans="1:3">
      <c r="A9276" s="6"/>
      <c r="B9276" s="6"/>
      <c r="C9276" s="6"/>
    </row>
    <row r="9277" s="1" customFormat="1" spans="1:3">
      <c r="A9277" s="6"/>
      <c r="B9277" s="6"/>
      <c r="C9277" s="6"/>
    </row>
    <row r="9278" s="1" customFormat="1" spans="1:3">
      <c r="A9278" s="6"/>
      <c r="B9278" s="6"/>
      <c r="C9278" s="6"/>
    </row>
    <row r="9279" s="1" customFormat="1" spans="1:3">
      <c r="A9279" s="6"/>
      <c r="B9279" s="6"/>
      <c r="C9279" s="6"/>
    </row>
    <row r="9280" s="1" customFormat="1" spans="1:3">
      <c r="A9280" s="6"/>
      <c r="B9280" s="6"/>
      <c r="C9280" s="6"/>
    </row>
    <row r="9281" s="1" customFormat="1" spans="1:3">
      <c r="A9281" s="6"/>
      <c r="B9281" s="6"/>
      <c r="C9281" s="6"/>
    </row>
    <row r="9282" s="1" customFormat="1" spans="1:3">
      <c r="A9282" s="6"/>
      <c r="B9282" s="6"/>
      <c r="C9282" s="6"/>
    </row>
    <row r="9283" s="1" customFormat="1" spans="1:3">
      <c r="A9283" s="6"/>
      <c r="B9283" s="6"/>
      <c r="C9283" s="6"/>
    </row>
    <row r="9284" s="1" customFormat="1" spans="1:3">
      <c r="A9284" s="6"/>
      <c r="B9284" s="6"/>
      <c r="C9284" s="6"/>
    </row>
    <row r="9285" s="1" customFormat="1" spans="1:3">
      <c r="A9285" s="6"/>
      <c r="B9285" s="6"/>
      <c r="C9285" s="6"/>
    </row>
    <row r="9286" s="1" customFormat="1" spans="1:3">
      <c r="A9286" s="6"/>
      <c r="B9286" s="6"/>
      <c r="C9286" s="6"/>
    </row>
    <row r="9287" s="1" customFormat="1" spans="1:3">
      <c r="A9287" s="6"/>
      <c r="B9287" s="6"/>
      <c r="C9287" s="6"/>
    </row>
    <row r="9288" s="1" customFormat="1" spans="1:3">
      <c r="A9288" s="6"/>
      <c r="B9288" s="6"/>
      <c r="C9288" s="6"/>
    </row>
    <row r="9289" s="1" customFormat="1" spans="1:3">
      <c r="A9289" s="6"/>
      <c r="B9289" s="6"/>
      <c r="C9289" s="6"/>
    </row>
    <row r="9290" s="1" customFormat="1" spans="1:3">
      <c r="A9290" s="6"/>
      <c r="B9290" s="6"/>
      <c r="C9290" s="6"/>
    </row>
    <row r="9291" s="1" customFormat="1" spans="1:3">
      <c r="A9291" s="6"/>
      <c r="B9291" s="6"/>
      <c r="C9291" s="6"/>
    </row>
    <row r="9292" s="1" customFormat="1" spans="1:3">
      <c r="A9292" s="6"/>
      <c r="B9292" s="6"/>
      <c r="C9292" s="6"/>
    </row>
    <row r="9293" s="1" customFormat="1" spans="1:3">
      <c r="A9293" s="6"/>
      <c r="B9293" s="6"/>
      <c r="C9293" s="6"/>
    </row>
    <row r="9294" s="1" customFormat="1" spans="1:3">
      <c r="A9294" s="6"/>
      <c r="B9294" s="6"/>
      <c r="C9294" s="6"/>
    </row>
    <row r="9295" s="1" customFormat="1" spans="1:3">
      <c r="A9295" s="6"/>
      <c r="B9295" s="6"/>
      <c r="C9295" s="6"/>
    </row>
    <row r="9296" s="1" customFormat="1" spans="1:3">
      <c r="A9296" s="6"/>
      <c r="B9296" s="6"/>
      <c r="C9296" s="6"/>
    </row>
    <row r="9297" s="1" customFormat="1" spans="1:3">
      <c r="A9297" s="6"/>
      <c r="B9297" s="6"/>
      <c r="C9297" s="6"/>
    </row>
    <row r="9298" s="1" customFormat="1" spans="1:3">
      <c r="A9298" s="6"/>
      <c r="B9298" s="6"/>
      <c r="C9298" s="6"/>
    </row>
    <row r="9299" s="1" customFormat="1" spans="1:3">
      <c r="A9299" s="6"/>
      <c r="B9299" s="6"/>
      <c r="C9299" s="6"/>
    </row>
    <row r="9300" s="1" customFormat="1" spans="1:3">
      <c r="A9300" s="6"/>
      <c r="B9300" s="6"/>
      <c r="C9300" s="6"/>
    </row>
    <row r="9301" s="1" customFormat="1" spans="1:3">
      <c r="A9301" s="6"/>
      <c r="B9301" s="6"/>
      <c r="C9301" s="6"/>
    </row>
    <row r="9302" s="1" customFormat="1" spans="1:3">
      <c r="A9302" s="6"/>
      <c r="B9302" s="6"/>
      <c r="C9302" s="6"/>
    </row>
    <row r="9303" s="1" customFormat="1" spans="1:3">
      <c r="A9303" s="6"/>
      <c r="B9303" s="6"/>
      <c r="C9303" s="6"/>
    </row>
    <row r="9304" s="1" customFormat="1" spans="1:3">
      <c r="A9304" s="6"/>
      <c r="B9304" s="6"/>
      <c r="C9304" s="6"/>
    </row>
    <row r="9305" s="1" customFormat="1" spans="1:3">
      <c r="A9305" s="6"/>
      <c r="B9305" s="6"/>
      <c r="C9305" s="6"/>
    </row>
    <row r="9306" s="1" customFormat="1" spans="1:3">
      <c r="A9306" s="6"/>
      <c r="B9306" s="6"/>
      <c r="C9306" s="6"/>
    </row>
    <row r="9307" s="1" customFormat="1" spans="1:3">
      <c r="A9307" s="6"/>
      <c r="B9307" s="6"/>
      <c r="C9307" s="6"/>
    </row>
    <row r="9308" s="1" customFormat="1" spans="1:3">
      <c r="A9308" s="6"/>
      <c r="B9308" s="6"/>
      <c r="C9308" s="6"/>
    </row>
    <row r="9309" s="1" customFormat="1" spans="1:3">
      <c r="A9309" s="6"/>
      <c r="B9309" s="6"/>
      <c r="C9309" s="6"/>
    </row>
    <row r="9310" s="1" customFormat="1" spans="1:3">
      <c r="A9310" s="6"/>
      <c r="B9310" s="6"/>
      <c r="C9310" s="6"/>
    </row>
    <row r="9311" s="1" customFormat="1" spans="1:3">
      <c r="A9311" s="6"/>
      <c r="B9311" s="6"/>
      <c r="C9311" s="6"/>
    </row>
    <row r="9312" s="1" customFormat="1" spans="1:3">
      <c r="A9312" s="6"/>
      <c r="B9312" s="6"/>
      <c r="C9312" s="6"/>
    </row>
    <row r="9313" s="1" customFormat="1" spans="1:3">
      <c r="A9313" s="6"/>
      <c r="B9313" s="6"/>
      <c r="C9313" s="6"/>
    </row>
    <row r="9314" s="1" customFormat="1" spans="1:3">
      <c r="A9314" s="6"/>
      <c r="B9314" s="6"/>
      <c r="C9314" s="6"/>
    </row>
    <row r="9315" s="1" customFormat="1" spans="1:3">
      <c r="A9315" s="6"/>
      <c r="B9315" s="6"/>
      <c r="C9315" s="6"/>
    </row>
    <row r="9316" s="1" customFormat="1" spans="1:3">
      <c r="A9316" s="6"/>
      <c r="B9316" s="6"/>
      <c r="C9316" s="6"/>
    </row>
    <row r="9317" s="1" customFormat="1" spans="1:3">
      <c r="A9317" s="6"/>
      <c r="B9317" s="6"/>
      <c r="C9317" s="6"/>
    </row>
    <row r="9318" s="1" customFormat="1" spans="1:3">
      <c r="A9318" s="6"/>
      <c r="B9318" s="6"/>
      <c r="C9318" s="6"/>
    </row>
    <row r="9319" s="1" customFormat="1" spans="1:3">
      <c r="A9319" s="6"/>
      <c r="B9319" s="6"/>
      <c r="C9319" s="6"/>
    </row>
    <row r="9320" s="1" customFormat="1" spans="1:3">
      <c r="A9320" s="6"/>
      <c r="B9320" s="6"/>
      <c r="C9320" s="6"/>
    </row>
    <row r="9321" s="1" customFormat="1" spans="1:3">
      <c r="A9321" s="6"/>
      <c r="B9321" s="6"/>
      <c r="C9321" s="6"/>
    </row>
    <row r="9322" s="1" customFormat="1" spans="1:3">
      <c r="A9322" s="6"/>
      <c r="B9322" s="6"/>
      <c r="C9322" s="6"/>
    </row>
    <row r="9323" s="1" customFormat="1" spans="1:3">
      <c r="A9323" s="6"/>
      <c r="B9323" s="6"/>
      <c r="C9323" s="6"/>
    </row>
    <row r="9324" s="1" customFormat="1" spans="1:3">
      <c r="A9324" s="6"/>
      <c r="B9324" s="6"/>
      <c r="C9324" s="6"/>
    </row>
    <row r="9325" s="1" customFormat="1" spans="1:3">
      <c r="A9325" s="6"/>
      <c r="B9325" s="6"/>
      <c r="C9325" s="6"/>
    </row>
    <row r="9326" s="1" customFormat="1" spans="1:3">
      <c r="A9326" s="6"/>
      <c r="B9326" s="6"/>
      <c r="C9326" s="6"/>
    </row>
    <row r="9327" s="1" customFormat="1" spans="1:3">
      <c r="A9327" s="6"/>
      <c r="B9327" s="6"/>
      <c r="C9327" s="6"/>
    </row>
    <row r="9328" s="1" customFormat="1" spans="1:3">
      <c r="A9328" s="6"/>
      <c r="B9328" s="6"/>
      <c r="C9328" s="6"/>
    </row>
    <row r="9329" s="1" customFormat="1" spans="1:3">
      <c r="A9329" s="6"/>
      <c r="B9329" s="6"/>
      <c r="C9329" s="6"/>
    </row>
    <row r="9330" s="1" customFormat="1" spans="1:3">
      <c r="A9330" s="6"/>
      <c r="B9330" s="6"/>
      <c r="C9330" s="6"/>
    </row>
    <row r="9331" s="1" customFormat="1" spans="1:3">
      <c r="A9331" s="6"/>
      <c r="B9331" s="6"/>
      <c r="C9331" s="6"/>
    </row>
    <row r="9332" s="1" customFormat="1" spans="1:3">
      <c r="A9332" s="6"/>
      <c r="B9332" s="6"/>
      <c r="C9332" s="6"/>
    </row>
    <row r="9333" s="1" customFormat="1" spans="1:3">
      <c r="A9333" s="6"/>
      <c r="B9333" s="6"/>
      <c r="C9333" s="6"/>
    </row>
    <row r="9334" s="1" customFormat="1" spans="1:3">
      <c r="A9334" s="6"/>
      <c r="B9334" s="6"/>
      <c r="C9334" s="6"/>
    </row>
    <row r="9335" s="1" customFormat="1" spans="1:3">
      <c r="A9335" s="6"/>
      <c r="B9335" s="6"/>
      <c r="C9335" s="6"/>
    </row>
    <row r="9336" s="1" customFormat="1" spans="1:3">
      <c r="A9336" s="6"/>
      <c r="B9336" s="6"/>
      <c r="C9336" s="6"/>
    </row>
    <row r="9337" s="1" customFormat="1" spans="1:3">
      <c r="A9337" s="6"/>
      <c r="B9337" s="6"/>
      <c r="C9337" s="6"/>
    </row>
    <row r="9338" s="1" customFormat="1" spans="1:3">
      <c r="A9338" s="6"/>
      <c r="B9338" s="6"/>
      <c r="C9338" s="6"/>
    </row>
    <row r="9339" s="1" customFormat="1" spans="1:3">
      <c r="A9339" s="6"/>
      <c r="B9339" s="6"/>
      <c r="C9339" s="6"/>
    </row>
    <row r="9340" s="1" customFormat="1" spans="1:3">
      <c r="A9340" s="6"/>
      <c r="B9340" s="6"/>
      <c r="C9340" s="6"/>
    </row>
    <row r="9341" s="1" customFormat="1" spans="1:3">
      <c r="A9341" s="6"/>
      <c r="B9341" s="6"/>
      <c r="C9341" s="6"/>
    </row>
    <row r="9342" s="1" customFormat="1" spans="1:3">
      <c r="A9342" s="6"/>
      <c r="B9342" s="6"/>
      <c r="C9342" s="6"/>
    </row>
    <row r="9343" s="1" customFormat="1" spans="1:3">
      <c r="A9343" s="6"/>
      <c r="B9343" s="6"/>
      <c r="C9343" s="6"/>
    </row>
    <row r="9344" s="1" customFormat="1" spans="1:3">
      <c r="A9344" s="6"/>
      <c r="B9344" s="6"/>
      <c r="C9344" s="6"/>
    </row>
    <row r="9345" s="1" customFormat="1" spans="1:3">
      <c r="A9345" s="6"/>
      <c r="B9345" s="6"/>
      <c r="C9345" s="6"/>
    </row>
    <row r="9346" s="1" customFormat="1" spans="1:3">
      <c r="A9346" s="6"/>
      <c r="B9346" s="6"/>
      <c r="C9346" s="6"/>
    </row>
    <row r="9347" s="1" customFormat="1" spans="1:3">
      <c r="A9347" s="6"/>
      <c r="B9347" s="6"/>
      <c r="C9347" s="6"/>
    </row>
    <row r="9348" s="1" customFormat="1" spans="1:3">
      <c r="A9348" s="6"/>
      <c r="B9348" s="6"/>
      <c r="C9348" s="6"/>
    </row>
    <row r="9349" s="1" customFormat="1" spans="1:3">
      <c r="A9349" s="6"/>
      <c r="B9349" s="6"/>
      <c r="C9349" s="6"/>
    </row>
    <row r="9350" s="1" customFormat="1" spans="1:3">
      <c r="A9350" s="6"/>
      <c r="B9350" s="6"/>
      <c r="C9350" s="6"/>
    </row>
    <row r="9351" s="1" customFormat="1" spans="1:3">
      <c r="A9351" s="6"/>
      <c r="B9351" s="6"/>
      <c r="C9351" s="6"/>
    </row>
    <row r="9352" s="1" customFormat="1" spans="1:3">
      <c r="A9352" s="6"/>
      <c r="B9352" s="6"/>
      <c r="C9352" s="6"/>
    </row>
    <row r="9353" s="1" customFormat="1" spans="1:3">
      <c r="A9353" s="6"/>
      <c r="B9353" s="6"/>
      <c r="C9353" s="6"/>
    </row>
    <row r="9354" s="1" customFormat="1" spans="1:3">
      <c r="A9354" s="6"/>
      <c r="B9354" s="6"/>
      <c r="C9354" s="6"/>
    </row>
    <row r="9355" s="1" customFormat="1" spans="1:3">
      <c r="A9355" s="6"/>
      <c r="B9355" s="6"/>
      <c r="C9355" s="6"/>
    </row>
    <row r="9356" s="1" customFormat="1" spans="1:3">
      <c r="A9356" s="6"/>
      <c r="B9356" s="6"/>
      <c r="C9356" s="6"/>
    </row>
    <row r="9357" s="1" customFormat="1" spans="1:3">
      <c r="A9357" s="6"/>
      <c r="B9357" s="6"/>
      <c r="C9357" s="6"/>
    </row>
    <row r="9358" s="1" customFormat="1" spans="1:3">
      <c r="A9358" s="6"/>
      <c r="B9358" s="6"/>
      <c r="C9358" s="6"/>
    </row>
    <row r="9359" s="1" customFormat="1" spans="1:3">
      <c r="A9359" s="6"/>
      <c r="B9359" s="6"/>
      <c r="C9359" s="6"/>
    </row>
    <row r="9360" s="1" customFormat="1" spans="1:3">
      <c r="A9360" s="6"/>
      <c r="B9360" s="6"/>
      <c r="C9360" s="6"/>
    </row>
    <row r="9361" s="1" customFormat="1" spans="1:3">
      <c r="A9361" s="6"/>
      <c r="B9361" s="6"/>
      <c r="C9361" s="6"/>
    </row>
    <row r="9362" s="1" customFormat="1" spans="1:3">
      <c r="A9362" s="6"/>
      <c r="B9362" s="6"/>
      <c r="C9362" s="6"/>
    </row>
    <row r="9363" s="1" customFormat="1" spans="1:3">
      <c r="A9363" s="6"/>
      <c r="B9363" s="6"/>
      <c r="C9363" s="6"/>
    </row>
    <row r="9364" s="1" customFormat="1" spans="1:3">
      <c r="A9364" s="6"/>
      <c r="B9364" s="6"/>
      <c r="C9364" s="6"/>
    </row>
    <row r="9365" s="1" customFormat="1" spans="1:3">
      <c r="A9365" s="6"/>
      <c r="B9365" s="6"/>
      <c r="C9365" s="6"/>
    </row>
    <row r="9366" s="1" customFormat="1" spans="1:3">
      <c r="A9366" s="6"/>
      <c r="B9366" s="6"/>
      <c r="C9366" s="6"/>
    </row>
    <row r="9367" s="1" customFormat="1" spans="1:3">
      <c r="A9367" s="6"/>
      <c r="B9367" s="6"/>
      <c r="C9367" s="6"/>
    </row>
    <row r="9368" s="1" customFormat="1" spans="1:3">
      <c r="A9368" s="6"/>
      <c r="B9368" s="6"/>
      <c r="C9368" s="6"/>
    </row>
    <row r="9369" s="1" customFormat="1" spans="1:3">
      <c r="A9369" s="6"/>
      <c r="B9369" s="6"/>
      <c r="C9369" s="6"/>
    </row>
    <row r="9370" s="1" customFormat="1" spans="1:3">
      <c r="A9370" s="6"/>
      <c r="B9370" s="6"/>
      <c r="C9370" s="6"/>
    </row>
    <row r="9371" s="1" customFormat="1" spans="1:3">
      <c r="A9371" s="6"/>
      <c r="B9371" s="6"/>
      <c r="C9371" s="6"/>
    </row>
    <row r="9372" s="1" customFormat="1" spans="1:3">
      <c r="A9372" s="6"/>
      <c r="B9372" s="6"/>
      <c r="C9372" s="6"/>
    </row>
    <row r="9373" s="1" customFormat="1" spans="1:3">
      <c r="A9373" s="6"/>
      <c r="B9373" s="6"/>
      <c r="C9373" s="6"/>
    </row>
    <row r="9374" s="1" customFormat="1" spans="1:3">
      <c r="A9374" s="6"/>
      <c r="B9374" s="6"/>
      <c r="C9374" s="6"/>
    </row>
    <row r="9375" s="1" customFormat="1" spans="1:3">
      <c r="A9375" s="6"/>
      <c r="B9375" s="6"/>
      <c r="C9375" s="6"/>
    </row>
    <row r="9376" s="1" customFormat="1" spans="1:3">
      <c r="A9376" s="6"/>
      <c r="B9376" s="6"/>
      <c r="C9376" s="6"/>
    </row>
    <row r="9377" s="1" customFormat="1" spans="1:3">
      <c r="A9377" s="6"/>
      <c r="B9377" s="6"/>
      <c r="C9377" s="6"/>
    </row>
    <row r="9378" s="1" customFormat="1" spans="1:3">
      <c r="A9378" s="6"/>
      <c r="B9378" s="6"/>
      <c r="C9378" s="6"/>
    </row>
    <row r="9379" s="1" customFormat="1" spans="1:3">
      <c r="A9379" s="6"/>
      <c r="B9379" s="6"/>
      <c r="C9379" s="6"/>
    </row>
    <row r="9380" s="1" customFormat="1" spans="1:3">
      <c r="A9380" s="6"/>
      <c r="B9380" s="6"/>
      <c r="C9380" s="6"/>
    </row>
    <row r="9381" s="1" customFormat="1" spans="1:3">
      <c r="A9381" s="6"/>
      <c r="B9381" s="6"/>
      <c r="C9381" s="6"/>
    </row>
    <row r="9382" s="1" customFormat="1" spans="1:3">
      <c r="A9382" s="6"/>
      <c r="B9382" s="6"/>
      <c r="C9382" s="6"/>
    </row>
    <row r="9383" s="1" customFormat="1" spans="1:3">
      <c r="A9383" s="6"/>
      <c r="B9383" s="6"/>
      <c r="C9383" s="6"/>
    </row>
    <row r="9384" s="1" customFormat="1" spans="1:3">
      <c r="A9384" s="6"/>
      <c r="B9384" s="6"/>
      <c r="C9384" s="6"/>
    </row>
    <row r="9385" s="1" customFormat="1" spans="1:3">
      <c r="A9385" s="6"/>
      <c r="B9385" s="6"/>
      <c r="C9385" s="6"/>
    </row>
    <row r="9386" s="1" customFormat="1" spans="1:3">
      <c r="A9386" s="6"/>
      <c r="B9386" s="6"/>
      <c r="C9386" s="6"/>
    </row>
    <row r="9387" s="1" customFormat="1" spans="1:3">
      <c r="A9387" s="6"/>
      <c r="B9387" s="6"/>
      <c r="C9387" s="6"/>
    </row>
    <row r="9388" s="1" customFormat="1" spans="1:3">
      <c r="A9388" s="6"/>
      <c r="B9388" s="6"/>
      <c r="C9388" s="6"/>
    </row>
    <row r="9389" s="1" customFormat="1" spans="1:3">
      <c r="A9389" s="6"/>
      <c r="B9389" s="6"/>
      <c r="C9389" s="6"/>
    </row>
    <row r="9390" s="1" customFormat="1" spans="1:3">
      <c r="A9390" s="6"/>
      <c r="B9390" s="6"/>
      <c r="C9390" s="6"/>
    </row>
    <row r="9391" s="1" customFormat="1" spans="1:3">
      <c r="A9391" s="6"/>
      <c r="B9391" s="6"/>
      <c r="C9391" s="6"/>
    </row>
    <row r="9392" s="1" customFormat="1" spans="1:3">
      <c r="A9392" s="6"/>
      <c r="B9392" s="6"/>
      <c r="C9392" s="6"/>
    </row>
    <row r="9393" s="1" customFormat="1" spans="1:3">
      <c r="A9393" s="6"/>
      <c r="B9393" s="6"/>
      <c r="C9393" s="6"/>
    </row>
    <row r="9394" s="1" customFormat="1" spans="1:3">
      <c r="A9394" s="6"/>
      <c r="B9394" s="6"/>
      <c r="C9394" s="6"/>
    </row>
    <row r="9395" s="1" customFormat="1" spans="1:3">
      <c r="A9395" s="6"/>
      <c r="B9395" s="6"/>
      <c r="C9395" s="6"/>
    </row>
    <row r="9396" s="1" customFormat="1" spans="1:3">
      <c r="A9396" s="6"/>
      <c r="B9396" s="6"/>
      <c r="C9396" s="6"/>
    </row>
    <row r="9397" s="1" customFormat="1" spans="1:3">
      <c r="A9397" s="6"/>
      <c r="B9397" s="6"/>
      <c r="C9397" s="6"/>
    </row>
    <row r="9398" s="1" customFormat="1" spans="1:3">
      <c r="A9398" s="6"/>
      <c r="B9398" s="6"/>
      <c r="C9398" s="6"/>
    </row>
    <row r="9399" s="1" customFormat="1" spans="1:3">
      <c r="A9399" s="6"/>
      <c r="B9399" s="6"/>
      <c r="C9399" s="6"/>
    </row>
    <row r="9400" s="1" customFormat="1" spans="1:3">
      <c r="A9400" s="6"/>
      <c r="B9400" s="6"/>
      <c r="C9400" s="6"/>
    </row>
    <row r="9401" s="1" customFormat="1" spans="1:3">
      <c r="A9401" s="6"/>
      <c r="B9401" s="6"/>
      <c r="C9401" s="6"/>
    </row>
    <row r="9402" s="1" customFormat="1" spans="1:3">
      <c r="A9402" s="6"/>
      <c r="B9402" s="6"/>
      <c r="C9402" s="6"/>
    </row>
    <row r="9403" s="1" customFormat="1" spans="1:3">
      <c r="A9403" s="6"/>
      <c r="B9403" s="6"/>
      <c r="C9403" s="6"/>
    </row>
    <row r="9404" s="1" customFormat="1" spans="1:3">
      <c r="A9404" s="6"/>
      <c r="B9404" s="6"/>
      <c r="C9404" s="6"/>
    </row>
    <row r="9405" s="1" customFormat="1" spans="1:3">
      <c r="A9405" s="6"/>
      <c r="B9405" s="6"/>
      <c r="C9405" s="6"/>
    </row>
    <row r="9406" s="1" customFormat="1" spans="1:3">
      <c r="A9406" s="6"/>
      <c r="B9406" s="6"/>
      <c r="C9406" s="6"/>
    </row>
    <row r="9407" s="1" customFormat="1" spans="1:3">
      <c r="A9407" s="6"/>
      <c r="B9407" s="6"/>
      <c r="C9407" s="6"/>
    </row>
    <row r="9408" s="1" customFormat="1" spans="1:3">
      <c r="A9408" s="6"/>
      <c r="B9408" s="6"/>
      <c r="C9408" s="6"/>
    </row>
    <row r="9409" s="1" customFormat="1" spans="1:3">
      <c r="A9409" s="6"/>
      <c r="B9409" s="6"/>
      <c r="C9409" s="6"/>
    </row>
    <row r="9410" s="1" customFormat="1" spans="1:3">
      <c r="A9410" s="6"/>
      <c r="B9410" s="6"/>
      <c r="C9410" s="6"/>
    </row>
    <row r="9411" s="1" customFormat="1" spans="1:3">
      <c r="A9411" s="6"/>
      <c r="B9411" s="6"/>
      <c r="C9411" s="6"/>
    </row>
    <row r="9412" s="1" customFormat="1" spans="1:3">
      <c r="A9412" s="6"/>
      <c r="B9412" s="6"/>
      <c r="C9412" s="6"/>
    </row>
    <row r="9413" s="1" customFormat="1" spans="1:3">
      <c r="A9413" s="6"/>
      <c r="B9413" s="6"/>
      <c r="C9413" s="6"/>
    </row>
    <row r="9414" s="1" customFormat="1" spans="1:3">
      <c r="A9414" s="6"/>
      <c r="B9414" s="6"/>
      <c r="C9414" s="6"/>
    </row>
    <row r="9415" s="1" customFormat="1" spans="1:3">
      <c r="A9415" s="6"/>
      <c r="B9415" s="6"/>
      <c r="C9415" s="6"/>
    </row>
    <row r="9416" s="1" customFormat="1" spans="1:3">
      <c r="A9416" s="6"/>
      <c r="B9416" s="6"/>
      <c r="C9416" s="6"/>
    </row>
    <row r="9417" s="1" customFormat="1" spans="1:3">
      <c r="A9417" s="6"/>
      <c r="B9417" s="6"/>
      <c r="C9417" s="6"/>
    </row>
    <row r="9418" s="1" customFormat="1" spans="1:3">
      <c r="A9418" s="6"/>
      <c r="B9418" s="6"/>
      <c r="C9418" s="6"/>
    </row>
    <row r="9419" s="1" customFormat="1" spans="1:3">
      <c r="A9419" s="6"/>
      <c r="B9419" s="6"/>
      <c r="C9419" s="6"/>
    </row>
    <row r="9420" s="1" customFormat="1" spans="1:3">
      <c r="A9420" s="6"/>
      <c r="B9420" s="6"/>
      <c r="C9420" s="6"/>
    </row>
    <row r="9421" s="1" customFormat="1" spans="1:3">
      <c r="A9421" s="6"/>
      <c r="B9421" s="6"/>
      <c r="C9421" s="6"/>
    </row>
    <row r="9422" s="1" customFormat="1" spans="1:3">
      <c r="A9422" s="6"/>
      <c r="B9422" s="6"/>
      <c r="C9422" s="6"/>
    </row>
    <row r="9423" s="1" customFormat="1" spans="1:3">
      <c r="A9423" s="6"/>
      <c r="B9423" s="6"/>
      <c r="C9423" s="6"/>
    </row>
    <row r="9424" s="1" customFormat="1" spans="1:3">
      <c r="A9424" s="6"/>
      <c r="B9424" s="6"/>
      <c r="C9424" s="6"/>
    </row>
    <row r="9425" s="1" customFormat="1" spans="1:3">
      <c r="A9425" s="6"/>
      <c r="B9425" s="6"/>
      <c r="C9425" s="6"/>
    </row>
    <row r="9426" s="1" customFormat="1" spans="1:3">
      <c r="A9426" s="6"/>
      <c r="B9426" s="6"/>
      <c r="C9426" s="6"/>
    </row>
    <row r="9427" s="1" customFormat="1" spans="1:3">
      <c r="A9427" s="6"/>
      <c r="B9427" s="6"/>
      <c r="C9427" s="6"/>
    </row>
    <row r="9428" s="1" customFormat="1" spans="1:3">
      <c r="A9428" s="6"/>
      <c r="B9428" s="6"/>
      <c r="C9428" s="6"/>
    </row>
    <row r="9429" s="1" customFormat="1" spans="1:3">
      <c r="A9429" s="6"/>
      <c r="B9429" s="6"/>
      <c r="C9429" s="6"/>
    </row>
    <row r="9430" s="1" customFormat="1" spans="1:3">
      <c r="A9430" s="6"/>
      <c r="B9430" s="6"/>
      <c r="C9430" s="6"/>
    </row>
    <row r="9431" s="1" customFormat="1" spans="1:3">
      <c r="A9431" s="6"/>
      <c r="B9431" s="6"/>
      <c r="C9431" s="6"/>
    </row>
    <row r="9432" s="1" customFormat="1" spans="1:3">
      <c r="A9432" s="6"/>
      <c r="B9432" s="6"/>
      <c r="C9432" s="6"/>
    </row>
    <row r="9433" s="1" customFormat="1" spans="1:3">
      <c r="A9433" s="6"/>
      <c r="B9433" s="6"/>
      <c r="C9433" s="6"/>
    </row>
    <row r="9434" s="1" customFormat="1" spans="1:3">
      <c r="A9434" s="6"/>
      <c r="B9434" s="6"/>
      <c r="C9434" s="6"/>
    </row>
    <row r="9435" s="1" customFormat="1" spans="1:3">
      <c r="A9435" s="6"/>
      <c r="B9435" s="6"/>
      <c r="C9435" s="6"/>
    </row>
    <row r="9436" s="1" customFormat="1" spans="1:3">
      <c r="A9436" s="6"/>
      <c r="B9436" s="6"/>
      <c r="C9436" s="6"/>
    </row>
    <row r="9437" s="1" customFormat="1" spans="1:3">
      <c r="A9437" s="6"/>
      <c r="B9437" s="6"/>
      <c r="C9437" s="6"/>
    </row>
    <row r="9438" s="1" customFormat="1" spans="1:3">
      <c r="A9438" s="6"/>
      <c r="B9438" s="6"/>
      <c r="C9438" s="6"/>
    </row>
    <row r="9439" s="1" customFormat="1" spans="1:3">
      <c r="A9439" s="6"/>
      <c r="B9439" s="6"/>
      <c r="C9439" s="6"/>
    </row>
    <row r="9440" s="1" customFormat="1" spans="1:3">
      <c r="A9440" s="6"/>
      <c r="B9440" s="6"/>
      <c r="C9440" s="6"/>
    </row>
    <row r="9441" s="1" customFormat="1" spans="1:3">
      <c r="A9441" s="6"/>
      <c r="B9441" s="6"/>
      <c r="C9441" s="6"/>
    </row>
    <row r="9442" s="1" customFormat="1" spans="1:3">
      <c r="A9442" s="6"/>
      <c r="B9442" s="6"/>
      <c r="C9442" s="6"/>
    </row>
    <row r="9443" s="1" customFormat="1" spans="1:3">
      <c r="A9443" s="6"/>
      <c r="B9443" s="6"/>
      <c r="C9443" s="6"/>
    </row>
    <row r="9444" s="1" customFormat="1" spans="1:3">
      <c r="A9444" s="6"/>
      <c r="B9444" s="6"/>
      <c r="C9444" s="6"/>
    </row>
    <row r="9445" s="1" customFormat="1" spans="1:3">
      <c r="A9445" s="6"/>
      <c r="B9445" s="6"/>
      <c r="C9445" s="6"/>
    </row>
    <row r="9446" s="1" customFormat="1" spans="1:3">
      <c r="A9446" s="6"/>
      <c r="B9446" s="6"/>
      <c r="C9446" s="6"/>
    </row>
    <row r="9447" s="1" customFormat="1" spans="1:3">
      <c r="A9447" s="6"/>
      <c r="B9447" s="6"/>
      <c r="C9447" s="6"/>
    </row>
    <row r="9448" s="1" customFormat="1" spans="1:3">
      <c r="A9448" s="6"/>
      <c r="B9448" s="6"/>
      <c r="C9448" s="6"/>
    </row>
    <row r="9449" s="1" customFormat="1" spans="1:3">
      <c r="A9449" s="6"/>
      <c r="B9449" s="6"/>
      <c r="C9449" s="6"/>
    </row>
    <row r="9450" s="1" customFormat="1" spans="1:3">
      <c r="A9450" s="6"/>
      <c r="B9450" s="6"/>
      <c r="C9450" s="6"/>
    </row>
    <row r="9451" s="1" customFormat="1" spans="1:3">
      <c r="A9451" s="6"/>
      <c r="B9451" s="6"/>
      <c r="C9451" s="6"/>
    </row>
    <row r="9452" s="1" customFormat="1" spans="1:3">
      <c r="A9452" s="6"/>
      <c r="B9452" s="6"/>
      <c r="C9452" s="6"/>
    </row>
    <row r="9453" s="1" customFormat="1" spans="1:3">
      <c r="A9453" s="6"/>
      <c r="B9453" s="6"/>
      <c r="C9453" s="6"/>
    </row>
    <row r="9454" s="1" customFormat="1" spans="1:3">
      <c r="A9454" s="6"/>
      <c r="B9454" s="6"/>
      <c r="C9454" s="6"/>
    </row>
    <row r="9455" s="1" customFormat="1" spans="1:3">
      <c r="A9455" s="6"/>
      <c r="B9455" s="6"/>
      <c r="C9455" s="6"/>
    </row>
    <row r="9456" s="1" customFormat="1" spans="1:3">
      <c r="A9456" s="6"/>
      <c r="B9456" s="6"/>
      <c r="C9456" s="6"/>
    </row>
    <row r="9457" s="1" customFormat="1" spans="1:3">
      <c r="A9457" s="6"/>
      <c r="B9457" s="6"/>
      <c r="C9457" s="6"/>
    </row>
    <row r="9458" s="1" customFormat="1" spans="1:3">
      <c r="A9458" s="6"/>
      <c r="B9458" s="6"/>
      <c r="C9458" s="6"/>
    </row>
    <row r="9459" s="1" customFormat="1" spans="1:3">
      <c r="A9459" s="6"/>
      <c r="B9459" s="6"/>
      <c r="C9459" s="6"/>
    </row>
    <row r="9460" s="1" customFormat="1" spans="1:3">
      <c r="A9460" s="6"/>
      <c r="B9460" s="6"/>
      <c r="C9460" s="6"/>
    </row>
    <row r="9461" s="1" customFormat="1" spans="1:3">
      <c r="A9461" s="6"/>
      <c r="B9461" s="6"/>
      <c r="C9461" s="6"/>
    </row>
    <row r="9462" s="1" customFormat="1" spans="1:3">
      <c r="A9462" s="6"/>
      <c r="B9462" s="6"/>
      <c r="C9462" s="6"/>
    </row>
    <row r="9463" s="1" customFormat="1" spans="1:3">
      <c r="A9463" s="6"/>
      <c r="B9463" s="6"/>
      <c r="C9463" s="6"/>
    </row>
    <row r="9464" s="1" customFormat="1" spans="1:3">
      <c r="A9464" s="6"/>
      <c r="B9464" s="6"/>
      <c r="C9464" s="6"/>
    </row>
    <row r="9465" s="1" customFormat="1" spans="1:3">
      <c r="A9465" s="6"/>
      <c r="B9465" s="6"/>
      <c r="C9465" s="6"/>
    </row>
    <row r="9466" s="1" customFormat="1" spans="1:3">
      <c r="A9466" s="6"/>
      <c r="B9466" s="6"/>
      <c r="C9466" s="6"/>
    </row>
    <row r="9467" s="1" customFormat="1" spans="1:3">
      <c r="A9467" s="6"/>
      <c r="B9467" s="6"/>
      <c r="C9467" s="6"/>
    </row>
    <row r="9468" s="1" customFormat="1" spans="1:3">
      <c r="A9468" s="6"/>
      <c r="B9468" s="6"/>
      <c r="C9468" s="6"/>
    </row>
    <row r="9469" s="1" customFormat="1" spans="1:3">
      <c r="A9469" s="6"/>
      <c r="B9469" s="6"/>
      <c r="C9469" s="6"/>
    </row>
    <row r="9470" s="1" customFormat="1" spans="1:3">
      <c r="A9470" s="6"/>
      <c r="B9470" s="6"/>
      <c r="C9470" s="6"/>
    </row>
    <row r="9471" s="1" customFormat="1" spans="1:3">
      <c r="A9471" s="6"/>
      <c r="B9471" s="6"/>
      <c r="C9471" s="6"/>
    </row>
    <row r="9472" s="1" customFormat="1" spans="1:3">
      <c r="A9472" s="6"/>
      <c r="B9472" s="6"/>
      <c r="C9472" s="6"/>
    </row>
    <row r="9473" s="1" customFormat="1" spans="1:3">
      <c r="A9473" s="6"/>
      <c r="B9473" s="6"/>
      <c r="C9473" s="6"/>
    </row>
    <row r="9474" s="1" customFormat="1" spans="1:3">
      <c r="A9474" s="6"/>
      <c r="B9474" s="6"/>
      <c r="C9474" s="6"/>
    </row>
    <row r="9475" s="1" customFormat="1" spans="1:3">
      <c r="A9475" s="6"/>
      <c r="B9475" s="6"/>
      <c r="C9475" s="6"/>
    </row>
    <row r="9476" s="1" customFormat="1" spans="1:3">
      <c r="A9476" s="6"/>
      <c r="B9476" s="6"/>
      <c r="C9476" s="6"/>
    </row>
    <row r="9477" s="1" customFormat="1" spans="1:3">
      <c r="A9477" s="6"/>
      <c r="B9477" s="6"/>
      <c r="C9477" s="6"/>
    </row>
    <row r="9478" s="1" customFormat="1" spans="1:3">
      <c r="A9478" s="6"/>
      <c r="B9478" s="6"/>
      <c r="C9478" s="6"/>
    </row>
    <row r="9479" s="1" customFormat="1" spans="1:3">
      <c r="A9479" s="6"/>
      <c r="B9479" s="6"/>
      <c r="C9479" s="6"/>
    </row>
    <row r="9480" s="1" customFormat="1" spans="1:3">
      <c r="A9480" s="6"/>
      <c r="B9480" s="6"/>
      <c r="C9480" s="6"/>
    </row>
    <row r="9481" s="1" customFormat="1" spans="1:3">
      <c r="A9481" s="6"/>
      <c r="B9481" s="6"/>
      <c r="C9481" s="6"/>
    </row>
    <row r="9482" s="1" customFormat="1" spans="1:3">
      <c r="A9482" s="6"/>
      <c r="B9482" s="6"/>
      <c r="C9482" s="6"/>
    </row>
    <row r="9483" s="1" customFormat="1" spans="1:3">
      <c r="A9483" s="6"/>
      <c r="B9483" s="6"/>
      <c r="C9483" s="6"/>
    </row>
    <row r="9484" s="1" customFormat="1" spans="1:3">
      <c r="A9484" s="6"/>
      <c r="B9484" s="6"/>
      <c r="C9484" s="6"/>
    </row>
    <row r="9485" s="1" customFormat="1" spans="1:3">
      <c r="A9485" s="6"/>
      <c r="B9485" s="6"/>
      <c r="C9485" s="6"/>
    </row>
    <row r="9486" s="1" customFormat="1" spans="1:3">
      <c r="A9486" s="6"/>
      <c r="B9486" s="6"/>
      <c r="C9486" s="6"/>
    </row>
    <row r="9487" s="1" customFormat="1" spans="1:3">
      <c r="A9487" s="6"/>
      <c r="B9487" s="6"/>
      <c r="C9487" s="6"/>
    </row>
    <row r="9488" s="1" customFormat="1" spans="1:3">
      <c r="A9488" s="6"/>
      <c r="B9488" s="6"/>
      <c r="C9488" s="6"/>
    </row>
    <row r="9489" s="1" customFormat="1" spans="1:3">
      <c r="A9489" s="6"/>
      <c r="B9489" s="6"/>
      <c r="C9489" s="6"/>
    </row>
    <row r="9490" s="1" customFormat="1" spans="1:3">
      <c r="A9490" s="6"/>
      <c r="B9490" s="6"/>
      <c r="C9490" s="6"/>
    </row>
    <row r="9491" s="1" customFormat="1" spans="1:3">
      <c r="A9491" s="6"/>
      <c r="B9491" s="6"/>
      <c r="C9491" s="6"/>
    </row>
    <row r="9492" s="1" customFormat="1" spans="1:3">
      <c r="A9492" s="6"/>
      <c r="B9492" s="6"/>
      <c r="C9492" s="6"/>
    </row>
    <row r="9493" s="1" customFormat="1" spans="1:3">
      <c r="A9493" s="6"/>
      <c r="B9493" s="6"/>
      <c r="C9493" s="6"/>
    </row>
    <row r="9494" s="1" customFormat="1" spans="1:3">
      <c r="A9494" s="6"/>
      <c r="B9494" s="6"/>
      <c r="C9494" s="6"/>
    </row>
    <row r="9495" s="1" customFormat="1" spans="1:3">
      <c r="A9495" s="6"/>
      <c r="B9495" s="6"/>
      <c r="C9495" s="6"/>
    </row>
    <row r="9496" s="1" customFormat="1" spans="1:3">
      <c r="A9496" s="6"/>
      <c r="B9496" s="6"/>
      <c r="C9496" s="6"/>
    </row>
    <row r="9497" s="1" customFormat="1" spans="1:3">
      <c r="A9497" s="6"/>
      <c r="B9497" s="6"/>
      <c r="C9497" s="6"/>
    </row>
    <row r="9498" s="1" customFormat="1" spans="1:3">
      <c r="A9498" s="6"/>
      <c r="B9498" s="6"/>
      <c r="C9498" s="6"/>
    </row>
    <row r="9499" s="1" customFormat="1" spans="1:3">
      <c r="A9499" s="6"/>
      <c r="B9499" s="6"/>
      <c r="C9499" s="6"/>
    </row>
    <row r="9500" s="1" customFormat="1" spans="1:3">
      <c r="A9500" s="6"/>
      <c r="B9500" s="6"/>
      <c r="C9500" s="6"/>
    </row>
    <row r="9501" s="1" customFormat="1" spans="1:3">
      <c r="A9501" s="6"/>
      <c r="B9501" s="6"/>
      <c r="C9501" s="6"/>
    </row>
    <row r="9502" s="1" customFormat="1" spans="1:3">
      <c r="A9502" s="6"/>
      <c r="B9502" s="6"/>
      <c r="C9502" s="6"/>
    </row>
    <row r="9503" s="1" customFormat="1" spans="1:3">
      <c r="A9503" s="6"/>
      <c r="B9503" s="6"/>
      <c r="C9503" s="6"/>
    </row>
    <row r="9504" s="1" customFormat="1" spans="1:3">
      <c r="A9504" s="6"/>
      <c r="B9504" s="6"/>
      <c r="C9504" s="6"/>
    </row>
    <row r="9505" s="1" customFormat="1" spans="1:3">
      <c r="A9505" s="6"/>
      <c r="B9505" s="6"/>
      <c r="C9505" s="6"/>
    </row>
    <row r="9506" s="1" customFormat="1" spans="1:3">
      <c r="A9506" s="6"/>
      <c r="B9506" s="6"/>
      <c r="C9506" s="6"/>
    </row>
    <row r="9507" s="1" customFormat="1" spans="1:3">
      <c r="A9507" s="6"/>
      <c r="B9507" s="6"/>
      <c r="C9507" s="6"/>
    </row>
    <row r="9508" s="1" customFormat="1" spans="1:3">
      <c r="A9508" s="6"/>
      <c r="B9508" s="6"/>
      <c r="C9508" s="6"/>
    </row>
    <row r="9509" s="1" customFormat="1" spans="1:3">
      <c r="A9509" s="6"/>
      <c r="B9509" s="6"/>
      <c r="C9509" s="6"/>
    </row>
    <row r="9510" s="1" customFormat="1" spans="1:3">
      <c r="A9510" s="6"/>
      <c r="B9510" s="6"/>
      <c r="C9510" s="6"/>
    </row>
    <row r="9511" s="1" customFormat="1" spans="1:3">
      <c r="A9511" s="6"/>
      <c r="B9511" s="6"/>
      <c r="C9511" s="6"/>
    </row>
    <row r="9512" s="1" customFormat="1" spans="1:3">
      <c r="A9512" s="6"/>
      <c r="B9512" s="6"/>
      <c r="C9512" s="6"/>
    </row>
    <row r="9513" s="1" customFormat="1" spans="1:3">
      <c r="A9513" s="6"/>
      <c r="B9513" s="6"/>
      <c r="C9513" s="6"/>
    </row>
    <row r="9514" s="1" customFormat="1" spans="1:3">
      <c r="A9514" s="6"/>
      <c r="B9514" s="6"/>
      <c r="C9514" s="6"/>
    </row>
    <row r="9515" s="1" customFormat="1" spans="1:3">
      <c r="A9515" s="6"/>
      <c r="B9515" s="6"/>
      <c r="C9515" s="6"/>
    </row>
    <row r="9516" s="1" customFormat="1" spans="1:3">
      <c r="A9516" s="6"/>
      <c r="B9516" s="6"/>
      <c r="C9516" s="6"/>
    </row>
    <row r="9517" s="1" customFormat="1" spans="1:3">
      <c r="A9517" s="6"/>
      <c r="B9517" s="6"/>
      <c r="C9517" s="6"/>
    </row>
    <row r="9518" s="1" customFormat="1" spans="1:3">
      <c r="A9518" s="6"/>
      <c r="B9518" s="6"/>
      <c r="C9518" s="6"/>
    </row>
    <row r="9519" s="1" customFormat="1" spans="1:3">
      <c r="A9519" s="6"/>
      <c r="B9519" s="6"/>
      <c r="C9519" s="6"/>
    </row>
    <row r="9520" s="1" customFormat="1" spans="1:3">
      <c r="A9520" s="6"/>
      <c r="B9520" s="6"/>
      <c r="C9520" s="6"/>
    </row>
    <row r="9521" s="1" customFormat="1" spans="1:3">
      <c r="A9521" s="6"/>
      <c r="B9521" s="6"/>
      <c r="C9521" s="6"/>
    </row>
    <row r="9522" s="1" customFormat="1" spans="1:3">
      <c r="A9522" s="6"/>
      <c r="B9522" s="6"/>
      <c r="C9522" s="6"/>
    </row>
    <row r="9523" s="1" customFormat="1" spans="1:3">
      <c r="A9523" s="6"/>
      <c r="B9523" s="6"/>
      <c r="C9523" s="6"/>
    </row>
    <row r="9524" s="1" customFormat="1" spans="1:3">
      <c r="A9524" s="6"/>
      <c r="B9524" s="6"/>
      <c r="C9524" s="6"/>
    </row>
    <row r="9525" s="1" customFormat="1" spans="1:3">
      <c r="A9525" s="6"/>
      <c r="B9525" s="6"/>
      <c r="C9525" s="6"/>
    </row>
    <row r="9526" s="1" customFormat="1" spans="1:3">
      <c r="A9526" s="6"/>
      <c r="B9526" s="6"/>
      <c r="C9526" s="6"/>
    </row>
    <row r="9527" s="1" customFormat="1" spans="1:3">
      <c r="A9527" s="6"/>
      <c r="B9527" s="6"/>
      <c r="C9527" s="6"/>
    </row>
    <row r="9528" s="1" customFormat="1" spans="1:3">
      <c r="A9528" s="6"/>
      <c r="B9528" s="6"/>
      <c r="C9528" s="6"/>
    </row>
    <row r="9529" s="1" customFormat="1" spans="1:3">
      <c r="A9529" s="6"/>
      <c r="B9529" s="6"/>
      <c r="C9529" s="6"/>
    </row>
    <row r="9530" s="1" customFormat="1" spans="1:3">
      <c r="A9530" s="6"/>
      <c r="B9530" s="6"/>
      <c r="C9530" s="6"/>
    </row>
    <row r="9531" s="1" customFormat="1" spans="1:3">
      <c r="A9531" s="6"/>
      <c r="B9531" s="6"/>
      <c r="C9531" s="6"/>
    </row>
    <row r="9532" s="1" customFormat="1" spans="1:3">
      <c r="A9532" s="6"/>
      <c r="B9532" s="6"/>
      <c r="C9532" s="6"/>
    </row>
    <row r="9533" s="1" customFormat="1" spans="1:3">
      <c r="A9533" s="6"/>
      <c r="B9533" s="6"/>
      <c r="C9533" s="6"/>
    </row>
    <row r="9534" s="1" customFormat="1" spans="1:3">
      <c r="A9534" s="6"/>
      <c r="B9534" s="6"/>
      <c r="C9534" s="6"/>
    </row>
    <row r="9535" s="1" customFormat="1" spans="1:3">
      <c r="A9535" s="6"/>
      <c r="B9535" s="6"/>
      <c r="C9535" s="6"/>
    </row>
    <row r="9536" s="1" customFormat="1" spans="1:3">
      <c r="A9536" s="6"/>
      <c r="B9536" s="6"/>
      <c r="C9536" s="6"/>
    </row>
    <row r="9537" s="1" customFormat="1" spans="1:3">
      <c r="A9537" s="6"/>
      <c r="B9537" s="6"/>
      <c r="C9537" s="6"/>
    </row>
    <row r="9538" s="1" customFormat="1" spans="1:3">
      <c r="A9538" s="6"/>
      <c r="B9538" s="6"/>
      <c r="C9538" s="6"/>
    </row>
    <row r="9539" s="1" customFormat="1" spans="1:3">
      <c r="A9539" s="6"/>
      <c r="B9539" s="6"/>
      <c r="C9539" s="6"/>
    </row>
    <row r="9540" s="1" customFormat="1" spans="1:3">
      <c r="A9540" s="6"/>
      <c r="B9540" s="6"/>
      <c r="C9540" s="6"/>
    </row>
    <row r="9541" s="1" customFormat="1" spans="1:3">
      <c r="A9541" s="6"/>
      <c r="B9541" s="6"/>
      <c r="C9541" s="6"/>
    </row>
    <row r="9542" s="1" customFormat="1" spans="1:3">
      <c r="A9542" s="6"/>
      <c r="B9542" s="6"/>
      <c r="C9542" s="6"/>
    </row>
    <row r="9543" s="1" customFormat="1" spans="1:3">
      <c r="A9543" s="6"/>
      <c r="B9543" s="6"/>
      <c r="C9543" s="6"/>
    </row>
    <row r="9544" s="1" customFormat="1" spans="1:3">
      <c r="A9544" s="6"/>
      <c r="B9544" s="6"/>
      <c r="C9544" s="6"/>
    </row>
    <row r="9545" s="1" customFormat="1" spans="1:3">
      <c r="A9545" s="6"/>
      <c r="B9545" s="6"/>
      <c r="C9545" s="6"/>
    </row>
    <row r="9546" s="1" customFormat="1" spans="1:3">
      <c r="A9546" s="6"/>
      <c r="B9546" s="6"/>
      <c r="C9546" s="6"/>
    </row>
    <row r="9547" s="1" customFormat="1" spans="1:3">
      <c r="A9547" s="6"/>
      <c r="B9547" s="6"/>
      <c r="C9547" s="6"/>
    </row>
    <row r="9548" s="1" customFormat="1" spans="1:3">
      <c r="A9548" s="6"/>
      <c r="B9548" s="6"/>
      <c r="C9548" s="6"/>
    </row>
    <row r="9549" s="1" customFormat="1" spans="1:3">
      <c r="A9549" s="6"/>
      <c r="B9549" s="6"/>
      <c r="C9549" s="6"/>
    </row>
    <row r="9550" s="1" customFormat="1" spans="1:3">
      <c r="A9550" s="6"/>
      <c r="B9550" s="6"/>
      <c r="C9550" s="6"/>
    </row>
    <row r="9551" s="1" customFormat="1" spans="1:3">
      <c r="A9551" s="6"/>
      <c r="B9551" s="6"/>
      <c r="C9551" s="6"/>
    </row>
    <row r="9552" s="1" customFormat="1" spans="1:3">
      <c r="A9552" s="6"/>
      <c r="B9552" s="6"/>
      <c r="C9552" s="6"/>
    </row>
    <row r="9553" s="1" customFormat="1" spans="1:3">
      <c r="A9553" s="6"/>
      <c r="B9553" s="6"/>
      <c r="C9553" s="6"/>
    </row>
    <row r="9554" s="1" customFormat="1" spans="1:3">
      <c r="A9554" s="6"/>
      <c r="B9554" s="6"/>
      <c r="C9554" s="6"/>
    </row>
    <row r="9555" s="1" customFormat="1" spans="1:3">
      <c r="A9555" s="6"/>
      <c r="B9555" s="6"/>
      <c r="C9555" s="6"/>
    </row>
    <row r="9556" s="1" customFormat="1" spans="1:3">
      <c r="A9556" s="6"/>
      <c r="B9556" s="6"/>
      <c r="C9556" s="6"/>
    </row>
    <row r="9557" s="1" customFormat="1" spans="1:3">
      <c r="A9557" s="6"/>
      <c r="B9557" s="6"/>
      <c r="C9557" s="6"/>
    </row>
    <row r="9558" s="1" customFormat="1" spans="1:3">
      <c r="A9558" s="6"/>
      <c r="B9558" s="6"/>
      <c r="C9558" s="6"/>
    </row>
    <row r="9559" s="1" customFormat="1" spans="1:3">
      <c r="A9559" s="6"/>
      <c r="B9559" s="6"/>
      <c r="C9559" s="6"/>
    </row>
    <row r="9560" s="1" customFormat="1" spans="1:3">
      <c r="A9560" s="6"/>
      <c r="B9560" s="6"/>
      <c r="C9560" s="6"/>
    </row>
    <row r="9561" s="1" customFormat="1" spans="1:3">
      <c r="A9561" s="6"/>
      <c r="B9561" s="6"/>
      <c r="C9561" s="6"/>
    </row>
    <row r="9562" s="1" customFormat="1" spans="1:3">
      <c r="A9562" s="6"/>
      <c r="B9562" s="6"/>
      <c r="C9562" s="6"/>
    </row>
    <row r="9563" s="1" customFormat="1" spans="1:3">
      <c r="A9563" s="6"/>
      <c r="B9563" s="6"/>
      <c r="C9563" s="6"/>
    </row>
    <row r="9564" s="1" customFormat="1" spans="1:3">
      <c r="A9564" s="6"/>
      <c r="B9564" s="6"/>
      <c r="C9564" s="6"/>
    </row>
    <row r="9565" s="1" customFormat="1" spans="1:3">
      <c r="A9565" s="6"/>
      <c r="B9565" s="6"/>
      <c r="C9565" s="6"/>
    </row>
    <row r="9566" s="1" customFormat="1" spans="1:3">
      <c r="A9566" s="6"/>
      <c r="B9566" s="6"/>
      <c r="C9566" s="6"/>
    </row>
    <row r="9567" s="1" customFormat="1" spans="1:3">
      <c r="A9567" s="6"/>
      <c r="B9567" s="6"/>
      <c r="C9567" s="6"/>
    </row>
    <row r="9568" s="1" customFormat="1" spans="1:3">
      <c r="A9568" s="6"/>
      <c r="B9568" s="6"/>
      <c r="C9568" s="6"/>
    </row>
    <row r="9569" s="1" customFormat="1" spans="1:3">
      <c r="A9569" s="6"/>
      <c r="B9569" s="6"/>
      <c r="C9569" s="6"/>
    </row>
    <row r="9570" s="1" customFormat="1" spans="1:3">
      <c r="A9570" s="6"/>
      <c r="B9570" s="6"/>
      <c r="C9570" s="6"/>
    </row>
    <row r="9571" s="1" customFormat="1" spans="1:3">
      <c r="A9571" s="6"/>
      <c r="B9571" s="6"/>
      <c r="C9571" s="6"/>
    </row>
    <row r="9572" s="1" customFormat="1" spans="1:3">
      <c r="A9572" s="6"/>
      <c r="B9572" s="6"/>
      <c r="C9572" s="6"/>
    </row>
    <row r="9573" s="1" customFormat="1" spans="1:3">
      <c r="A9573" s="6"/>
      <c r="B9573" s="6"/>
      <c r="C9573" s="6"/>
    </row>
    <row r="9574" s="1" customFormat="1" spans="1:3">
      <c r="A9574" s="6"/>
      <c r="B9574" s="6"/>
      <c r="C9574" s="6"/>
    </row>
    <row r="9575" s="1" customFormat="1" spans="1:3">
      <c r="A9575" s="6"/>
      <c r="B9575" s="6"/>
      <c r="C9575" s="6"/>
    </row>
    <row r="9576" s="1" customFormat="1" spans="1:3">
      <c r="A9576" s="6"/>
      <c r="B9576" s="6"/>
      <c r="C9576" s="6"/>
    </row>
    <row r="9577" s="1" customFormat="1" spans="1:3">
      <c r="A9577" s="6"/>
      <c r="B9577" s="6"/>
      <c r="C9577" s="6"/>
    </row>
    <row r="9578" s="1" customFormat="1" spans="1:3">
      <c r="A9578" s="6"/>
      <c r="B9578" s="6"/>
      <c r="C9578" s="6"/>
    </row>
    <row r="9579" s="1" customFormat="1" spans="1:3">
      <c r="A9579" s="6"/>
      <c r="B9579" s="6"/>
      <c r="C9579" s="6"/>
    </row>
    <row r="9580" s="1" customFormat="1" spans="1:3">
      <c r="A9580" s="6"/>
      <c r="B9580" s="6"/>
      <c r="C9580" s="6"/>
    </row>
    <row r="9581" s="1" customFormat="1" spans="1:3">
      <c r="A9581" s="6"/>
      <c r="B9581" s="6"/>
      <c r="C9581" s="6"/>
    </row>
    <row r="9582" s="1" customFormat="1" spans="1:3">
      <c r="A9582" s="6"/>
      <c r="B9582" s="6"/>
      <c r="C9582" s="6"/>
    </row>
    <row r="9583" s="1" customFormat="1" spans="1:3">
      <c r="A9583" s="6"/>
      <c r="B9583" s="6"/>
      <c r="C9583" s="6"/>
    </row>
    <row r="9584" s="1" customFormat="1" spans="1:3">
      <c r="A9584" s="6"/>
      <c r="B9584" s="6"/>
      <c r="C9584" s="6"/>
    </row>
    <row r="9585" s="1" customFormat="1" spans="1:3">
      <c r="A9585" s="6"/>
      <c r="B9585" s="6"/>
      <c r="C9585" s="6"/>
    </row>
    <row r="9586" s="1" customFormat="1" spans="1:3">
      <c r="A9586" s="6"/>
      <c r="B9586" s="6"/>
      <c r="C9586" s="6"/>
    </row>
    <row r="9587" s="1" customFormat="1" spans="1:3">
      <c r="A9587" s="6"/>
      <c r="B9587" s="6"/>
      <c r="C9587" s="6"/>
    </row>
    <row r="9588" s="1" customFormat="1" spans="1:3">
      <c r="A9588" s="6"/>
      <c r="B9588" s="6"/>
      <c r="C9588" s="6"/>
    </row>
    <row r="9589" s="1" customFormat="1" spans="1:3">
      <c r="A9589" s="6"/>
      <c r="B9589" s="6"/>
      <c r="C9589" s="6"/>
    </row>
    <row r="9590" s="1" customFormat="1" spans="1:3">
      <c r="A9590" s="6"/>
      <c r="B9590" s="6"/>
      <c r="C9590" s="6"/>
    </row>
    <row r="9591" s="1" customFormat="1" spans="1:3">
      <c r="A9591" s="6"/>
      <c r="B9591" s="6"/>
      <c r="C9591" s="6"/>
    </row>
    <row r="9592" s="1" customFormat="1" spans="1:3">
      <c r="A9592" s="6"/>
      <c r="B9592" s="6"/>
      <c r="C9592" s="6"/>
    </row>
    <row r="9593" s="1" customFormat="1" spans="1:3">
      <c r="A9593" s="6"/>
      <c r="B9593" s="6"/>
      <c r="C9593" s="6"/>
    </row>
    <row r="9594" s="1" customFormat="1" spans="1:3">
      <c r="A9594" s="6"/>
      <c r="B9594" s="6"/>
      <c r="C9594" s="6"/>
    </row>
    <row r="9595" s="1" customFormat="1" spans="1:3">
      <c r="A9595" s="6"/>
      <c r="B9595" s="6"/>
      <c r="C9595" s="6"/>
    </row>
    <row r="9596" s="1" customFormat="1" spans="1:3">
      <c r="A9596" s="6"/>
      <c r="B9596" s="6"/>
      <c r="C9596" s="6"/>
    </row>
    <row r="9597" s="1" customFormat="1" spans="1:3">
      <c r="A9597" s="6"/>
      <c r="B9597" s="6"/>
      <c r="C9597" s="6"/>
    </row>
    <row r="9598" s="1" customFormat="1" spans="1:3">
      <c r="A9598" s="6"/>
      <c r="B9598" s="6"/>
      <c r="C9598" s="6"/>
    </row>
    <row r="9599" s="1" customFormat="1" spans="1:3">
      <c r="A9599" s="6"/>
      <c r="B9599" s="6"/>
      <c r="C9599" s="6"/>
    </row>
    <row r="9600" s="1" customFormat="1" spans="1:3">
      <c r="A9600" s="6"/>
      <c r="B9600" s="6"/>
      <c r="C9600" s="6"/>
    </row>
    <row r="9601" s="1" customFormat="1" spans="1:3">
      <c r="A9601" s="6"/>
      <c r="B9601" s="6"/>
      <c r="C9601" s="6"/>
    </row>
    <row r="9602" s="1" customFormat="1" spans="1:3">
      <c r="A9602" s="6"/>
      <c r="B9602" s="6"/>
      <c r="C9602" s="6"/>
    </row>
    <row r="9603" s="1" customFormat="1" spans="1:3">
      <c r="A9603" s="6"/>
      <c r="B9603" s="6"/>
      <c r="C9603" s="6"/>
    </row>
    <row r="9604" s="1" customFormat="1" spans="1:3">
      <c r="A9604" s="6"/>
      <c r="B9604" s="6"/>
      <c r="C9604" s="6"/>
    </row>
    <row r="9605" s="1" customFormat="1" spans="1:3">
      <c r="A9605" s="6"/>
      <c r="B9605" s="6"/>
      <c r="C9605" s="6"/>
    </row>
    <row r="9606" s="1" customFormat="1" spans="1:3">
      <c r="A9606" s="6"/>
      <c r="B9606" s="6"/>
      <c r="C9606" s="6"/>
    </row>
    <row r="9607" s="1" customFormat="1" spans="1:3">
      <c r="A9607" s="6"/>
      <c r="B9607" s="6"/>
      <c r="C9607" s="6"/>
    </row>
    <row r="9608" s="1" customFormat="1" spans="1:3">
      <c r="A9608" s="6"/>
      <c r="B9608" s="6"/>
      <c r="C9608" s="6"/>
    </row>
    <row r="9609" s="1" customFormat="1" spans="1:3">
      <c r="A9609" s="6"/>
      <c r="B9609" s="6"/>
      <c r="C9609" s="6"/>
    </row>
    <row r="9610" s="1" customFormat="1" spans="1:3">
      <c r="A9610" s="6"/>
      <c r="B9610" s="6"/>
      <c r="C9610" s="6"/>
    </row>
    <row r="9611" s="1" customFormat="1" spans="1:3">
      <c r="A9611" s="6"/>
      <c r="B9611" s="6"/>
      <c r="C9611" s="6"/>
    </row>
    <row r="9612" s="1" customFormat="1" spans="1:3">
      <c r="A9612" s="6"/>
      <c r="B9612" s="6"/>
      <c r="C9612" s="6"/>
    </row>
    <row r="9613" s="1" customFormat="1" spans="1:3">
      <c r="A9613" s="6"/>
      <c r="B9613" s="6"/>
      <c r="C9613" s="6"/>
    </row>
    <row r="9614" s="1" customFormat="1" spans="1:3">
      <c r="A9614" s="6"/>
      <c r="B9614" s="6"/>
      <c r="C9614" s="6"/>
    </row>
    <row r="9615" s="1" customFormat="1" spans="1:3">
      <c r="A9615" s="6"/>
      <c r="B9615" s="6"/>
      <c r="C9615" s="6"/>
    </row>
    <row r="9616" s="1" customFormat="1" spans="1:3">
      <c r="A9616" s="6"/>
      <c r="B9616" s="6"/>
      <c r="C9616" s="6"/>
    </row>
    <row r="9617" s="1" customFormat="1" spans="1:3">
      <c r="A9617" s="6"/>
      <c r="B9617" s="6"/>
      <c r="C9617" s="6"/>
    </row>
    <row r="9618" s="1" customFormat="1" spans="1:3">
      <c r="A9618" s="6"/>
      <c r="B9618" s="6"/>
      <c r="C9618" s="6"/>
    </row>
    <row r="9619" s="1" customFormat="1" spans="1:3">
      <c r="A9619" s="6"/>
      <c r="B9619" s="6"/>
      <c r="C9619" s="6"/>
    </row>
    <row r="9620" s="1" customFormat="1" spans="1:3">
      <c r="A9620" s="6"/>
      <c r="B9620" s="6"/>
      <c r="C9620" s="6"/>
    </row>
    <row r="9621" s="1" customFormat="1" spans="1:3">
      <c r="A9621" s="6"/>
      <c r="B9621" s="6"/>
      <c r="C9621" s="6"/>
    </row>
    <row r="9622" s="1" customFormat="1" spans="1:3">
      <c r="A9622" s="6"/>
      <c r="B9622" s="6"/>
      <c r="C9622" s="6"/>
    </row>
    <row r="9623" s="1" customFormat="1" spans="1:3">
      <c r="A9623" s="6"/>
      <c r="B9623" s="6"/>
      <c r="C9623" s="6"/>
    </row>
    <row r="9624" s="1" customFormat="1" spans="1:3">
      <c r="A9624" s="6"/>
      <c r="B9624" s="6"/>
      <c r="C9624" s="6"/>
    </row>
    <row r="9625" s="1" customFormat="1" spans="1:3">
      <c r="A9625" s="6"/>
      <c r="B9625" s="6"/>
      <c r="C9625" s="6"/>
    </row>
    <row r="9626" s="1" customFormat="1" spans="1:3">
      <c r="A9626" s="6"/>
      <c r="B9626" s="6"/>
      <c r="C9626" s="6"/>
    </row>
    <row r="9627" s="1" customFormat="1" spans="1:3">
      <c r="A9627" s="6"/>
      <c r="B9627" s="6"/>
      <c r="C9627" s="6"/>
    </row>
    <row r="9628" s="1" customFormat="1" spans="1:3">
      <c r="A9628" s="6"/>
      <c r="B9628" s="6"/>
      <c r="C9628" s="6"/>
    </row>
    <row r="9629" s="1" customFormat="1" spans="1:3">
      <c r="A9629" s="6"/>
      <c r="B9629" s="6"/>
      <c r="C9629" s="6"/>
    </row>
    <row r="9630" s="1" customFormat="1" spans="1:3">
      <c r="A9630" s="6"/>
      <c r="B9630" s="6"/>
      <c r="C9630" s="6"/>
    </row>
    <row r="9631" s="1" customFormat="1" spans="1:3">
      <c r="A9631" s="6"/>
      <c r="B9631" s="6"/>
      <c r="C9631" s="6"/>
    </row>
    <row r="9632" s="1" customFormat="1" spans="1:3">
      <c r="A9632" s="6"/>
      <c r="B9632" s="6"/>
      <c r="C9632" s="6"/>
    </row>
    <row r="9633" s="1" customFormat="1" spans="1:3">
      <c r="A9633" s="6"/>
      <c r="B9633" s="6"/>
      <c r="C9633" s="6"/>
    </row>
    <row r="9634" s="1" customFormat="1" spans="1:3">
      <c r="A9634" s="6"/>
      <c r="B9634" s="6"/>
      <c r="C9634" s="6"/>
    </row>
    <row r="9635" s="1" customFormat="1" spans="1:3">
      <c r="A9635" s="6"/>
      <c r="B9635" s="6"/>
      <c r="C9635" s="6"/>
    </row>
    <row r="9636" s="1" customFormat="1" spans="1:3">
      <c r="A9636" s="6"/>
      <c r="B9636" s="6"/>
      <c r="C9636" s="6"/>
    </row>
    <row r="9637" s="1" customFormat="1" spans="1:3">
      <c r="A9637" s="6"/>
      <c r="B9637" s="6"/>
      <c r="C9637" s="6"/>
    </row>
    <row r="9638" s="1" customFormat="1" spans="1:3">
      <c r="A9638" s="6"/>
      <c r="B9638" s="6"/>
      <c r="C9638" s="6"/>
    </row>
    <row r="9639" s="1" customFormat="1" spans="1:3">
      <c r="A9639" s="6"/>
      <c r="B9639" s="6"/>
      <c r="C9639" s="6"/>
    </row>
    <row r="9640" s="1" customFormat="1" spans="1:3">
      <c r="A9640" s="6"/>
      <c r="B9640" s="6"/>
      <c r="C9640" s="6"/>
    </row>
    <row r="9641" s="1" customFormat="1" spans="1:3">
      <c r="A9641" s="6"/>
      <c r="B9641" s="6"/>
      <c r="C9641" s="6"/>
    </row>
    <row r="9642" s="1" customFormat="1" spans="1:3">
      <c r="A9642" s="6"/>
      <c r="B9642" s="6"/>
      <c r="C9642" s="6"/>
    </row>
    <row r="9643" s="1" customFormat="1" spans="1:3">
      <c r="A9643" s="6"/>
      <c r="B9643" s="6"/>
      <c r="C9643" s="6"/>
    </row>
    <row r="9644" s="1" customFormat="1" spans="1:3">
      <c r="A9644" s="6"/>
      <c r="B9644" s="6"/>
      <c r="C9644" s="6"/>
    </row>
    <row r="9645" s="1" customFormat="1" spans="1:3">
      <c r="A9645" s="6"/>
      <c r="B9645" s="6"/>
      <c r="C9645" s="6"/>
    </row>
    <row r="9646" s="1" customFormat="1" spans="1:3">
      <c r="A9646" s="6"/>
      <c r="B9646" s="6"/>
      <c r="C9646" s="6"/>
    </row>
    <row r="9647" s="1" customFormat="1" spans="1:3">
      <c r="A9647" s="6"/>
      <c r="B9647" s="6"/>
      <c r="C9647" s="6"/>
    </row>
    <row r="9648" s="1" customFormat="1" spans="1:3">
      <c r="A9648" s="6"/>
      <c r="B9648" s="6"/>
      <c r="C9648" s="6"/>
    </row>
    <row r="9649" s="1" customFormat="1" spans="1:3">
      <c r="A9649" s="6"/>
      <c r="B9649" s="6"/>
      <c r="C9649" s="6"/>
    </row>
    <row r="9650" s="1" customFormat="1" spans="1:3">
      <c r="A9650" s="6"/>
      <c r="B9650" s="6"/>
      <c r="C9650" s="6"/>
    </row>
    <row r="9651" s="1" customFormat="1" spans="1:3">
      <c r="A9651" s="6"/>
      <c r="B9651" s="6"/>
      <c r="C9651" s="6"/>
    </row>
    <row r="9652" s="1" customFormat="1" spans="1:3">
      <c r="A9652" s="6"/>
      <c r="B9652" s="6"/>
      <c r="C9652" s="6"/>
    </row>
    <row r="9653" s="1" customFormat="1" spans="1:3">
      <c r="A9653" s="6"/>
      <c r="B9653" s="6"/>
      <c r="C9653" s="6"/>
    </row>
    <row r="9654" s="1" customFormat="1" spans="1:3">
      <c r="A9654" s="6"/>
      <c r="B9654" s="6"/>
      <c r="C9654" s="6"/>
    </row>
    <row r="9655" s="1" customFormat="1" spans="1:3">
      <c r="A9655" s="6"/>
      <c r="B9655" s="6"/>
      <c r="C9655" s="6"/>
    </row>
    <row r="9656" s="1" customFormat="1" spans="1:3">
      <c r="A9656" s="6"/>
      <c r="B9656" s="6"/>
      <c r="C9656" s="6"/>
    </row>
    <row r="9657" s="1" customFormat="1" spans="1:3">
      <c r="A9657" s="6"/>
      <c r="B9657" s="6"/>
      <c r="C9657" s="6"/>
    </row>
    <row r="9658" s="1" customFormat="1" spans="1:3">
      <c r="A9658" s="6"/>
      <c r="B9658" s="6"/>
      <c r="C9658" s="6"/>
    </row>
    <row r="9659" s="1" customFormat="1" spans="1:3">
      <c r="A9659" s="6"/>
      <c r="B9659" s="6"/>
      <c r="C9659" s="6"/>
    </row>
    <row r="9660" s="1" customFormat="1" spans="1:3">
      <c r="A9660" s="6"/>
      <c r="B9660" s="6"/>
      <c r="C9660" s="6"/>
    </row>
    <row r="9661" s="1" customFormat="1" spans="1:3">
      <c r="A9661" s="6"/>
      <c r="B9661" s="6"/>
      <c r="C9661" s="6"/>
    </row>
    <row r="9662" s="1" customFormat="1" spans="1:3">
      <c r="A9662" s="6"/>
      <c r="B9662" s="6"/>
      <c r="C9662" s="6"/>
    </row>
    <row r="9663" s="1" customFormat="1" spans="1:3">
      <c r="A9663" s="6"/>
      <c r="B9663" s="6"/>
      <c r="C9663" s="6"/>
    </row>
    <row r="9664" s="1" customFormat="1" spans="1:3">
      <c r="A9664" s="6"/>
      <c r="B9664" s="6"/>
      <c r="C9664" s="6"/>
    </row>
    <row r="9665" s="1" customFormat="1" spans="1:3">
      <c r="A9665" s="6"/>
      <c r="B9665" s="6"/>
      <c r="C9665" s="6"/>
    </row>
    <row r="9666" s="1" customFormat="1" spans="1:3">
      <c r="A9666" s="6"/>
      <c r="B9666" s="6"/>
      <c r="C9666" s="6"/>
    </row>
    <row r="9667" s="1" customFormat="1" spans="1:3">
      <c r="A9667" s="6"/>
      <c r="B9667" s="6"/>
      <c r="C9667" s="6"/>
    </row>
    <row r="9668" s="1" customFormat="1" spans="1:3">
      <c r="A9668" s="6"/>
      <c r="B9668" s="6"/>
      <c r="C9668" s="6"/>
    </row>
    <row r="9669" s="1" customFormat="1" spans="1:3">
      <c r="A9669" s="6"/>
      <c r="B9669" s="6"/>
      <c r="C9669" s="6"/>
    </row>
    <row r="9670" s="1" customFormat="1" spans="1:3">
      <c r="A9670" s="6"/>
      <c r="B9670" s="6"/>
      <c r="C9670" s="6"/>
    </row>
    <row r="9671" s="1" customFormat="1" spans="1:3">
      <c r="A9671" s="6"/>
      <c r="B9671" s="6"/>
      <c r="C9671" s="6"/>
    </row>
    <row r="9672" s="1" customFormat="1" spans="1:3">
      <c r="A9672" s="6"/>
      <c r="B9672" s="6"/>
      <c r="C9672" s="6"/>
    </row>
    <row r="9673" s="1" customFormat="1" spans="1:3">
      <c r="A9673" s="6"/>
      <c r="B9673" s="6"/>
      <c r="C9673" s="6"/>
    </row>
    <row r="9674" s="1" customFormat="1" spans="1:3">
      <c r="A9674" s="6"/>
      <c r="B9674" s="6"/>
      <c r="C9674" s="6"/>
    </row>
    <row r="9675" s="1" customFormat="1" spans="1:3">
      <c r="A9675" s="6"/>
      <c r="B9675" s="6"/>
      <c r="C9675" s="6"/>
    </row>
    <row r="9676" s="1" customFormat="1" spans="1:3">
      <c r="A9676" s="6"/>
      <c r="B9676" s="6"/>
      <c r="C9676" s="6"/>
    </row>
    <row r="9677" s="1" customFormat="1" spans="1:3">
      <c r="A9677" s="6"/>
      <c r="B9677" s="6"/>
      <c r="C9677" s="6"/>
    </row>
    <row r="9678" s="1" customFormat="1" spans="1:3">
      <c r="A9678" s="6"/>
      <c r="B9678" s="6"/>
      <c r="C9678" s="6"/>
    </row>
    <row r="9679" s="1" customFormat="1" spans="1:3">
      <c r="A9679" s="6"/>
      <c r="B9679" s="6"/>
      <c r="C9679" s="6"/>
    </row>
    <row r="9680" s="1" customFormat="1" spans="1:3">
      <c r="A9680" s="6"/>
      <c r="B9680" s="6"/>
      <c r="C9680" s="6"/>
    </row>
    <row r="9681" s="1" customFormat="1" spans="1:3">
      <c r="A9681" s="6"/>
      <c r="B9681" s="6"/>
      <c r="C9681" s="6"/>
    </row>
    <row r="9682" s="1" customFormat="1" spans="1:3">
      <c r="A9682" s="6"/>
      <c r="B9682" s="6"/>
      <c r="C9682" s="6"/>
    </row>
    <row r="9683" s="1" customFormat="1" spans="1:3">
      <c r="A9683" s="6"/>
      <c r="B9683" s="6"/>
      <c r="C9683" s="6"/>
    </row>
    <row r="9684" s="1" customFormat="1" spans="1:3">
      <c r="A9684" s="6"/>
      <c r="B9684" s="6"/>
      <c r="C9684" s="6"/>
    </row>
    <row r="9685" s="1" customFormat="1" spans="1:3">
      <c r="A9685" s="6"/>
      <c r="B9685" s="6"/>
      <c r="C9685" s="6"/>
    </row>
    <row r="9686" s="1" customFormat="1" spans="1:3">
      <c r="A9686" s="6"/>
      <c r="B9686" s="6"/>
      <c r="C9686" s="6"/>
    </row>
    <row r="9687" s="1" customFormat="1" spans="1:3">
      <c r="A9687" s="6"/>
      <c r="B9687" s="6"/>
      <c r="C9687" s="6"/>
    </row>
    <row r="9688" s="1" customFormat="1" spans="1:3">
      <c r="A9688" s="6"/>
      <c r="B9688" s="6"/>
      <c r="C9688" s="6"/>
    </row>
    <row r="9689" s="1" customFormat="1" spans="1:3">
      <c r="A9689" s="6"/>
      <c r="B9689" s="6"/>
      <c r="C9689" s="6"/>
    </row>
    <row r="9690" s="1" customFormat="1" spans="1:3">
      <c r="A9690" s="6"/>
      <c r="B9690" s="6"/>
      <c r="C9690" s="6"/>
    </row>
    <row r="9691" s="1" customFormat="1" spans="1:3">
      <c r="A9691" s="6"/>
      <c r="B9691" s="6"/>
      <c r="C9691" s="6"/>
    </row>
    <row r="9692" s="1" customFormat="1" spans="1:3">
      <c r="A9692" s="6"/>
      <c r="B9692" s="6"/>
      <c r="C9692" s="6"/>
    </row>
    <row r="9693" s="1" customFormat="1" spans="1:3">
      <c r="A9693" s="6"/>
      <c r="B9693" s="6"/>
      <c r="C9693" s="6"/>
    </row>
    <row r="9694" s="1" customFormat="1" spans="1:3">
      <c r="A9694" s="6"/>
      <c r="B9694" s="6"/>
      <c r="C9694" s="6"/>
    </row>
    <row r="9695" s="1" customFormat="1" spans="1:3">
      <c r="A9695" s="6"/>
      <c r="B9695" s="6"/>
      <c r="C9695" s="6"/>
    </row>
    <row r="9696" s="1" customFormat="1" spans="1:3">
      <c r="A9696" s="6"/>
      <c r="B9696" s="6"/>
      <c r="C9696" s="6"/>
    </row>
    <row r="9697" s="1" customFormat="1" spans="1:3">
      <c r="A9697" s="6"/>
      <c r="B9697" s="6"/>
      <c r="C9697" s="6"/>
    </row>
    <row r="9698" s="1" customFormat="1" spans="1:3">
      <c r="A9698" s="6"/>
      <c r="B9698" s="6"/>
      <c r="C9698" s="6"/>
    </row>
    <row r="9699" s="1" customFormat="1" spans="1:3">
      <c r="A9699" s="6"/>
      <c r="B9699" s="6"/>
      <c r="C9699" s="6"/>
    </row>
    <row r="9700" s="1" customFormat="1" spans="1:3">
      <c r="A9700" s="6"/>
      <c r="B9700" s="6"/>
      <c r="C9700" s="6"/>
    </row>
    <row r="9701" s="1" customFormat="1" spans="1:3">
      <c r="A9701" s="6"/>
      <c r="B9701" s="6"/>
      <c r="C9701" s="6"/>
    </row>
    <row r="9702" s="1" customFormat="1" spans="1:3">
      <c r="A9702" s="6"/>
      <c r="B9702" s="6"/>
      <c r="C9702" s="6"/>
    </row>
    <row r="9703" s="1" customFormat="1" spans="1:3">
      <c r="A9703" s="6"/>
      <c r="B9703" s="6"/>
      <c r="C9703" s="6"/>
    </row>
    <row r="9704" s="1" customFormat="1" spans="1:3">
      <c r="A9704" s="6"/>
      <c r="B9704" s="6"/>
      <c r="C9704" s="6"/>
    </row>
    <row r="9705" s="1" customFormat="1" spans="1:3">
      <c r="A9705" s="6"/>
      <c r="B9705" s="6"/>
      <c r="C9705" s="6"/>
    </row>
    <row r="9706" s="1" customFormat="1" spans="1:3">
      <c r="A9706" s="6"/>
      <c r="B9706" s="6"/>
      <c r="C9706" s="6"/>
    </row>
    <row r="9707" s="1" customFormat="1" spans="1:3">
      <c r="A9707" s="6"/>
      <c r="B9707" s="6"/>
      <c r="C9707" s="6"/>
    </row>
    <row r="9708" s="1" customFormat="1" spans="1:3">
      <c r="A9708" s="6"/>
      <c r="B9708" s="6"/>
      <c r="C9708" s="6"/>
    </row>
    <row r="9709" s="1" customFormat="1" spans="1:3">
      <c r="A9709" s="6"/>
      <c r="B9709" s="6"/>
      <c r="C9709" s="6"/>
    </row>
    <row r="9710" s="1" customFormat="1" spans="1:3">
      <c r="A9710" s="6"/>
      <c r="B9710" s="6"/>
      <c r="C9710" s="6"/>
    </row>
    <row r="9711" s="1" customFormat="1" spans="1:3">
      <c r="A9711" s="6"/>
      <c r="B9711" s="6"/>
      <c r="C9711" s="6"/>
    </row>
    <row r="9712" s="1" customFormat="1" spans="1:3">
      <c r="A9712" s="6"/>
      <c r="B9712" s="6"/>
      <c r="C9712" s="6"/>
    </row>
    <row r="9713" s="1" customFormat="1" spans="1:3">
      <c r="A9713" s="6"/>
      <c r="B9713" s="6"/>
      <c r="C9713" s="6"/>
    </row>
    <row r="9714" s="1" customFormat="1" spans="1:3">
      <c r="A9714" s="6"/>
      <c r="B9714" s="6"/>
      <c r="C9714" s="6"/>
    </row>
    <row r="9715" s="1" customFormat="1" spans="1:3">
      <c r="A9715" s="6"/>
      <c r="B9715" s="6"/>
      <c r="C9715" s="6"/>
    </row>
    <row r="9716" s="1" customFormat="1" spans="1:3">
      <c r="A9716" s="6"/>
      <c r="B9716" s="6"/>
      <c r="C9716" s="6"/>
    </row>
    <row r="9717" s="1" customFormat="1" spans="1:3">
      <c r="A9717" s="6"/>
      <c r="B9717" s="6"/>
      <c r="C9717" s="6"/>
    </row>
    <row r="9718" s="1" customFormat="1" spans="1:3">
      <c r="A9718" s="6"/>
      <c r="B9718" s="6"/>
      <c r="C9718" s="6"/>
    </row>
    <row r="9719" s="1" customFormat="1" spans="1:3">
      <c r="A9719" s="6"/>
      <c r="B9719" s="6"/>
      <c r="C9719" s="6"/>
    </row>
    <row r="9720" s="1" customFormat="1" spans="1:3">
      <c r="A9720" s="6"/>
      <c r="B9720" s="6"/>
      <c r="C9720" s="6"/>
    </row>
    <row r="9721" s="1" customFormat="1" spans="1:3">
      <c r="A9721" s="6"/>
      <c r="B9721" s="6"/>
      <c r="C9721" s="6"/>
    </row>
    <row r="9722" s="1" customFormat="1" spans="1:3">
      <c r="A9722" s="6"/>
      <c r="B9722" s="6"/>
      <c r="C9722" s="6"/>
    </row>
    <row r="9723" s="1" customFormat="1" spans="1:3">
      <c r="A9723" s="6"/>
      <c r="B9723" s="6"/>
      <c r="C9723" s="6"/>
    </row>
    <row r="9724" s="1" customFormat="1" spans="1:3">
      <c r="A9724" s="6"/>
      <c r="B9724" s="6"/>
      <c r="C9724" s="6"/>
    </row>
    <row r="9725" s="1" customFormat="1" spans="1:3">
      <c r="A9725" s="6"/>
      <c r="B9725" s="6"/>
      <c r="C9725" s="6"/>
    </row>
    <row r="9726" s="1" customFormat="1" spans="1:3">
      <c r="A9726" s="6"/>
      <c r="B9726" s="6"/>
      <c r="C9726" s="6"/>
    </row>
    <row r="9727" s="1" customFormat="1" spans="1:3">
      <c r="A9727" s="6"/>
      <c r="B9727" s="6"/>
      <c r="C9727" s="6"/>
    </row>
    <row r="9728" s="1" customFormat="1" spans="1:3">
      <c r="A9728" s="6"/>
      <c r="B9728" s="6"/>
      <c r="C9728" s="6"/>
    </row>
    <row r="9729" s="1" customFormat="1" spans="1:3">
      <c r="A9729" s="6"/>
      <c r="B9729" s="6"/>
      <c r="C9729" s="6"/>
    </row>
    <row r="9730" s="1" customFormat="1" spans="1:3">
      <c r="A9730" s="6"/>
      <c r="B9730" s="6"/>
      <c r="C9730" s="6"/>
    </row>
    <row r="9731" s="1" customFormat="1" spans="1:3">
      <c r="A9731" s="6"/>
      <c r="B9731" s="6"/>
      <c r="C9731" s="6"/>
    </row>
    <row r="9732" s="1" customFormat="1" spans="1:3">
      <c r="A9732" s="6"/>
      <c r="B9732" s="6"/>
      <c r="C9732" s="6"/>
    </row>
    <row r="9733" s="1" customFormat="1" spans="1:3">
      <c r="A9733" s="6"/>
      <c r="B9733" s="6"/>
      <c r="C9733" s="6"/>
    </row>
    <row r="9734" s="1" customFormat="1" spans="1:3">
      <c r="A9734" s="6"/>
      <c r="B9734" s="6"/>
      <c r="C9734" s="6"/>
    </row>
    <row r="9735" s="1" customFormat="1" spans="1:3">
      <c r="A9735" s="6"/>
      <c r="B9735" s="6"/>
      <c r="C9735" s="6"/>
    </row>
    <row r="9736" s="1" customFormat="1" spans="1:3">
      <c r="A9736" s="6"/>
      <c r="B9736" s="6"/>
      <c r="C9736" s="6"/>
    </row>
    <row r="9737" s="1" customFormat="1" spans="1:3">
      <c r="A9737" s="6"/>
      <c r="B9737" s="6"/>
      <c r="C9737" s="6"/>
    </row>
    <row r="9738" s="1" customFormat="1" spans="1:3">
      <c r="A9738" s="6"/>
      <c r="B9738" s="6"/>
      <c r="C9738" s="6"/>
    </row>
    <row r="9739" s="1" customFormat="1" spans="1:3">
      <c r="A9739" s="6"/>
      <c r="B9739" s="6"/>
      <c r="C9739" s="6"/>
    </row>
    <row r="9740" s="1" customFormat="1" spans="1:3">
      <c r="A9740" s="6"/>
      <c r="B9740" s="6"/>
      <c r="C9740" s="6"/>
    </row>
    <row r="9741" s="1" customFormat="1" spans="1:3">
      <c r="A9741" s="6"/>
      <c r="B9741" s="6"/>
      <c r="C9741" s="6"/>
    </row>
    <row r="9742" s="1" customFormat="1" spans="1:3">
      <c r="A9742" s="6"/>
      <c r="B9742" s="6"/>
      <c r="C9742" s="6"/>
    </row>
    <row r="9743" s="1" customFormat="1" spans="1:3">
      <c r="A9743" s="6"/>
      <c r="B9743" s="6"/>
      <c r="C9743" s="6"/>
    </row>
    <row r="9744" s="1" customFormat="1" spans="1:3">
      <c r="A9744" s="6"/>
      <c r="B9744" s="6"/>
      <c r="C9744" s="6"/>
    </row>
    <row r="9745" s="1" customFormat="1" spans="1:3">
      <c r="A9745" s="6"/>
      <c r="B9745" s="6"/>
      <c r="C9745" s="6"/>
    </row>
    <row r="9746" s="1" customFormat="1" spans="1:3">
      <c r="A9746" s="6"/>
      <c r="B9746" s="6"/>
      <c r="C9746" s="6"/>
    </row>
    <row r="9747" s="1" customFormat="1" spans="1:3">
      <c r="A9747" s="6"/>
      <c r="B9747" s="6"/>
      <c r="C9747" s="6"/>
    </row>
    <row r="9748" s="1" customFormat="1" spans="1:3">
      <c r="A9748" s="6"/>
      <c r="B9748" s="6"/>
      <c r="C9748" s="6"/>
    </row>
    <row r="9749" s="1" customFormat="1" spans="1:3">
      <c r="A9749" s="6"/>
      <c r="B9749" s="6"/>
      <c r="C9749" s="6"/>
    </row>
    <row r="9750" s="1" customFormat="1" spans="1:3">
      <c r="A9750" s="6"/>
      <c r="B9750" s="6"/>
      <c r="C9750" s="6"/>
    </row>
    <row r="9751" s="1" customFormat="1" spans="1:3">
      <c r="A9751" s="6"/>
      <c r="B9751" s="6"/>
      <c r="C9751" s="6"/>
    </row>
    <row r="9752" s="1" customFormat="1" spans="1:3">
      <c r="A9752" s="6"/>
      <c r="B9752" s="6"/>
      <c r="C9752" s="6"/>
    </row>
    <row r="9753" s="1" customFormat="1" spans="1:3">
      <c r="A9753" s="6"/>
      <c r="B9753" s="6"/>
      <c r="C9753" s="6"/>
    </row>
    <row r="9754" s="1" customFormat="1" spans="1:3">
      <c r="A9754" s="6"/>
      <c r="B9754" s="6"/>
      <c r="C9754" s="6"/>
    </row>
    <row r="9755" s="1" customFormat="1" spans="1:3">
      <c r="A9755" s="6"/>
      <c r="B9755" s="6"/>
      <c r="C9755" s="6"/>
    </row>
    <row r="9756" s="1" customFormat="1" spans="1:3">
      <c r="A9756" s="6"/>
      <c r="B9756" s="6"/>
      <c r="C9756" s="6"/>
    </row>
    <row r="9757" s="1" customFormat="1" spans="1:3">
      <c r="A9757" s="6"/>
      <c r="B9757" s="6"/>
      <c r="C9757" s="6"/>
    </row>
    <row r="9758" s="1" customFormat="1" spans="1:3">
      <c r="A9758" s="6"/>
      <c r="B9758" s="6"/>
      <c r="C9758" s="6"/>
    </row>
    <row r="9759" s="1" customFormat="1" spans="1:3">
      <c r="A9759" s="6"/>
      <c r="B9759" s="6"/>
      <c r="C9759" s="6"/>
    </row>
    <row r="9760" s="1" customFormat="1" spans="1:3">
      <c r="A9760" s="6"/>
      <c r="B9760" s="6"/>
      <c r="C9760" s="6"/>
    </row>
    <row r="9761" s="1" customFormat="1" spans="1:3">
      <c r="A9761" s="6"/>
      <c r="B9761" s="6"/>
      <c r="C9761" s="6"/>
    </row>
    <row r="9762" s="1" customFormat="1" spans="1:3">
      <c r="A9762" s="6"/>
      <c r="B9762" s="6"/>
      <c r="C9762" s="6"/>
    </row>
    <row r="9763" s="1" customFormat="1" spans="1:3">
      <c r="A9763" s="6"/>
      <c r="B9763" s="6"/>
      <c r="C9763" s="6"/>
    </row>
    <row r="9764" s="1" customFormat="1" spans="1:3">
      <c r="A9764" s="6"/>
      <c r="B9764" s="6"/>
      <c r="C9764" s="6"/>
    </row>
    <row r="9765" s="1" customFormat="1" spans="1:3">
      <c r="A9765" s="6"/>
      <c r="B9765" s="6"/>
      <c r="C9765" s="6"/>
    </row>
    <row r="9766" s="1" customFormat="1" spans="1:3">
      <c r="A9766" s="6"/>
      <c r="B9766" s="6"/>
      <c r="C9766" s="6"/>
    </row>
    <row r="9767" s="1" customFormat="1" spans="1:3">
      <c r="A9767" s="6"/>
      <c r="B9767" s="6"/>
      <c r="C9767" s="6"/>
    </row>
    <row r="9768" s="1" customFormat="1" spans="1:3">
      <c r="A9768" s="6"/>
      <c r="B9768" s="6"/>
      <c r="C9768" s="6"/>
    </row>
    <row r="9769" s="1" customFormat="1" spans="1:3">
      <c r="A9769" s="6"/>
      <c r="B9769" s="6"/>
      <c r="C9769" s="6"/>
    </row>
    <row r="9770" s="1" customFormat="1" spans="1:3">
      <c r="A9770" s="6"/>
      <c r="B9770" s="6"/>
      <c r="C9770" s="6"/>
    </row>
    <row r="9771" s="1" customFormat="1" spans="1:3">
      <c r="A9771" s="6"/>
      <c r="B9771" s="6"/>
      <c r="C9771" s="6"/>
    </row>
    <row r="9772" s="1" customFormat="1" spans="1:3">
      <c r="A9772" s="6"/>
      <c r="B9772" s="6"/>
      <c r="C9772" s="6"/>
    </row>
    <row r="9773" s="1" customFormat="1" spans="1:3">
      <c r="A9773" s="6"/>
      <c r="B9773" s="6"/>
      <c r="C9773" s="6"/>
    </row>
    <row r="9774" s="1" customFormat="1" spans="1:3">
      <c r="A9774" s="6"/>
      <c r="B9774" s="6"/>
      <c r="C9774" s="6"/>
    </row>
    <row r="9775" s="1" customFormat="1" spans="1:3">
      <c r="A9775" s="6"/>
      <c r="B9775" s="6"/>
      <c r="C9775" s="6"/>
    </row>
    <row r="9776" s="1" customFormat="1" spans="1:3">
      <c r="A9776" s="6"/>
      <c r="B9776" s="6"/>
      <c r="C9776" s="6"/>
    </row>
    <row r="9777" s="1" customFormat="1" spans="1:3">
      <c r="A9777" s="6"/>
      <c r="B9777" s="6"/>
      <c r="C9777" s="6"/>
    </row>
    <row r="9778" s="1" customFormat="1" spans="1:3">
      <c r="A9778" s="6"/>
      <c r="B9778" s="6"/>
      <c r="C9778" s="6"/>
    </row>
    <row r="9779" s="1" customFormat="1" spans="1:3">
      <c r="A9779" s="6"/>
      <c r="B9779" s="6"/>
      <c r="C9779" s="6"/>
    </row>
    <row r="9780" s="1" customFormat="1" spans="1:3">
      <c r="A9780" s="6"/>
      <c r="B9780" s="6"/>
      <c r="C9780" s="6"/>
    </row>
    <row r="9781" s="1" customFormat="1" spans="1:3">
      <c r="A9781" s="6"/>
      <c r="B9781" s="6"/>
      <c r="C9781" s="6"/>
    </row>
    <row r="9782" s="1" customFormat="1" spans="1:3">
      <c r="A9782" s="6"/>
      <c r="B9782" s="6"/>
      <c r="C9782" s="6"/>
    </row>
    <row r="9783" s="1" customFormat="1" spans="1:3">
      <c r="A9783" s="6"/>
      <c r="B9783" s="6"/>
      <c r="C9783" s="6"/>
    </row>
    <row r="9784" s="1" customFormat="1" spans="1:3">
      <c r="A9784" s="6"/>
      <c r="B9784" s="6"/>
      <c r="C9784" s="6"/>
    </row>
    <row r="9785" s="1" customFormat="1" spans="1:3">
      <c r="A9785" s="6"/>
      <c r="B9785" s="6"/>
      <c r="C9785" s="6"/>
    </row>
    <row r="9786" s="1" customFormat="1" spans="1:3">
      <c r="A9786" s="6"/>
      <c r="B9786" s="6"/>
      <c r="C9786" s="6"/>
    </row>
    <row r="9787" s="1" customFormat="1" spans="1:3">
      <c r="A9787" s="6"/>
      <c r="B9787" s="6"/>
      <c r="C9787" s="6"/>
    </row>
    <row r="9788" s="1" customFormat="1" spans="1:3">
      <c r="A9788" s="6"/>
      <c r="B9788" s="6"/>
      <c r="C9788" s="6"/>
    </row>
    <row r="9789" s="1" customFormat="1" spans="1:3">
      <c r="A9789" s="6"/>
      <c r="B9789" s="6"/>
      <c r="C9789" s="6"/>
    </row>
    <row r="9790" s="1" customFormat="1" spans="1:3">
      <c r="A9790" s="6"/>
      <c r="B9790" s="6"/>
      <c r="C9790" s="6"/>
    </row>
    <row r="9791" s="1" customFormat="1" spans="1:3">
      <c r="A9791" s="6"/>
      <c r="B9791" s="6"/>
      <c r="C9791" s="6"/>
    </row>
    <row r="9792" s="1" customFormat="1" spans="1:3">
      <c r="A9792" s="6"/>
      <c r="B9792" s="6"/>
      <c r="C9792" s="6"/>
    </row>
    <row r="9793" s="1" customFormat="1" spans="1:3">
      <c r="A9793" s="6"/>
      <c r="B9793" s="6"/>
      <c r="C9793" s="6"/>
    </row>
    <row r="9794" s="1" customFormat="1" spans="1:3">
      <c r="A9794" s="6"/>
      <c r="B9794" s="6"/>
      <c r="C9794" s="6"/>
    </row>
    <row r="9795" s="1" customFormat="1" spans="1:3">
      <c r="A9795" s="6"/>
      <c r="B9795" s="6"/>
      <c r="C9795" s="6"/>
    </row>
    <row r="9796" s="1" customFormat="1" spans="1:3">
      <c r="A9796" s="6"/>
      <c r="B9796" s="6"/>
      <c r="C9796" s="6"/>
    </row>
    <row r="9797" s="1" customFormat="1" spans="1:3">
      <c r="A9797" s="6"/>
      <c r="B9797" s="6"/>
      <c r="C9797" s="6"/>
    </row>
    <row r="9798" s="1" customFormat="1" spans="1:3">
      <c r="A9798" s="6"/>
      <c r="B9798" s="6"/>
      <c r="C9798" s="6"/>
    </row>
    <row r="9799" s="1" customFormat="1" spans="1:3">
      <c r="A9799" s="6"/>
      <c r="B9799" s="6"/>
      <c r="C9799" s="6"/>
    </row>
    <row r="9800" s="1" customFormat="1" spans="1:3">
      <c r="A9800" s="6"/>
      <c r="B9800" s="6"/>
      <c r="C9800" s="6"/>
    </row>
    <row r="9801" s="1" customFormat="1" spans="1:3">
      <c r="A9801" s="6"/>
      <c r="B9801" s="6"/>
      <c r="C9801" s="6"/>
    </row>
    <row r="9802" s="1" customFormat="1" spans="1:3">
      <c r="A9802" s="6"/>
      <c r="B9802" s="6"/>
      <c r="C9802" s="6"/>
    </row>
    <row r="9803" s="1" customFormat="1" spans="1:3">
      <c r="A9803" s="6"/>
      <c r="B9803" s="6"/>
      <c r="C9803" s="6"/>
    </row>
    <row r="9804" s="1" customFormat="1" spans="1:3">
      <c r="A9804" s="6"/>
      <c r="B9804" s="6"/>
      <c r="C9804" s="6"/>
    </row>
    <row r="9805" s="1" customFormat="1" spans="1:3">
      <c r="A9805" s="6"/>
      <c r="B9805" s="6"/>
      <c r="C9805" s="6"/>
    </row>
    <row r="9806" s="1" customFormat="1" spans="1:3">
      <c r="A9806" s="6"/>
      <c r="B9806" s="6"/>
      <c r="C9806" s="6"/>
    </row>
    <row r="9807" s="1" customFormat="1" spans="1:3">
      <c r="A9807" s="6"/>
      <c r="B9807" s="6"/>
      <c r="C9807" s="6"/>
    </row>
    <row r="9808" s="1" customFormat="1" spans="1:3">
      <c r="A9808" s="6"/>
      <c r="B9808" s="6"/>
      <c r="C9808" s="6"/>
    </row>
    <row r="9809" s="1" customFormat="1" spans="1:3">
      <c r="A9809" s="6"/>
      <c r="B9809" s="6"/>
      <c r="C9809" s="6"/>
    </row>
    <row r="9810" s="1" customFormat="1" spans="1:3">
      <c r="A9810" s="6"/>
      <c r="B9810" s="6"/>
      <c r="C9810" s="6"/>
    </row>
    <row r="9811" s="1" customFormat="1" spans="1:3">
      <c r="A9811" s="6"/>
      <c r="B9811" s="6"/>
      <c r="C9811" s="6"/>
    </row>
    <row r="9812" s="1" customFormat="1" spans="1:3">
      <c r="A9812" s="6"/>
      <c r="B9812" s="6"/>
      <c r="C9812" s="6"/>
    </row>
    <row r="9813" s="1" customFormat="1" spans="1:3">
      <c r="A9813" s="6"/>
      <c r="B9813" s="6"/>
      <c r="C9813" s="6"/>
    </row>
    <row r="9814" s="1" customFormat="1" spans="1:3">
      <c r="A9814" s="6"/>
      <c r="B9814" s="6"/>
      <c r="C9814" s="6"/>
    </row>
    <row r="9815" s="1" customFormat="1" spans="1:3">
      <c r="A9815" s="6"/>
      <c r="B9815" s="6"/>
      <c r="C9815" s="6"/>
    </row>
    <row r="9816" s="1" customFormat="1" spans="1:3">
      <c r="A9816" s="6"/>
      <c r="B9816" s="6"/>
      <c r="C9816" s="6"/>
    </row>
    <row r="9817" s="1" customFormat="1" spans="1:3">
      <c r="A9817" s="6"/>
      <c r="B9817" s="6"/>
      <c r="C9817" s="6"/>
    </row>
    <row r="9818" s="1" customFormat="1" spans="1:3">
      <c r="A9818" s="6"/>
      <c r="B9818" s="6"/>
      <c r="C9818" s="6"/>
    </row>
    <row r="9819" s="1" customFormat="1" spans="1:3">
      <c r="A9819" s="6"/>
      <c r="B9819" s="6"/>
      <c r="C9819" s="6"/>
    </row>
    <row r="9820" s="1" customFormat="1" spans="1:3">
      <c r="A9820" s="6"/>
      <c r="B9820" s="6"/>
      <c r="C9820" s="6"/>
    </row>
    <row r="9821" s="1" customFormat="1" spans="1:3">
      <c r="A9821" s="6"/>
      <c r="B9821" s="6"/>
      <c r="C9821" s="6"/>
    </row>
    <row r="9822" s="1" customFormat="1" spans="1:3">
      <c r="A9822" s="6"/>
      <c r="B9822" s="6"/>
      <c r="C9822" s="6"/>
    </row>
    <row r="9823" s="1" customFormat="1" spans="1:3">
      <c r="A9823" s="6"/>
      <c r="B9823" s="6"/>
      <c r="C9823" s="6"/>
    </row>
    <row r="9824" s="1" customFormat="1" spans="1:3">
      <c r="A9824" s="6"/>
      <c r="B9824" s="6"/>
      <c r="C9824" s="6"/>
    </row>
    <row r="9825" s="1" customFormat="1" spans="1:3">
      <c r="A9825" s="6"/>
      <c r="B9825" s="6"/>
      <c r="C9825" s="6"/>
    </row>
    <row r="9826" s="1" customFormat="1" spans="1:3">
      <c r="A9826" s="6"/>
      <c r="B9826" s="6"/>
      <c r="C9826" s="6"/>
    </row>
    <row r="9827" s="1" customFormat="1" spans="1:3">
      <c r="A9827" s="6"/>
      <c r="B9827" s="6"/>
      <c r="C9827" s="6"/>
    </row>
    <row r="9828" s="1" customFormat="1" spans="1:3">
      <c r="A9828" s="6"/>
      <c r="B9828" s="6"/>
      <c r="C9828" s="6"/>
    </row>
    <row r="9829" s="1" customFormat="1" spans="1:3">
      <c r="A9829" s="6"/>
      <c r="B9829" s="6"/>
      <c r="C9829" s="6"/>
    </row>
    <row r="9830" s="1" customFormat="1" spans="1:3">
      <c r="A9830" s="6"/>
      <c r="B9830" s="6"/>
      <c r="C9830" s="6"/>
    </row>
    <row r="9831" s="1" customFormat="1" spans="1:3">
      <c r="A9831" s="6"/>
      <c r="B9831" s="6"/>
      <c r="C9831" s="6"/>
    </row>
    <row r="9832" s="1" customFormat="1" spans="1:3">
      <c r="A9832" s="6"/>
      <c r="B9832" s="6"/>
      <c r="C9832" s="6"/>
    </row>
    <row r="9833" s="1" customFormat="1" spans="1:3">
      <c r="A9833" s="6"/>
      <c r="B9833" s="6"/>
      <c r="C9833" s="6"/>
    </row>
    <row r="9834" s="1" customFormat="1" spans="1:3">
      <c r="A9834" s="6"/>
      <c r="B9834" s="6"/>
      <c r="C9834" s="6"/>
    </row>
    <row r="9835" s="1" customFormat="1" spans="1:3">
      <c r="A9835" s="6"/>
      <c r="B9835" s="6"/>
      <c r="C9835" s="6"/>
    </row>
    <row r="9836" s="1" customFormat="1" spans="1:3">
      <c r="A9836" s="6"/>
      <c r="B9836" s="6"/>
      <c r="C9836" s="6"/>
    </row>
    <row r="9837" s="1" customFormat="1" spans="1:3">
      <c r="A9837" s="6"/>
      <c r="B9837" s="6"/>
      <c r="C9837" s="6"/>
    </row>
    <row r="9838" s="1" customFormat="1" spans="1:3">
      <c r="A9838" s="6"/>
      <c r="B9838" s="6"/>
      <c r="C9838" s="6"/>
    </row>
    <row r="9839" s="1" customFormat="1" spans="1:3">
      <c r="A9839" s="6"/>
      <c r="B9839" s="6"/>
      <c r="C9839" s="6"/>
    </row>
    <row r="9840" s="1" customFormat="1" spans="1:3">
      <c r="A9840" s="6"/>
      <c r="B9840" s="6"/>
      <c r="C9840" s="6"/>
    </row>
    <row r="9841" s="1" customFormat="1" spans="1:3">
      <c r="A9841" s="6"/>
      <c r="B9841" s="6"/>
      <c r="C9841" s="6"/>
    </row>
    <row r="9842" s="1" customFormat="1" spans="1:3">
      <c r="A9842" s="6"/>
      <c r="B9842" s="6"/>
      <c r="C9842" s="6"/>
    </row>
    <row r="9843" s="1" customFormat="1" spans="1:3">
      <c r="A9843" s="6"/>
      <c r="B9843" s="6"/>
      <c r="C9843" s="6"/>
    </row>
    <row r="9844" s="1" customFormat="1" spans="1:3">
      <c r="A9844" s="6"/>
      <c r="B9844" s="6"/>
      <c r="C9844" s="6"/>
    </row>
    <row r="9845" s="1" customFormat="1" spans="1:3">
      <c r="A9845" s="6"/>
      <c r="B9845" s="6"/>
      <c r="C9845" s="6"/>
    </row>
    <row r="9846" s="1" customFormat="1" spans="1:3">
      <c r="A9846" s="6"/>
      <c r="B9846" s="6"/>
      <c r="C9846" s="6"/>
    </row>
    <row r="9847" s="1" customFormat="1" spans="1:3">
      <c r="A9847" s="6"/>
      <c r="B9847" s="6"/>
      <c r="C9847" s="6"/>
    </row>
    <row r="9848" s="1" customFormat="1" spans="1:3">
      <c r="A9848" s="6"/>
      <c r="B9848" s="6"/>
      <c r="C9848" s="6"/>
    </row>
    <row r="9849" s="1" customFormat="1" spans="1:3">
      <c r="A9849" s="6"/>
      <c r="B9849" s="6"/>
      <c r="C9849" s="6"/>
    </row>
    <row r="9850" s="1" customFormat="1" spans="1:3">
      <c r="A9850" s="6"/>
      <c r="B9850" s="6"/>
      <c r="C9850" s="6"/>
    </row>
    <row r="9851" s="1" customFormat="1" spans="1:3">
      <c r="A9851" s="6"/>
      <c r="B9851" s="6"/>
      <c r="C9851" s="6"/>
    </row>
    <row r="9852" s="1" customFormat="1" spans="1:3">
      <c r="A9852" s="6"/>
      <c r="B9852" s="6"/>
      <c r="C9852" s="6"/>
    </row>
    <row r="9853" s="1" customFormat="1" spans="1:3">
      <c r="A9853" s="6"/>
      <c r="B9853" s="6"/>
      <c r="C9853" s="6"/>
    </row>
    <row r="9854" s="1" customFormat="1" spans="1:3">
      <c r="A9854" s="6"/>
      <c r="B9854" s="6"/>
      <c r="C9854" s="6"/>
    </row>
    <row r="9855" s="1" customFormat="1" spans="1:3">
      <c r="A9855" s="6"/>
      <c r="B9855" s="6"/>
      <c r="C9855" s="6"/>
    </row>
    <row r="9856" s="1" customFormat="1" spans="1:3">
      <c r="A9856" s="6"/>
      <c r="B9856" s="6"/>
      <c r="C9856" s="6"/>
    </row>
    <row r="9857" s="1" customFormat="1" spans="1:3">
      <c r="A9857" s="6"/>
      <c r="B9857" s="6"/>
      <c r="C9857" s="6"/>
    </row>
    <row r="9858" s="1" customFormat="1" spans="1:3">
      <c r="A9858" s="6"/>
      <c r="B9858" s="6"/>
      <c r="C9858" s="6"/>
    </row>
    <row r="9859" s="1" customFormat="1" spans="1:3">
      <c r="A9859" s="6"/>
      <c r="B9859" s="6"/>
      <c r="C9859" s="6"/>
    </row>
    <row r="9860" s="1" customFormat="1" spans="1:3">
      <c r="A9860" s="6"/>
      <c r="B9860" s="6"/>
      <c r="C9860" s="6"/>
    </row>
    <row r="9861" s="1" customFormat="1" spans="1:3">
      <c r="A9861" s="6"/>
      <c r="B9861" s="6"/>
      <c r="C9861" s="6"/>
    </row>
    <row r="9862" s="1" customFormat="1" spans="1:3">
      <c r="A9862" s="6"/>
      <c r="B9862" s="6"/>
      <c r="C9862" s="6"/>
    </row>
    <row r="9863" s="1" customFormat="1" spans="1:3">
      <c r="A9863" s="6"/>
      <c r="B9863" s="6"/>
      <c r="C9863" s="6"/>
    </row>
    <row r="9864" s="1" customFormat="1" spans="1:3">
      <c r="A9864" s="6"/>
      <c r="B9864" s="6"/>
      <c r="C9864" s="6"/>
    </row>
    <row r="9865" s="1" customFormat="1" spans="1:3">
      <c r="A9865" s="6"/>
      <c r="B9865" s="6"/>
      <c r="C9865" s="6"/>
    </row>
    <row r="9866" s="1" customFormat="1" spans="1:3">
      <c r="A9866" s="6"/>
      <c r="B9866" s="6"/>
      <c r="C9866" s="6"/>
    </row>
    <row r="9867" s="1" customFormat="1" spans="1:3">
      <c r="A9867" s="6"/>
      <c r="B9867" s="6"/>
      <c r="C9867" s="6"/>
    </row>
    <row r="9868" s="1" customFormat="1" spans="1:3">
      <c r="A9868" s="6"/>
      <c r="B9868" s="6"/>
      <c r="C9868" s="6"/>
    </row>
    <row r="9869" s="1" customFormat="1" spans="1:3">
      <c r="A9869" s="6"/>
      <c r="B9869" s="6"/>
      <c r="C9869" s="6"/>
    </row>
    <row r="9870" s="1" customFormat="1" spans="1:3">
      <c r="A9870" s="6"/>
      <c r="B9870" s="6"/>
      <c r="C9870" s="6"/>
    </row>
    <row r="9871" s="1" customFormat="1" spans="1:3">
      <c r="A9871" s="6"/>
      <c r="B9871" s="6"/>
      <c r="C9871" s="6"/>
    </row>
    <row r="9872" s="1" customFormat="1" spans="1:3">
      <c r="A9872" s="6"/>
      <c r="B9872" s="6"/>
      <c r="C9872" s="6"/>
    </row>
    <row r="9873" s="1" customFormat="1" spans="1:3">
      <c r="A9873" s="6"/>
      <c r="B9873" s="6"/>
      <c r="C9873" s="6"/>
    </row>
    <row r="9874" s="1" customFormat="1" spans="1:3">
      <c r="A9874" s="6"/>
      <c r="B9874" s="6"/>
      <c r="C9874" s="6"/>
    </row>
    <row r="9875" s="1" customFormat="1" spans="1:3">
      <c r="A9875" s="6"/>
      <c r="B9875" s="6"/>
      <c r="C9875" s="6"/>
    </row>
    <row r="9876" s="1" customFormat="1" spans="1:3">
      <c r="A9876" s="6"/>
      <c r="B9876" s="6"/>
      <c r="C9876" s="6"/>
    </row>
    <row r="9877" s="1" customFormat="1" spans="1:3">
      <c r="A9877" s="6"/>
      <c r="B9877" s="6"/>
      <c r="C9877" s="6"/>
    </row>
    <row r="9878" s="1" customFormat="1" spans="1:3">
      <c r="A9878" s="6"/>
      <c r="B9878" s="6"/>
      <c r="C9878" s="6"/>
    </row>
    <row r="9879" s="1" customFormat="1" spans="1:3">
      <c r="A9879" s="6"/>
      <c r="B9879" s="6"/>
      <c r="C9879" s="6"/>
    </row>
    <row r="9880" s="1" customFormat="1" spans="1:3">
      <c r="A9880" s="6"/>
      <c r="B9880" s="6"/>
      <c r="C9880" s="6"/>
    </row>
    <row r="9881" s="1" customFormat="1" spans="1:3">
      <c r="A9881" s="6"/>
      <c r="B9881" s="6"/>
      <c r="C9881" s="6"/>
    </row>
    <row r="9882" s="1" customFormat="1" spans="1:3">
      <c r="A9882" s="6"/>
      <c r="B9882" s="6"/>
      <c r="C9882" s="6"/>
    </row>
    <row r="9883" s="1" customFormat="1" spans="1:3">
      <c r="A9883" s="6"/>
      <c r="B9883" s="6"/>
      <c r="C9883" s="6"/>
    </row>
    <row r="9884" s="1" customFormat="1" spans="1:3">
      <c r="A9884" s="6"/>
      <c r="B9884" s="6"/>
      <c r="C9884" s="6"/>
    </row>
    <row r="9885" s="1" customFormat="1" spans="1:3">
      <c r="A9885" s="6"/>
      <c r="B9885" s="6"/>
      <c r="C9885" s="6"/>
    </row>
    <row r="9886" s="1" customFormat="1" spans="1:3">
      <c r="A9886" s="6"/>
      <c r="B9886" s="6"/>
      <c r="C9886" s="6"/>
    </row>
    <row r="9887" s="1" customFormat="1" spans="1:3">
      <c r="A9887" s="6"/>
      <c r="B9887" s="6"/>
      <c r="C9887" s="6"/>
    </row>
    <row r="9888" s="1" customFormat="1" spans="1:3">
      <c r="A9888" s="6"/>
      <c r="B9888" s="6"/>
      <c r="C9888" s="6"/>
    </row>
    <row r="9889" s="1" customFormat="1" spans="1:3">
      <c r="A9889" s="6"/>
      <c r="B9889" s="6"/>
      <c r="C9889" s="6"/>
    </row>
    <row r="9890" s="1" customFormat="1" spans="1:3">
      <c r="A9890" s="6"/>
      <c r="B9890" s="6"/>
      <c r="C9890" s="6"/>
    </row>
    <row r="9891" s="1" customFormat="1" spans="1:3">
      <c r="A9891" s="6"/>
      <c r="B9891" s="6"/>
      <c r="C9891" s="6"/>
    </row>
    <row r="9892" s="1" customFormat="1" spans="1:3">
      <c r="A9892" s="6"/>
      <c r="B9892" s="6"/>
      <c r="C9892" s="6"/>
    </row>
    <row r="9893" s="1" customFormat="1" spans="1:3">
      <c r="A9893" s="6"/>
      <c r="B9893" s="6"/>
      <c r="C9893" s="6"/>
    </row>
    <row r="9894" s="1" customFormat="1" spans="1:3">
      <c r="A9894" s="6"/>
      <c r="B9894" s="6"/>
      <c r="C9894" s="6"/>
    </row>
    <row r="9895" s="1" customFormat="1" spans="1:3">
      <c r="A9895" s="6"/>
      <c r="B9895" s="6"/>
      <c r="C9895" s="6"/>
    </row>
    <row r="9896" s="1" customFormat="1" spans="1:3">
      <c r="A9896" s="6"/>
      <c r="B9896" s="6"/>
      <c r="C9896" s="6"/>
    </row>
    <row r="9897" s="1" customFormat="1" spans="1:3">
      <c r="A9897" s="6"/>
      <c r="B9897" s="6"/>
      <c r="C9897" s="6"/>
    </row>
    <row r="9898" s="1" customFormat="1" spans="1:3">
      <c r="A9898" s="6"/>
      <c r="B9898" s="6"/>
      <c r="C9898" s="6"/>
    </row>
    <row r="9899" s="1" customFormat="1" spans="1:3">
      <c r="A9899" s="6"/>
      <c r="B9899" s="6"/>
      <c r="C9899" s="6"/>
    </row>
    <row r="9900" s="1" customFormat="1" spans="1:3">
      <c r="A9900" s="6"/>
      <c r="B9900" s="6"/>
      <c r="C9900" s="6"/>
    </row>
    <row r="9901" s="1" customFormat="1" spans="1:3">
      <c r="A9901" s="6"/>
      <c r="B9901" s="6"/>
      <c r="C9901" s="6"/>
    </row>
    <row r="9902" s="1" customFormat="1" spans="1:3">
      <c r="A9902" s="6"/>
      <c r="B9902" s="6"/>
      <c r="C9902" s="6"/>
    </row>
    <row r="9903" s="1" customFormat="1" spans="1:3">
      <c r="A9903" s="6"/>
      <c r="B9903" s="6"/>
      <c r="C9903" s="6"/>
    </row>
    <row r="9904" s="1" customFormat="1" spans="1:3">
      <c r="A9904" s="6"/>
      <c r="B9904" s="6"/>
      <c r="C9904" s="6"/>
    </row>
    <row r="9905" s="1" customFormat="1" spans="1:3">
      <c r="A9905" s="6"/>
      <c r="B9905" s="6"/>
      <c r="C9905" s="6"/>
    </row>
    <row r="9906" s="1" customFormat="1" spans="1:3">
      <c r="A9906" s="6"/>
      <c r="B9906" s="6"/>
      <c r="C9906" s="6"/>
    </row>
    <row r="9907" s="1" customFormat="1" spans="1:3">
      <c r="A9907" s="6"/>
      <c r="B9907" s="6"/>
      <c r="C9907" s="6"/>
    </row>
    <row r="9908" s="1" customFormat="1" spans="1:3">
      <c r="A9908" s="6"/>
      <c r="B9908" s="6"/>
      <c r="C9908" s="6"/>
    </row>
    <row r="9909" s="1" customFormat="1" spans="1:3">
      <c r="A9909" s="6"/>
      <c r="B9909" s="6"/>
      <c r="C9909" s="6"/>
    </row>
    <row r="9910" s="1" customFormat="1" spans="1:3">
      <c r="A9910" s="6"/>
      <c r="B9910" s="6"/>
      <c r="C9910" s="6"/>
    </row>
    <row r="9911" s="1" customFormat="1" spans="1:3">
      <c r="A9911" s="6"/>
      <c r="B9911" s="6"/>
      <c r="C9911" s="6"/>
    </row>
    <row r="9912" s="1" customFormat="1" spans="1:3">
      <c r="A9912" s="6"/>
      <c r="B9912" s="6"/>
      <c r="C9912" s="6"/>
    </row>
    <row r="9913" s="1" customFormat="1" spans="1:3">
      <c r="A9913" s="6"/>
      <c r="B9913" s="6"/>
      <c r="C9913" s="6"/>
    </row>
    <row r="9914" s="1" customFormat="1" spans="1:3">
      <c r="A9914" s="6"/>
      <c r="B9914" s="6"/>
      <c r="C9914" s="6"/>
    </row>
    <row r="9915" s="1" customFormat="1" spans="1:3">
      <c r="A9915" s="6"/>
      <c r="B9915" s="6"/>
      <c r="C9915" s="6"/>
    </row>
    <row r="9916" s="1" customFormat="1" spans="1:3">
      <c r="A9916" s="6"/>
      <c r="B9916" s="6"/>
      <c r="C9916" s="6"/>
    </row>
    <row r="9917" s="1" customFormat="1" spans="1:3">
      <c r="A9917" s="6"/>
      <c r="B9917" s="6"/>
      <c r="C9917" s="6"/>
    </row>
    <row r="9918" s="1" customFormat="1" spans="1:3">
      <c r="A9918" s="6"/>
      <c r="B9918" s="6"/>
      <c r="C9918" s="6"/>
    </row>
    <row r="9919" s="1" customFormat="1" spans="1:3">
      <c r="A9919" s="6"/>
      <c r="B9919" s="6"/>
      <c r="C9919" s="6"/>
    </row>
    <row r="9920" s="1" customFormat="1" spans="1:3">
      <c r="A9920" s="6"/>
      <c r="B9920" s="6"/>
      <c r="C9920" s="6"/>
    </row>
    <row r="9921" s="1" customFormat="1" spans="1:3">
      <c r="A9921" s="6"/>
      <c r="B9921" s="6"/>
      <c r="C9921" s="6"/>
    </row>
    <row r="9922" s="1" customFormat="1" spans="1:3">
      <c r="A9922" s="6"/>
      <c r="B9922" s="6"/>
      <c r="C9922" s="6"/>
    </row>
    <row r="9923" s="1" customFormat="1" spans="1:3">
      <c r="A9923" s="6"/>
      <c r="B9923" s="6"/>
      <c r="C9923" s="6"/>
    </row>
    <row r="9924" s="1" customFormat="1" spans="1:3">
      <c r="A9924" s="6"/>
      <c r="B9924" s="6"/>
      <c r="C9924" s="6"/>
    </row>
    <row r="9925" s="1" customFormat="1" spans="1:3">
      <c r="A9925" s="6"/>
      <c r="B9925" s="6"/>
      <c r="C9925" s="6"/>
    </row>
    <row r="9926" s="1" customFormat="1" spans="1:3">
      <c r="A9926" s="6"/>
      <c r="B9926" s="6"/>
      <c r="C9926" s="6"/>
    </row>
    <row r="9927" s="1" customFormat="1" spans="1:3">
      <c r="A9927" s="6"/>
      <c r="B9927" s="6"/>
      <c r="C9927" s="6"/>
    </row>
    <row r="9928" s="1" customFormat="1" spans="1:3">
      <c r="A9928" s="6"/>
      <c r="B9928" s="6"/>
      <c r="C9928" s="6"/>
    </row>
    <row r="9929" s="1" customFormat="1" spans="1:3">
      <c r="A9929" s="6"/>
      <c r="B9929" s="6"/>
      <c r="C9929" s="6"/>
    </row>
    <row r="9930" s="1" customFormat="1" spans="1:3">
      <c r="A9930" s="6"/>
      <c r="B9930" s="6"/>
      <c r="C9930" s="6"/>
    </row>
    <row r="9931" s="1" customFormat="1" spans="1:3">
      <c r="A9931" s="6"/>
      <c r="B9931" s="6"/>
      <c r="C9931" s="6"/>
    </row>
    <row r="9932" s="1" customFormat="1" spans="1:3">
      <c r="A9932" s="6"/>
      <c r="B9932" s="6"/>
      <c r="C9932" s="6"/>
    </row>
    <row r="9933" s="1" customFormat="1" spans="1:3">
      <c r="A9933" s="6"/>
      <c r="B9933" s="6"/>
      <c r="C9933" s="6"/>
    </row>
    <row r="9934" s="1" customFormat="1" spans="1:3">
      <c r="A9934" s="6"/>
      <c r="B9934" s="6"/>
      <c r="C9934" s="6"/>
    </row>
    <row r="9935" s="1" customFormat="1" spans="1:3">
      <c r="A9935" s="6"/>
      <c r="B9935" s="6"/>
      <c r="C9935" s="6"/>
    </row>
    <row r="9936" s="1" customFormat="1" spans="1:3">
      <c r="A9936" s="6"/>
      <c r="B9936" s="6"/>
      <c r="C9936" s="6"/>
    </row>
    <row r="9937" s="1" customFormat="1" spans="1:3">
      <c r="A9937" s="6"/>
      <c r="B9937" s="6"/>
      <c r="C9937" s="6"/>
    </row>
    <row r="9938" s="1" customFormat="1" spans="1:3">
      <c r="A9938" s="6"/>
      <c r="B9938" s="6"/>
      <c r="C9938" s="6"/>
    </row>
    <row r="9939" s="1" customFormat="1" spans="1:3">
      <c r="A9939" s="6"/>
      <c r="B9939" s="6"/>
      <c r="C9939" s="6"/>
    </row>
    <row r="9940" s="1" customFormat="1" spans="1:3">
      <c r="A9940" s="6"/>
      <c r="B9940" s="6"/>
      <c r="C9940" s="6"/>
    </row>
    <row r="9941" s="1" customFormat="1" spans="1:3">
      <c r="A9941" s="6"/>
      <c r="B9941" s="6"/>
      <c r="C9941" s="6"/>
    </row>
    <row r="9942" s="1" customFormat="1" spans="1:3">
      <c r="A9942" s="6"/>
      <c r="B9942" s="6"/>
      <c r="C9942" s="6"/>
    </row>
    <row r="9943" s="1" customFormat="1" spans="1:3">
      <c r="A9943" s="6"/>
      <c r="B9943" s="6"/>
      <c r="C9943" s="6"/>
    </row>
    <row r="9944" s="1" customFormat="1" spans="1:3">
      <c r="A9944" s="6"/>
      <c r="B9944" s="6"/>
      <c r="C9944" s="6"/>
    </row>
    <row r="9945" s="1" customFormat="1" spans="1:3">
      <c r="A9945" s="6"/>
      <c r="B9945" s="6"/>
      <c r="C9945" s="6"/>
    </row>
    <row r="9946" s="1" customFormat="1" spans="1:3">
      <c r="A9946" s="6"/>
      <c r="B9946" s="6"/>
      <c r="C9946" s="6"/>
    </row>
    <row r="9947" s="1" customFormat="1" spans="1:3">
      <c r="A9947" s="6"/>
      <c r="B9947" s="6"/>
      <c r="C9947" s="6"/>
    </row>
    <row r="9948" s="1" customFormat="1" spans="1:3">
      <c r="A9948" s="6"/>
      <c r="B9948" s="6"/>
      <c r="C9948" s="6"/>
    </row>
    <row r="9949" s="1" customFormat="1" spans="1:3">
      <c r="A9949" s="6"/>
      <c r="B9949" s="6"/>
      <c r="C9949" s="6"/>
    </row>
    <row r="9950" s="1" customFormat="1" spans="1:3">
      <c r="A9950" s="6"/>
      <c r="B9950" s="6"/>
      <c r="C9950" s="6"/>
    </row>
    <row r="9951" s="1" customFormat="1" spans="1:3">
      <c r="A9951" s="6"/>
      <c r="B9951" s="6"/>
      <c r="C9951" s="6"/>
    </row>
    <row r="9952" s="1" customFormat="1" spans="1:3">
      <c r="A9952" s="6"/>
      <c r="B9952" s="6"/>
      <c r="C9952" s="6"/>
    </row>
    <row r="9953" s="1" customFormat="1" spans="1:3">
      <c r="A9953" s="6"/>
      <c r="B9953" s="6"/>
      <c r="C9953" s="6"/>
    </row>
    <row r="9954" s="1" customFormat="1" spans="1:3">
      <c r="A9954" s="6"/>
      <c r="B9954" s="6"/>
      <c r="C9954" s="6"/>
    </row>
    <row r="9955" s="1" customFormat="1" spans="1:3">
      <c r="A9955" s="6"/>
      <c r="B9955" s="6"/>
      <c r="C9955" s="6"/>
    </row>
    <row r="9956" s="1" customFormat="1" spans="1:3">
      <c r="A9956" s="6"/>
      <c r="B9956" s="6"/>
      <c r="C9956" s="6"/>
    </row>
    <row r="9957" s="1" customFormat="1" spans="1:3">
      <c r="A9957" s="6"/>
      <c r="B9957" s="6"/>
      <c r="C9957" s="6"/>
    </row>
    <row r="9958" s="1" customFormat="1" spans="1:3">
      <c r="A9958" s="6"/>
      <c r="B9958" s="6"/>
      <c r="C9958" s="6"/>
    </row>
    <row r="9959" s="1" customFormat="1" spans="1:3">
      <c r="A9959" s="6"/>
      <c r="B9959" s="6"/>
      <c r="C9959" s="6"/>
    </row>
    <row r="9960" s="1" customFormat="1" spans="1:3">
      <c r="A9960" s="6"/>
      <c r="B9960" s="6"/>
      <c r="C9960" s="6"/>
    </row>
    <row r="9961" s="1" customFormat="1" spans="1:3">
      <c r="A9961" s="6"/>
      <c r="B9961" s="6"/>
      <c r="C9961" s="6"/>
    </row>
    <row r="9962" s="1" customFormat="1" spans="1:3">
      <c r="A9962" s="6"/>
      <c r="B9962" s="6"/>
      <c r="C9962" s="6"/>
    </row>
    <row r="9963" s="1" customFormat="1" spans="1:3">
      <c r="A9963" s="6"/>
      <c r="B9963" s="6"/>
      <c r="C9963" s="6"/>
    </row>
    <row r="9964" s="1" customFormat="1" spans="1:3">
      <c r="A9964" s="6"/>
      <c r="B9964" s="6"/>
      <c r="C9964" s="6"/>
    </row>
    <row r="9965" s="1" customFormat="1" spans="1:3">
      <c r="A9965" s="6"/>
      <c r="B9965" s="6"/>
      <c r="C9965" s="6"/>
    </row>
    <row r="9966" s="1" customFormat="1" spans="1:3">
      <c r="A9966" s="6"/>
      <c r="B9966" s="6"/>
      <c r="C9966" s="6"/>
    </row>
    <row r="9967" s="1" customFormat="1" spans="1:3">
      <c r="A9967" s="6"/>
      <c r="B9967" s="6"/>
      <c r="C9967" s="6"/>
    </row>
    <row r="9968" s="1" customFormat="1" spans="1:3">
      <c r="A9968" s="6"/>
      <c r="B9968" s="6"/>
      <c r="C9968" s="6"/>
    </row>
    <row r="9969" s="1" customFormat="1" spans="1:3">
      <c r="A9969" s="6"/>
      <c r="B9969" s="6"/>
      <c r="C9969" s="6"/>
    </row>
    <row r="9970" s="1" customFormat="1" spans="1:3">
      <c r="A9970" s="6"/>
      <c r="B9970" s="6"/>
      <c r="C9970" s="6"/>
    </row>
    <row r="9971" s="1" customFormat="1" spans="1:3">
      <c r="A9971" s="6"/>
      <c r="B9971" s="6"/>
      <c r="C9971" s="6"/>
    </row>
    <row r="9972" s="1" customFormat="1" spans="1:3">
      <c r="A9972" s="6"/>
      <c r="B9972" s="6"/>
      <c r="C9972" s="6"/>
    </row>
    <row r="9973" s="1" customFormat="1" spans="1:3">
      <c r="A9973" s="6"/>
      <c r="B9973" s="6"/>
      <c r="C9973" s="6"/>
    </row>
    <row r="9974" s="1" customFormat="1" spans="1:3">
      <c r="A9974" s="6"/>
      <c r="B9974" s="6"/>
      <c r="C9974" s="6"/>
    </row>
    <row r="9975" s="1" customFormat="1" spans="1:3">
      <c r="A9975" s="6"/>
      <c r="B9975" s="6"/>
      <c r="C9975" s="6"/>
    </row>
    <row r="9976" s="1" customFormat="1" spans="1:3">
      <c r="A9976" s="6"/>
      <c r="B9976" s="6"/>
      <c r="C9976" s="6"/>
    </row>
    <row r="9977" s="1" customFormat="1" spans="1:3">
      <c r="A9977" s="6"/>
      <c r="B9977" s="6"/>
      <c r="C9977" s="6"/>
    </row>
    <row r="9978" s="1" customFormat="1" spans="1:3">
      <c r="A9978" s="6"/>
      <c r="B9978" s="6"/>
      <c r="C9978" s="6"/>
    </row>
    <row r="9979" s="1" customFormat="1" spans="1:3">
      <c r="A9979" s="6"/>
      <c r="B9979" s="6"/>
      <c r="C9979" s="6"/>
    </row>
    <row r="9980" s="1" customFormat="1" spans="1:3">
      <c r="A9980" s="6"/>
      <c r="B9980" s="6"/>
      <c r="C9980" s="6"/>
    </row>
    <row r="9981" s="1" customFormat="1" spans="1:3">
      <c r="A9981" s="6"/>
      <c r="B9981" s="6"/>
      <c r="C9981" s="6"/>
    </row>
    <row r="9982" s="1" customFormat="1" spans="1:3">
      <c r="A9982" s="6"/>
      <c r="B9982" s="6"/>
      <c r="C9982" s="6"/>
    </row>
    <row r="9983" s="1" customFormat="1" spans="1:3">
      <c r="A9983" s="6"/>
      <c r="B9983" s="6"/>
      <c r="C9983" s="6"/>
    </row>
    <row r="9984" s="1" customFormat="1" spans="1:3">
      <c r="A9984" s="6"/>
      <c r="B9984" s="6"/>
      <c r="C9984" s="6"/>
    </row>
    <row r="9985" s="1" customFormat="1" spans="1:3">
      <c r="A9985" s="6"/>
      <c r="B9985" s="6"/>
      <c r="C9985" s="6"/>
    </row>
    <row r="9986" s="1" customFormat="1" spans="1:3">
      <c r="A9986" s="6"/>
      <c r="B9986" s="6"/>
      <c r="C9986" s="6"/>
    </row>
    <row r="9987" s="1" customFormat="1" spans="1:3">
      <c r="A9987" s="6"/>
      <c r="B9987" s="6"/>
      <c r="C9987" s="6"/>
    </row>
    <row r="9988" s="1" customFormat="1" spans="1:3">
      <c r="A9988" s="6"/>
      <c r="B9988" s="6"/>
      <c r="C9988" s="6"/>
    </row>
    <row r="9989" s="1" customFormat="1" spans="1:3">
      <c r="A9989" s="6"/>
      <c r="B9989" s="6"/>
      <c r="C9989" s="6"/>
    </row>
    <row r="9990" s="1" customFormat="1" spans="1:3">
      <c r="A9990" s="6"/>
      <c r="B9990" s="6"/>
      <c r="C9990" s="6"/>
    </row>
    <row r="9991" s="1" customFormat="1" spans="1:3">
      <c r="A9991" s="6"/>
      <c r="B9991" s="6"/>
      <c r="C9991" s="6"/>
    </row>
    <row r="9992" s="1" customFormat="1" spans="1:3">
      <c r="A9992" s="6"/>
      <c r="B9992" s="6"/>
      <c r="C9992" s="6"/>
    </row>
    <row r="9993" s="1" customFormat="1" spans="1:3">
      <c r="A9993" s="6"/>
      <c r="B9993" s="6"/>
      <c r="C9993" s="6"/>
    </row>
    <row r="9994" s="1" customFormat="1" spans="1:3">
      <c r="A9994" s="6"/>
      <c r="B9994" s="6"/>
      <c r="C9994" s="6"/>
    </row>
    <row r="9995" s="1" customFormat="1" spans="1:3">
      <c r="A9995" s="6"/>
      <c r="B9995" s="6"/>
      <c r="C9995" s="6"/>
    </row>
    <row r="9996" s="1" customFormat="1" spans="1:3">
      <c r="A9996" s="6"/>
      <c r="B9996" s="6"/>
      <c r="C9996" s="6"/>
    </row>
    <row r="9997" s="1" customFormat="1" spans="1:3">
      <c r="A9997" s="6"/>
      <c r="B9997" s="6"/>
      <c r="C9997" s="6"/>
    </row>
    <row r="9998" s="1" customFormat="1" spans="1:3">
      <c r="A9998" s="6"/>
      <c r="B9998" s="6"/>
      <c r="C9998" s="6"/>
    </row>
    <row r="9999" s="1" customFormat="1" spans="1:3">
      <c r="A9999" s="6"/>
      <c r="B9999" s="6"/>
      <c r="C9999" s="6"/>
    </row>
    <row r="10000" s="1" customFormat="1" spans="1:3">
      <c r="A10000" s="6"/>
      <c r="B10000" s="6"/>
      <c r="C10000" s="6"/>
    </row>
    <row r="10001" s="1" customFormat="1" spans="1:3">
      <c r="A10001" s="6"/>
      <c r="B10001" s="6"/>
      <c r="C10001" s="6"/>
    </row>
    <row r="10002" s="1" customFormat="1" spans="1:3">
      <c r="A10002" s="6"/>
      <c r="B10002" s="6"/>
      <c r="C10002" s="6"/>
    </row>
    <row r="10003" s="1" customFormat="1" spans="1:3">
      <c r="A10003" s="6"/>
      <c r="B10003" s="6"/>
      <c r="C10003" s="6"/>
    </row>
    <row r="10004" s="1" customFormat="1" spans="1:3">
      <c r="A10004" s="6"/>
      <c r="B10004" s="6"/>
      <c r="C10004" s="6"/>
    </row>
    <row r="10005" s="1" customFormat="1" spans="1:3">
      <c r="A10005" s="6"/>
      <c r="B10005" s="6"/>
      <c r="C10005" s="6"/>
    </row>
    <row r="10006" s="1" customFormat="1" spans="1:3">
      <c r="A10006" s="6"/>
      <c r="B10006" s="6"/>
      <c r="C10006" s="6"/>
    </row>
    <row r="10007" s="1" customFormat="1" spans="1:3">
      <c r="A10007" s="6"/>
      <c r="B10007" s="6"/>
      <c r="C10007" s="6"/>
    </row>
    <row r="10008" s="1" customFormat="1" spans="1:3">
      <c r="A10008" s="6"/>
      <c r="B10008" s="6"/>
      <c r="C10008" s="6"/>
    </row>
    <row r="10009" s="1" customFormat="1" spans="1:3">
      <c r="A10009" s="6"/>
      <c r="B10009" s="6"/>
      <c r="C10009" s="6"/>
    </row>
    <row r="10010" s="1" customFormat="1" spans="1:3">
      <c r="A10010" s="6"/>
      <c r="B10010" s="6"/>
      <c r="C10010" s="6"/>
    </row>
    <row r="10011" s="1" customFormat="1" spans="1:3">
      <c r="A10011" s="6"/>
      <c r="B10011" s="6"/>
      <c r="C10011" s="6"/>
    </row>
    <row r="10012" s="1" customFormat="1" spans="1:3">
      <c r="A10012" s="6"/>
      <c r="B10012" s="6"/>
      <c r="C10012" s="6"/>
    </row>
    <row r="10013" s="1" customFormat="1" spans="1:3">
      <c r="A10013" s="6"/>
      <c r="B10013" s="6"/>
      <c r="C10013" s="6"/>
    </row>
    <row r="10014" s="1" customFormat="1" spans="1:3">
      <c r="A10014" s="6"/>
      <c r="B10014" s="6"/>
      <c r="C10014" s="6"/>
    </row>
    <row r="10015" s="1" customFormat="1" spans="1:3">
      <c r="A10015" s="6"/>
      <c r="B10015" s="6"/>
      <c r="C10015" s="6"/>
    </row>
    <row r="10016" s="1" customFormat="1" spans="1:3">
      <c r="A10016" s="6"/>
      <c r="B10016" s="6"/>
      <c r="C10016" s="6"/>
    </row>
    <row r="10017" s="1" customFormat="1" spans="1:3">
      <c r="A10017" s="6"/>
      <c r="B10017" s="6"/>
      <c r="C10017" s="6"/>
    </row>
    <row r="10018" s="1" customFormat="1" spans="1:3">
      <c r="A10018" s="6"/>
      <c r="B10018" s="6"/>
      <c r="C10018" s="6"/>
    </row>
    <row r="10019" s="1" customFormat="1" spans="1:3">
      <c r="A10019" s="6"/>
      <c r="B10019" s="6"/>
      <c r="C10019" s="6"/>
    </row>
    <row r="10020" s="1" customFormat="1" spans="1:3">
      <c r="A10020" s="6"/>
      <c r="B10020" s="6"/>
      <c r="C10020" s="6"/>
    </row>
    <row r="10021" s="1" customFormat="1" spans="1:3">
      <c r="A10021" s="6"/>
      <c r="B10021" s="6"/>
      <c r="C10021" s="6"/>
    </row>
    <row r="10022" s="1" customFormat="1" spans="1:3">
      <c r="A10022" s="6"/>
      <c r="B10022" s="6"/>
      <c r="C10022" s="6"/>
    </row>
    <row r="10023" s="1" customFormat="1" spans="1:3">
      <c r="A10023" s="6"/>
      <c r="B10023" s="6"/>
      <c r="C10023" s="6"/>
    </row>
    <row r="10024" s="1" customFormat="1" spans="1:3">
      <c r="A10024" s="6"/>
      <c r="B10024" s="6"/>
      <c r="C10024" s="6"/>
    </row>
    <row r="10025" s="1" customFormat="1" spans="1:3">
      <c r="A10025" s="6"/>
      <c r="B10025" s="6"/>
      <c r="C10025" s="6"/>
    </row>
    <row r="10026" s="1" customFormat="1" spans="1:3">
      <c r="A10026" s="6"/>
      <c r="B10026" s="6"/>
      <c r="C10026" s="6"/>
    </row>
    <row r="10027" s="1" customFormat="1" spans="1:3">
      <c r="A10027" s="6"/>
      <c r="B10027" s="6"/>
      <c r="C10027" s="6"/>
    </row>
    <row r="10028" s="1" customFormat="1" spans="1:3">
      <c r="A10028" s="6"/>
      <c r="B10028" s="6"/>
      <c r="C10028" s="6"/>
    </row>
    <row r="10029" s="1" customFormat="1" spans="1:3">
      <c r="A10029" s="6"/>
      <c r="B10029" s="6"/>
      <c r="C10029" s="6"/>
    </row>
    <row r="10030" s="1" customFormat="1" spans="1:3">
      <c r="A10030" s="6"/>
      <c r="B10030" s="6"/>
      <c r="C10030" s="6"/>
    </row>
    <row r="10031" s="1" customFormat="1" spans="1:3">
      <c r="A10031" s="6"/>
      <c r="B10031" s="6"/>
      <c r="C10031" s="6"/>
    </row>
    <row r="10032" s="1" customFormat="1" spans="1:3">
      <c r="A10032" s="6"/>
      <c r="B10032" s="6"/>
      <c r="C10032" s="6"/>
    </row>
    <row r="10033" s="1" customFormat="1" spans="1:3">
      <c r="A10033" s="6"/>
      <c r="B10033" s="6"/>
      <c r="C10033" s="6"/>
    </row>
    <row r="10034" s="1" customFormat="1" spans="1:3">
      <c r="A10034" s="6"/>
      <c r="B10034" s="6"/>
      <c r="C10034" s="6"/>
    </row>
    <row r="10035" s="1" customFormat="1" spans="1:3">
      <c r="A10035" s="6"/>
      <c r="B10035" s="6"/>
      <c r="C10035" s="6"/>
    </row>
    <row r="10036" s="1" customFormat="1" spans="1:3">
      <c r="A10036" s="6"/>
      <c r="B10036" s="6"/>
      <c r="C10036" s="6"/>
    </row>
    <row r="10037" s="1" customFormat="1" spans="1:3">
      <c r="A10037" s="6"/>
      <c r="B10037" s="6"/>
      <c r="C10037" s="6"/>
    </row>
    <row r="10038" s="1" customFormat="1" spans="1:3">
      <c r="A10038" s="6"/>
      <c r="B10038" s="6"/>
      <c r="C10038" s="6"/>
    </row>
    <row r="10039" s="1" customFormat="1" spans="1:3">
      <c r="A10039" s="6"/>
      <c r="B10039" s="6"/>
      <c r="C10039" s="6"/>
    </row>
    <row r="10040" s="1" customFormat="1" spans="1:3">
      <c r="A10040" s="6"/>
      <c r="B10040" s="6"/>
      <c r="C10040" s="6"/>
    </row>
    <row r="10041" s="1" customFormat="1" spans="1:3">
      <c r="A10041" s="6"/>
      <c r="B10041" s="6"/>
      <c r="C10041" s="6"/>
    </row>
    <row r="10042" s="1" customFormat="1" spans="1:3">
      <c r="A10042" s="6"/>
      <c r="B10042" s="6"/>
      <c r="C10042" s="6"/>
    </row>
    <row r="10043" s="1" customFormat="1" spans="1:3">
      <c r="A10043" s="6"/>
      <c r="B10043" s="6"/>
      <c r="C10043" s="6"/>
    </row>
    <row r="10044" s="1" customFormat="1" spans="1:3">
      <c r="A10044" s="6"/>
      <c r="B10044" s="6"/>
      <c r="C10044" s="6"/>
    </row>
    <row r="10045" s="1" customFormat="1" spans="1:3">
      <c r="A10045" s="6"/>
      <c r="B10045" s="6"/>
      <c r="C10045" s="6"/>
    </row>
    <row r="10046" s="1" customFormat="1" spans="1:3">
      <c r="A10046" s="6"/>
      <c r="B10046" s="6"/>
      <c r="C10046" s="6"/>
    </row>
    <row r="10047" s="1" customFormat="1" spans="1:3">
      <c r="A10047" s="6"/>
      <c r="B10047" s="6"/>
      <c r="C10047" s="6"/>
    </row>
    <row r="10048" s="1" customFormat="1" spans="1:3">
      <c r="A10048" s="6"/>
      <c r="B10048" s="6"/>
      <c r="C10048" s="6"/>
    </row>
    <row r="10049" s="1" customFormat="1" spans="1:3">
      <c r="A10049" s="6"/>
      <c r="B10049" s="6"/>
      <c r="C10049" s="6"/>
    </row>
    <row r="10050" s="1" customFormat="1" spans="1:3">
      <c r="A10050" s="6"/>
      <c r="B10050" s="6"/>
      <c r="C10050" s="6"/>
    </row>
    <row r="10051" s="1" customFormat="1" spans="1:3">
      <c r="A10051" s="6"/>
      <c r="B10051" s="6"/>
      <c r="C10051" s="6"/>
    </row>
    <row r="10052" s="1" customFormat="1" spans="1:3">
      <c r="A10052" s="6"/>
      <c r="B10052" s="6"/>
      <c r="C10052" s="6"/>
    </row>
    <row r="10053" s="1" customFormat="1" spans="1:3">
      <c r="A10053" s="6"/>
      <c r="B10053" s="6"/>
      <c r="C10053" s="6"/>
    </row>
    <row r="10054" s="1" customFormat="1" spans="1:3">
      <c r="A10054" s="6"/>
      <c r="B10054" s="6"/>
      <c r="C10054" s="6"/>
    </row>
    <row r="10055" s="1" customFormat="1" spans="1:3">
      <c r="A10055" s="6"/>
      <c r="B10055" s="6"/>
      <c r="C10055" s="6"/>
    </row>
    <row r="10056" s="1" customFormat="1" spans="1:3">
      <c r="A10056" s="6"/>
      <c r="B10056" s="6"/>
      <c r="C10056" s="6"/>
    </row>
    <row r="10057" s="1" customFormat="1" spans="1:3">
      <c r="A10057" s="6"/>
      <c r="B10057" s="6"/>
      <c r="C10057" s="6"/>
    </row>
    <row r="10058" s="1" customFormat="1" spans="1:3">
      <c r="A10058" s="6"/>
      <c r="B10058" s="6"/>
      <c r="C10058" s="6"/>
    </row>
    <row r="10059" s="1" customFormat="1" spans="1:3">
      <c r="A10059" s="6"/>
      <c r="B10059" s="6"/>
      <c r="C10059" s="6"/>
    </row>
    <row r="10060" s="1" customFormat="1" spans="1:3">
      <c r="A10060" s="6"/>
      <c r="B10060" s="6"/>
      <c r="C10060" s="6"/>
    </row>
    <row r="10061" s="1" customFormat="1" spans="1:3">
      <c r="A10061" s="6"/>
      <c r="B10061" s="6"/>
      <c r="C10061" s="6"/>
    </row>
    <row r="10062" s="1" customFormat="1" spans="1:3">
      <c r="A10062" s="6"/>
      <c r="B10062" s="6"/>
      <c r="C10062" s="6"/>
    </row>
    <row r="10063" s="1" customFormat="1" spans="1:3">
      <c r="A10063" s="6"/>
      <c r="B10063" s="6"/>
      <c r="C10063" s="6"/>
    </row>
    <row r="10064" s="1" customFormat="1" spans="1:3">
      <c r="A10064" s="6"/>
      <c r="B10064" s="6"/>
      <c r="C10064" s="6"/>
    </row>
    <row r="10065" s="1" customFormat="1" spans="1:3">
      <c r="A10065" s="6"/>
      <c r="B10065" s="6"/>
      <c r="C10065" s="6"/>
    </row>
    <row r="10066" s="1" customFormat="1" spans="1:3">
      <c r="A10066" s="6"/>
      <c r="B10066" s="6"/>
      <c r="C10066" s="6"/>
    </row>
    <row r="10067" s="1" customFormat="1" spans="1:3">
      <c r="A10067" s="6"/>
      <c r="B10067" s="6"/>
      <c r="C10067" s="6"/>
    </row>
    <row r="10068" s="1" customFormat="1" spans="1:3">
      <c r="A10068" s="6"/>
      <c r="B10068" s="6"/>
      <c r="C10068" s="6"/>
    </row>
    <row r="10069" s="1" customFormat="1" spans="1:3">
      <c r="A10069" s="6"/>
      <c r="B10069" s="6"/>
      <c r="C10069" s="6"/>
    </row>
    <row r="10070" s="1" customFormat="1" spans="1:3">
      <c r="A10070" s="6"/>
      <c r="B10070" s="6"/>
      <c r="C10070" s="6"/>
    </row>
    <row r="10071" s="1" customFormat="1" spans="1:3">
      <c r="A10071" s="6"/>
      <c r="B10071" s="6"/>
      <c r="C10071" s="6"/>
    </row>
    <row r="10072" s="1" customFormat="1" spans="1:3">
      <c r="A10072" s="6"/>
      <c r="B10072" s="6"/>
      <c r="C10072" s="6"/>
    </row>
    <row r="10073" s="1" customFormat="1" spans="1:3">
      <c r="A10073" s="6"/>
      <c r="B10073" s="6"/>
      <c r="C10073" s="6"/>
    </row>
    <row r="10074" s="1" customFormat="1" spans="1:3">
      <c r="A10074" s="6"/>
      <c r="B10074" s="6"/>
      <c r="C10074" s="6"/>
    </row>
    <row r="10075" s="1" customFormat="1" spans="1:3">
      <c r="A10075" s="6"/>
      <c r="B10075" s="6"/>
      <c r="C10075" s="6"/>
    </row>
    <row r="10076" s="1" customFormat="1" spans="1:3">
      <c r="A10076" s="6"/>
      <c r="B10076" s="6"/>
      <c r="C10076" s="6"/>
    </row>
    <row r="10077" s="1" customFormat="1" spans="1:3">
      <c r="A10077" s="6"/>
      <c r="B10077" s="6"/>
      <c r="C10077" s="6"/>
    </row>
    <row r="10078" s="1" customFormat="1" spans="1:3">
      <c r="A10078" s="6"/>
      <c r="B10078" s="6"/>
      <c r="C10078" s="6"/>
    </row>
    <row r="10079" s="1" customFormat="1" spans="1:3">
      <c r="A10079" s="6"/>
      <c r="B10079" s="6"/>
      <c r="C10079" s="6"/>
    </row>
    <row r="10080" s="1" customFormat="1" spans="1:3">
      <c r="A10080" s="6"/>
      <c r="B10080" s="6"/>
      <c r="C10080" s="6"/>
    </row>
    <row r="10081" s="1" customFormat="1" spans="1:3">
      <c r="A10081" s="6"/>
      <c r="B10081" s="6"/>
      <c r="C10081" s="6"/>
    </row>
    <row r="10082" s="1" customFormat="1" spans="1:3">
      <c r="A10082" s="6"/>
      <c r="B10082" s="6"/>
      <c r="C10082" s="6"/>
    </row>
    <row r="10083" s="1" customFormat="1" spans="1:3">
      <c r="A10083" s="6"/>
      <c r="B10083" s="6"/>
      <c r="C10083" s="6"/>
    </row>
    <row r="10084" s="1" customFormat="1" spans="1:3">
      <c r="A10084" s="6"/>
      <c r="B10084" s="6"/>
      <c r="C10084" s="6"/>
    </row>
    <row r="10085" s="1" customFormat="1" spans="1:3">
      <c r="A10085" s="6"/>
      <c r="B10085" s="6"/>
      <c r="C10085" s="6"/>
    </row>
    <row r="10086" s="1" customFormat="1" spans="1:3">
      <c r="A10086" s="6"/>
      <c r="B10086" s="6"/>
      <c r="C10086" s="6"/>
    </row>
    <row r="10087" s="1" customFormat="1" spans="1:3">
      <c r="A10087" s="6"/>
      <c r="B10087" s="6"/>
      <c r="C10087" s="6"/>
    </row>
    <row r="10088" s="1" customFormat="1" spans="1:3">
      <c r="A10088" s="6"/>
      <c r="B10088" s="6"/>
      <c r="C10088" s="6"/>
    </row>
    <row r="10089" s="1" customFormat="1" spans="1:3">
      <c r="A10089" s="6"/>
      <c r="B10089" s="6"/>
      <c r="C10089" s="6"/>
    </row>
    <row r="10090" s="1" customFormat="1" spans="1:3">
      <c r="A10090" s="6"/>
      <c r="B10090" s="6"/>
      <c r="C10090" s="6"/>
    </row>
    <row r="10091" s="1" customFormat="1" spans="1:3">
      <c r="A10091" s="6"/>
      <c r="B10091" s="6"/>
      <c r="C10091" s="6"/>
    </row>
    <row r="10092" s="1" customFormat="1" spans="1:3">
      <c r="A10092" s="6"/>
      <c r="B10092" s="6"/>
      <c r="C10092" s="6"/>
    </row>
    <row r="10093" s="1" customFormat="1" spans="1:3">
      <c r="A10093" s="6"/>
      <c r="B10093" s="6"/>
      <c r="C10093" s="6"/>
    </row>
    <row r="10094" s="1" customFormat="1" spans="1:3">
      <c r="A10094" s="6"/>
      <c r="B10094" s="6"/>
      <c r="C10094" s="6"/>
    </row>
    <row r="10095" s="1" customFormat="1" spans="1:3">
      <c r="A10095" s="6"/>
      <c r="B10095" s="6"/>
      <c r="C10095" s="6"/>
    </row>
    <row r="10096" s="1" customFormat="1" spans="1:3">
      <c r="A10096" s="6"/>
      <c r="B10096" s="6"/>
      <c r="C10096" s="6"/>
    </row>
    <row r="10097" s="1" customFormat="1" spans="1:3">
      <c r="A10097" s="6"/>
      <c r="B10097" s="6"/>
      <c r="C10097" s="6"/>
    </row>
    <row r="10098" s="1" customFormat="1" spans="1:3">
      <c r="A10098" s="6"/>
      <c r="B10098" s="6"/>
      <c r="C10098" s="6"/>
    </row>
    <row r="10099" s="1" customFormat="1" spans="1:3">
      <c r="A10099" s="6"/>
      <c r="B10099" s="6"/>
      <c r="C10099" s="6"/>
    </row>
    <row r="10100" s="1" customFormat="1" spans="1:3">
      <c r="A10100" s="6"/>
      <c r="B10100" s="6"/>
      <c r="C10100" s="6"/>
    </row>
    <row r="10101" s="1" customFormat="1" spans="1:3">
      <c r="A10101" s="6"/>
      <c r="B10101" s="6"/>
      <c r="C10101" s="6"/>
    </row>
    <row r="10102" s="1" customFormat="1" spans="1:3">
      <c r="A10102" s="6"/>
      <c r="B10102" s="6"/>
      <c r="C10102" s="6"/>
    </row>
    <row r="10103" s="1" customFormat="1" spans="1:3">
      <c r="A10103" s="6"/>
      <c r="B10103" s="6"/>
      <c r="C10103" s="6"/>
    </row>
    <row r="10104" s="1" customFormat="1" spans="1:3">
      <c r="A10104" s="6"/>
      <c r="B10104" s="6"/>
      <c r="C10104" s="6"/>
    </row>
    <row r="10105" s="1" customFormat="1" spans="1:3">
      <c r="A10105" s="6"/>
      <c r="B10105" s="6"/>
      <c r="C10105" s="6"/>
    </row>
    <row r="10106" s="1" customFormat="1" spans="1:3">
      <c r="A10106" s="6"/>
      <c r="B10106" s="6"/>
      <c r="C10106" s="6"/>
    </row>
    <row r="10107" s="1" customFormat="1" spans="1:3">
      <c r="A10107" s="6"/>
      <c r="B10107" s="6"/>
      <c r="C10107" s="6"/>
    </row>
    <row r="10108" s="1" customFormat="1" spans="1:3">
      <c r="A10108" s="6"/>
      <c r="B10108" s="6"/>
      <c r="C10108" s="6"/>
    </row>
    <row r="10109" s="1" customFormat="1" spans="1:3">
      <c r="A10109" s="6"/>
      <c r="B10109" s="6"/>
      <c r="C10109" s="6"/>
    </row>
    <row r="10110" s="1" customFormat="1" spans="1:3">
      <c r="A10110" s="6"/>
      <c r="B10110" s="6"/>
      <c r="C10110" s="6"/>
    </row>
    <row r="10111" s="1" customFormat="1" spans="1:3">
      <c r="A10111" s="6"/>
      <c r="B10111" s="6"/>
      <c r="C10111" s="6"/>
    </row>
    <row r="10112" s="1" customFormat="1" spans="1:3">
      <c r="A10112" s="6"/>
      <c r="B10112" s="6"/>
      <c r="C10112" s="6"/>
    </row>
    <row r="10113" s="1" customFormat="1" spans="1:3">
      <c r="A10113" s="6"/>
      <c r="B10113" s="6"/>
      <c r="C10113" s="6"/>
    </row>
    <row r="10114" s="1" customFormat="1" spans="1:3">
      <c r="A10114" s="6"/>
      <c r="B10114" s="6"/>
      <c r="C10114" s="6"/>
    </row>
    <row r="10115" s="1" customFormat="1" spans="1:3">
      <c r="A10115" s="6"/>
      <c r="B10115" s="6"/>
      <c r="C10115" s="6"/>
    </row>
    <row r="10116" s="1" customFormat="1" spans="1:3">
      <c r="A10116" s="6"/>
      <c r="B10116" s="6"/>
      <c r="C10116" s="6"/>
    </row>
    <row r="10117" s="1" customFormat="1" spans="1:3">
      <c r="A10117" s="6"/>
      <c r="B10117" s="6"/>
      <c r="C10117" s="6"/>
    </row>
    <row r="10118" s="1" customFormat="1" spans="1:3">
      <c r="A10118" s="6"/>
      <c r="B10118" s="6"/>
      <c r="C10118" s="6"/>
    </row>
    <row r="10119" s="1" customFormat="1" spans="1:3">
      <c r="A10119" s="6"/>
      <c r="B10119" s="6"/>
      <c r="C10119" s="6"/>
    </row>
    <row r="10120" s="1" customFormat="1" spans="1:3">
      <c r="A10120" s="6"/>
      <c r="B10120" s="6"/>
      <c r="C10120" s="6"/>
    </row>
    <row r="10121" s="1" customFormat="1" spans="1:3">
      <c r="A10121" s="6"/>
      <c r="B10121" s="6"/>
      <c r="C10121" s="6"/>
    </row>
    <row r="10122" s="1" customFormat="1" spans="1:3">
      <c r="A10122" s="6"/>
      <c r="B10122" s="6"/>
      <c r="C10122" s="6"/>
    </row>
    <row r="10123" s="1" customFormat="1" spans="1:3">
      <c r="A10123" s="6"/>
      <c r="B10123" s="6"/>
      <c r="C10123" s="6"/>
    </row>
    <row r="10124" s="1" customFormat="1" spans="1:3">
      <c r="A10124" s="6"/>
      <c r="B10124" s="6"/>
      <c r="C10124" s="6"/>
    </row>
    <row r="10125" s="1" customFormat="1" spans="1:3">
      <c r="A10125" s="6"/>
      <c r="B10125" s="6"/>
      <c r="C10125" s="6"/>
    </row>
    <row r="10126" s="1" customFormat="1" spans="1:3">
      <c r="A10126" s="6"/>
      <c r="B10126" s="6"/>
      <c r="C10126" s="6"/>
    </row>
    <row r="10127" s="1" customFormat="1" spans="1:3">
      <c r="A10127" s="6"/>
      <c r="B10127" s="6"/>
      <c r="C10127" s="6"/>
    </row>
    <row r="10128" s="1" customFormat="1" spans="1:3">
      <c r="A10128" s="6"/>
      <c r="B10128" s="6"/>
      <c r="C10128" s="6"/>
    </row>
    <row r="10129" s="1" customFormat="1" spans="1:3">
      <c r="A10129" s="6"/>
      <c r="B10129" s="6"/>
      <c r="C10129" s="6"/>
    </row>
    <row r="10130" s="1" customFormat="1" spans="1:3">
      <c r="A10130" s="6"/>
      <c r="B10130" s="6"/>
      <c r="C10130" s="6"/>
    </row>
    <row r="10131" s="1" customFormat="1" spans="1:3">
      <c r="A10131" s="6"/>
      <c r="B10131" s="6"/>
      <c r="C10131" s="6"/>
    </row>
    <row r="10132" s="1" customFormat="1" spans="1:3">
      <c r="A10132" s="6"/>
      <c r="B10132" s="6"/>
      <c r="C10132" s="6"/>
    </row>
    <row r="10133" s="1" customFormat="1" spans="1:3">
      <c r="A10133" s="6"/>
      <c r="B10133" s="6"/>
      <c r="C10133" s="6"/>
    </row>
    <row r="10134" s="1" customFormat="1" spans="1:3">
      <c r="A10134" s="6"/>
      <c r="B10134" s="6"/>
      <c r="C10134" s="6"/>
    </row>
    <row r="10135" s="1" customFormat="1" spans="1:3">
      <c r="A10135" s="6"/>
      <c r="B10135" s="6"/>
      <c r="C10135" s="6"/>
    </row>
    <row r="10136" s="1" customFormat="1" spans="1:3">
      <c r="A10136" s="6"/>
      <c r="B10136" s="6"/>
      <c r="C10136" s="6"/>
    </row>
    <row r="10137" s="1" customFormat="1" spans="1:3">
      <c r="A10137" s="6"/>
      <c r="B10137" s="6"/>
      <c r="C10137" s="6"/>
    </row>
    <row r="10138" s="1" customFormat="1" spans="1:3">
      <c r="A10138" s="6"/>
      <c r="B10138" s="6"/>
      <c r="C10138" s="6"/>
    </row>
    <row r="10139" s="1" customFormat="1" spans="1:3">
      <c r="A10139" s="6"/>
      <c r="B10139" s="6"/>
      <c r="C10139" s="6"/>
    </row>
    <row r="10140" s="1" customFormat="1" spans="1:3">
      <c r="A10140" s="6"/>
      <c r="B10140" s="6"/>
      <c r="C10140" s="6"/>
    </row>
    <row r="10141" s="1" customFormat="1" spans="1:3">
      <c r="A10141" s="6"/>
      <c r="B10141" s="6"/>
      <c r="C10141" s="6"/>
    </row>
    <row r="10142" s="1" customFormat="1" spans="1:3">
      <c r="A10142" s="6"/>
      <c r="B10142" s="6"/>
      <c r="C10142" s="6"/>
    </row>
    <row r="10143" s="1" customFormat="1" spans="1:3">
      <c r="A10143" s="6"/>
      <c r="B10143" s="6"/>
      <c r="C10143" s="6"/>
    </row>
    <row r="10144" s="1" customFormat="1" spans="1:3">
      <c r="A10144" s="6"/>
      <c r="B10144" s="6"/>
      <c r="C10144" s="6"/>
    </row>
    <row r="10145" s="1" customFormat="1" spans="1:3">
      <c r="A10145" s="6"/>
      <c r="B10145" s="6"/>
      <c r="C10145" s="6"/>
    </row>
    <row r="10146" s="1" customFormat="1" spans="1:3">
      <c r="A10146" s="6"/>
      <c r="B10146" s="6"/>
      <c r="C10146" s="6"/>
    </row>
    <row r="10147" s="1" customFormat="1" spans="1:3">
      <c r="A10147" s="6"/>
      <c r="B10147" s="6"/>
      <c r="C10147" s="6"/>
    </row>
    <row r="10148" s="1" customFormat="1" spans="1:3">
      <c r="A10148" s="6"/>
      <c r="B10148" s="6"/>
      <c r="C10148" s="6"/>
    </row>
    <row r="10149" s="1" customFormat="1" spans="1:3">
      <c r="A10149" s="6"/>
      <c r="B10149" s="6"/>
      <c r="C10149" s="6"/>
    </row>
    <row r="10150" s="1" customFormat="1" spans="1:3">
      <c r="A10150" s="6"/>
      <c r="B10150" s="6"/>
      <c r="C10150" s="6"/>
    </row>
    <row r="10151" s="1" customFormat="1" spans="1:3">
      <c r="A10151" s="6"/>
      <c r="B10151" s="6"/>
      <c r="C10151" s="6"/>
    </row>
    <row r="10152" s="1" customFormat="1" spans="1:3">
      <c r="A10152" s="6"/>
      <c r="B10152" s="6"/>
      <c r="C10152" s="6"/>
    </row>
    <row r="10153" s="1" customFormat="1" spans="1:3">
      <c r="A10153" s="6"/>
      <c r="B10153" s="6"/>
      <c r="C10153" s="6"/>
    </row>
    <row r="10154" s="1" customFormat="1" spans="1:3">
      <c r="A10154" s="6"/>
      <c r="B10154" s="6"/>
      <c r="C10154" s="6"/>
    </row>
    <row r="10155" s="1" customFormat="1" spans="1:3">
      <c r="A10155" s="6"/>
      <c r="B10155" s="6"/>
      <c r="C10155" s="6"/>
    </row>
    <row r="10156" s="1" customFormat="1" spans="1:3">
      <c r="A10156" s="6"/>
      <c r="B10156" s="6"/>
      <c r="C10156" s="6"/>
    </row>
    <row r="10157" s="1" customFormat="1" spans="1:3">
      <c r="A10157" s="6"/>
      <c r="B10157" s="6"/>
      <c r="C10157" s="6"/>
    </row>
    <row r="10158" s="1" customFormat="1" spans="1:3">
      <c r="A10158" s="6"/>
      <c r="B10158" s="6"/>
      <c r="C10158" s="6"/>
    </row>
    <row r="10159" s="1" customFormat="1" spans="1:3">
      <c r="A10159" s="6"/>
      <c r="B10159" s="6"/>
      <c r="C10159" s="6"/>
    </row>
    <row r="10160" s="1" customFormat="1" spans="1:3">
      <c r="A10160" s="6"/>
      <c r="B10160" s="6"/>
      <c r="C10160" s="6"/>
    </row>
    <row r="10161" s="1" customFormat="1" spans="1:3">
      <c r="A10161" s="6"/>
      <c r="B10161" s="6"/>
      <c r="C10161" s="6"/>
    </row>
    <row r="10162" s="1" customFormat="1" spans="1:3">
      <c r="A10162" s="6"/>
      <c r="B10162" s="6"/>
      <c r="C10162" s="6"/>
    </row>
    <row r="10163" s="1" customFormat="1" spans="1:3">
      <c r="A10163" s="6"/>
      <c r="B10163" s="6"/>
      <c r="C10163" s="6"/>
    </row>
    <row r="10164" s="1" customFormat="1" spans="1:3">
      <c r="A10164" s="6"/>
      <c r="B10164" s="6"/>
      <c r="C10164" s="6"/>
    </row>
    <row r="10165" s="1" customFormat="1" spans="1:3">
      <c r="A10165" s="6"/>
      <c r="B10165" s="6"/>
      <c r="C10165" s="6"/>
    </row>
    <row r="10166" s="1" customFormat="1" spans="1:3">
      <c r="A10166" s="6"/>
      <c r="B10166" s="6"/>
      <c r="C10166" s="6"/>
    </row>
    <row r="10167" s="1" customFormat="1" spans="1:3">
      <c r="A10167" s="6"/>
      <c r="B10167" s="6"/>
      <c r="C10167" s="6"/>
    </row>
    <row r="10168" s="1" customFormat="1" spans="1:3">
      <c r="A10168" s="6"/>
      <c r="B10168" s="6"/>
      <c r="C10168" s="6"/>
    </row>
    <row r="10169" s="1" customFormat="1" spans="1:3">
      <c r="A10169" s="6"/>
      <c r="B10169" s="6"/>
      <c r="C10169" s="6"/>
    </row>
    <row r="10170" s="1" customFormat="1" spans="1:3">
      <c r="A10170" s="6"/>
      <c r="B10170" s="6"/>
      <c r="C10170" s="6"/>
    </row>
    <row r="10171" s="1" customFormat="1" spans="1:3">
      <c r="A10171" s="6"/>
      <c r="B10171" s="6"/>
      <c r="C10171" s="6"/>
    </row>
    <row r="10172" s="1" customFormat="1" spans="1:3">
      <c r="A10172" s="6"/>
      <c r="B10172" s="6"/>
      <c r="C10172" s="6"/>
    </row>
    <row r="10173" s="1" customFormat="1" spans="1:3">
      <c r="A10173" s="6"/>
      <c r="B10173" s="6"/>
      <c r="C10173" s="6"/>
    </row>
    <row r="10174" s="1" customFormat="1" spans="1:3">
      <c r="A10174" s="6"/>
      <c r="B10174" s="6"/>
      <c r="C10174" s="6"/>
    </row>
    <row r="10175" s="1" customFormat="1" spans="1:3">
      <c r="A10175" s="6"/>
      <c r="B10175" s="6"/>
      <c r="C10175" s="6"/>
    </row>
    <row r="10176" s="1" customFormat="1" spans="1:3">
      <c r="A10176" s="6"/>
      <c r="B10176" s="6"/>
      <c r="C10176" s="6"/>
    </row>
    <row r="10177" s="1" customFormat="1" spans="1:3">
      <c r="A10177" s="6"/>
      <c r="B10177" s="6"/>
      <c r="C10177" s="6"/>
    </row>
    <row r="10178" s="1" customFormat="1" spans="1:3">
      <c r="A10178" s="6"/>
      <c r="B10178" s="6"/>
      <c r="C10178" s="6"/>
    </row>
    <row r="10179" s="1" customFormat="1" spans="1:3">
      <c r="A10179" s="6"/>
      <c r="B10179" s="6"/>
      <c r="C10179" s="6"/>
    </row>
    <row r="10180" s="1" customFormat="1" spans="1:3">
      <c r="A10180" s="6"/>
      <c r="B10180" s="6"/>
      <c r="C10180" s="6"/>
    </row>
    <row r="10181" s="1" customFormat="1" spans="1:3">
      <c r="A10181" s="6"/>
      <c r="B10181" s="6"/>
      <c r="C10181" s="6"/>
    </row>
    <row r="10182" s="1" customFormat="1" spans="1:3">
      <c r="A10182" s="6"/>
      <c r="B10182" s="6"/>
      <c r="C10182" s="6"/>
    </row>
    <row r="10183" s="1" customFormat="1" spans="1:3">
      <c r="A10183" s="6"/>
      <c r="B10183" s="6"/>
      <c r="C10183" s="6"/>
    </row>
    <row r="10184" s="1" customFormat="1" spans="1:3">
      <c r="A10184" s="6"/>
      <c r="B10184" s="6"/>
      <c r="C10184" s="6"/>
    </row>
    <row r="10185" s="1" customFormat="1" spans="1:3">
      <c r="A10185" s="6"/>
      <c r="B10185" s="6"/>
      <c r="C10185" s="6"/>
    </row>
    <row r="10186" s="1" customFormat="1" spans="1:3">
      <c r="A10186" s="6"/>
      <c r="B10186" s="6"/>
      <c r="C10186" s="6"/>
    </row>
    <row r="10187" s="1" customFormat="1" spans="1:3">
      <c r="A10187" s="6"/>
      <c r="B10187" s="6"/>
      <c r="C10187" s="6"/>
    </row>
    <row r="10188" s="1" customFormat="1" spans="1:3">
      <c r="A10188" s="6"/>
      <c r="B10188" s="6"/>
      <c r="C10188" s="6"/>
    </row>
    <row r="10189" s="1" customFormat="1" spans="1:3">
      <c r="A10189" s="6"/>
      <c r="B10189" s="6"/>
      <c r="C10189" s="6"/>
    </row>
    <row r="10190" s="1" customFormat="1" spans="1:3">
      <c r="A10190" s="6"/>
      <c r="B10190" s="6"/>
      <c r="C10190" s="6"/>
    </row>
    <row r="10191" s="1" customFormat="1" spans="1:3">
      <c r="A10191" s="6"/>
      <c r="B10191" s="6"/>
      <c r="C10191" s="6"/>
    </row>
    <row r="10192" s="1" customFormat="1" spans="1:3">
      <c r="A10192" s="6"/>
      <c r="B10192" s="6"/>
      <c r="C10192" s="6"/>
    </row>
    <row r="10193" s="1" customFormat="1" spans="1:3">
      <c r="A10193" s="6"/>
      <c r="B10193" s="6"/>
      <c r="C10193" s="6"/>
    </row>
    <row r="10194" s="1" customFormat="1" spans="1:3">
      <c r="A10194" s="6"/>
      <c r="B10194" s="6"/>
      <c r="C10194" s="6"/>
    </row>
    <row r="10195" s="1" customFormat="1" spans="1:3">
      <c r="A10195" s="6"/>
      <c r="B10195" s="6"/>
      <c r="C10195" s="6"/>
    </row>
    <row r="10196" s="1" customFormat="1" spans="1:3">
      <c r="A10196" s="6"/>
      <c r="B10196" s="6"/>
      <c r="C10196" s="6"/>
    </row>
    <row r="10197" s="1" customFormat="1" spans="1:3">
      <c r="A10197" s="6"/>
      <c r="B10197" s="6"/>
      <c r="C10197" s="6"/>
    </row>
    <row r="10198" s="1" customFormat="1" spans="1:3">
      <c r="A10198" s="6"/>
      <c r="B10198" s="6"/>
      <c r="C10198" s="6"/>
    </row>
    <row r="10199" s="1" customFormat="1" spans="1:3">
      <c r="A10199" s="6"/>
      <c r="B10199" s="6"/>
      <c r="C10199" s="6"/>
    </row>
    <row r="10200" s="1" customFormat="1" spans="1:3">
      <c r="A10200" s="6"/>
      <c r="B10200" s="6"/>
      <c r="C10200" s="6"/>
    </row>
    <row r="10201" s="1" customFormat="1" spans="1:3">
      <c r="A10201" s="6"/>
      <c r="B10201" s="6"/>
      <c r="C10201" s="6"/>
    </row>
    <row r="10202" s="1" customFormat="1" spans="1:3">
      <c r="A10202" s="6"/>
      <c r="B10202" s="6"/>
      <c r="C10202" s="6"/>
    </row>
    <row r="10203" s="1" customFormat="1" spans="1:3">
      <c r="A10203" s="6"/>
      <c r="B10203" s="6"/>
      <c r="C10203" s="6"/>
    </row>
    <row r="10204" s="1" customFormat="1" spans="1:3">
      <c r="A10204" s="6"/>
      <c r="B10204" s="6"/>
      <c r="C10204" s="6"/>
    </row>
    <row r="10205" s="1" customFormat="1" spans="1:3">
      <c r="A10205" s="6"/>
      <c r="B10205" s="6"/>
      <c r="C10205" s="6"/>
    </row>
    <row r="10206" s="1" customFormat="1" spans="1:3">
      <c r="A10206" s="6"/>
      <c r="B10206" s="6"/>
      <c r="C10206" s="6"/>
    </row>
    <row r="10207" s="1" customFormat="1" spans="1:3">
      <c r="A10207" s="6"/>
      <c r="B10207" s="6"/>
      <c r="C10207" s="6"/>
    </row>
    <row r="10208" s="1" customFormat="1" spans="1:3">
      <c r="A10208" s="6"/>
      <c r="B10208" s="6"/>
      <c r="C10208" s="6"/>
    </row>
    <row r="10209" s="1" customFormat="1" spans="1:3">
      <c r="A10209" s="6"/>
      <c r="B10209" s="6"/>
      <c r="C10209" s="6"/>
    </row>
    <row r="10210" s="1" customFormat="1" spans="1:3">
      <c r="A10210" s="6"/>
      <c r="B10210" s="6"/>
      <c r="C10210" s="6"/>
    </row>
    <row r="10211" s="1" customFormat="1" spans="1:3">
      <c r="A10211" s="6"/>
      <c r="B10211" s="6"/>
      <c r="C10211" s="6"/>
    </row>
    <row r="10212" s="1" customFormat="1" spans="1:3">
      <c r="A10212" s="6"/>
      <c r="B10212" s="6"/>
      <c r="C10212" s="6"/>
    </row>
    <row r="10213" s="1" customFormat="1" spans="1:3">
      <c r="A10213" s="6"/>
      <c r="B10213" s="6"/>
      <c r="C10213" s="6"/>
    </row>
    <row r="10214" s="1" customFormat="1" spans="1:3">
      <c r="A10214" s="6"/>
      <c r="B10214" s="6"/>
      <c r="C10214" s="6"/>
    </row>
    <row r="10215" s="1" customFormat="1" spans="1:3">
      <c r="A10215" s="6"/>
      <c r="B10215" s="6"/>
      <c r="C10215" s="6"/>
    </row>
    <row r="10216" s="1" customFormat="1" spans="1:3">
      <c r="A10216" s="6"/>
      <c r="B10216" s="6"/>
      <c r="C10216" s="6"/>
    </row>
    <row r="10217" s="1" customFormat="1" spans="1:3">
      <c r="A10217" s="6"/>
      <c r="B10217" s="6"/>
      <c r="C10217" s="6"/>
    </row>
    <row r="10218" s="1" customFormat="1" spans="1:3">
      <c r="A10218" s="6"/>
      <c r="B10218" s="6"/>
      <c r="C10218" s="6"/>
    </row>
    <row r="10219" s="1" customFormat="1" spans="1:3">
      <c r="A10219" s="6"/>
      <c r="B10219" s="6"/>
      <c r="C10219" s="6"/>
    </row>
    <row r="10220" s="1" customFormat="1" spans="1:3">
      <c r="A10220" s="6"/>
      <c r="B10220" s="6"/>
      <c r="C10220" s="6"/>
    </row>
    <row r="10221" s="1" customFormat="1" spans="1:3">
      <c r="A10221" s="6"/>
      <c r="B10221" s="6"/>
      <c r="C10221" s="6"/>
    </row>
    <row r="10222" s="1" customFormat="1" spans="1:3">
      <c r="A10222" s="6"/>
      <c r="B10222" s="6"/>
      <c r="C10222" s="6"/>
    </row>
    <row r="10223" s="1" customFormat="1" spans="1:3">
      <c r="A10223" s="6"/>
      <c r="B10223" s="6"/>
      <c r="C10223" s="6"/>
    </row>
    <row r="10224" s="1" customFormat="1" spans="1:3">
      <c r="A10224" s="6"/>
      <c r="B10224" s="6"/>
      <c r="C10224" s="6"/>
    </row>
    <row r="10225" s="1" customFormat="1" spans="1:3">
      <c r="A10225" s="6"/>
      <c r="B10225" s="6"/>
      <c r="C10225" s="6"/>
    </row>
    <row r="10226" s="1" customFormat="1" spans="1:3">
      <c r="A10226" s="6"/>
      <c r="B10226" s="6"/>
      <c r="C10226" s="6"/>
    </row>
    <row r="10227" s="1" customFormat="1" spans="1:3">
      <c r="A10227" s="6"/>
      <c r="B10227" s="6"/>
      <c r="C10227" s="6"/>
    </row>
    <row r="10228" s="1" customFormat="1" spans="1:3">
      <c r="A10228" s="6"/>
      <c r="B10228" s="6"/>
      <c r="C10228" s="6"/>
    </row>
    <row r="10229" s="1" customFormat="1" spans="1:3">
      <c r="A10229" s="6"/>
      <c r="B10229" s="6"/>
      <c r="C10229" s="6"/>
    </row>
    <row r="10230" s="1" customFormat="1" spans="1:3">
      <c r="A10230" s="6"/>
      <c r="B10230" s="6"/>
      <c r="C10230" s="6"/>
    </row>
    <row r="10231" s="1" customFormat="1" spans="1:3">
      <c r="A10231" s="6"/>
      <c r="B10231" s="6"/>
      <c r="C10231" s="6"/>
    </row>
    <row r="10232" s="1" customFormat="1" spans="1:3">
      <c r="A10232" s="6"/>
      <c r="B10232" s="6"/>
      <c r="C10232" s="6"/>
    </row>
    <row r="10233" s="1" customFormat="1" spans="1:3">
      <c r="A10233" s="6"/>
      <c r="B10233" s="6"/>
      <c r="C10233" s="6"/>
    </row>
    <row r="10234" s="1" customFormat="1" spans="1:3">
      <c r="A10234" s="6"/>
      <c r="B10234" s="6"/>
      <c r="C10234" s="6"/>
    </row>
    <row r="10235" s="1" customFormat="1" spans="1:3">
      <c r="A10235" s="6"/>
      <c r="B10235" s="6"/>
      <c r="C10235" s="6"/>
    </row>
    <row r="10236" s="1" customFormat="1" spans="1:3">
      <c r="A10236" s="6"/>
      <c r="B10236" s="6"/>
      <c r="C10236" s="6"/>
    </row>
    <row r="10237" s="1" customFormat="1" spans="1:3">
      <c r="A10237" s="6"/>
      <c r="B10237" s="6"/>
      <c r="C10237" s="6"/>
    </row>
    <row r="10238" s="1" customFormat="1" spans="1:3">
      <c r="A10238" s="6"/>
      <c r="B10238" s="6"/>
      <c r="C10238" s="6"/>
    </row>
    <row r="10239" s="1" customFormat="1" spans="1:3">
      <c r="A10239" s="6"/>
      <c r="B10239" s="6"/>
      <c r="C10239" s="6"/>
    </row>
    <row r="10240" s="1" customFormat="1" spans="1:3">
      <c r="A10240" s="6"/>
      <c r="B10240" s="6"/>
      <c r="C10240" s="6"/>
    </row>
    <row r="10241" s="1" customFormat="1" spans="1:3">
      <c r="A10241" s="6"/>
      <c r="B10241" s="6"/>
      <c r="C10241" s="6"/>
    </row>
    <row r="10242" s="1" customFormat="1" spans="1:3">
      <c r="A10242" s="6"/>
      <c r="B10242" s="6"/>
      <c r="C10242" s="6"/>
    </row>
    <row r="10243" s="1" customFormat="1" spans="1:3">
      <c r="A10243" s="6"/>
      <c r="B10243" s="6"/>
      <c r="C10243" s="6"/>
    </row>
    <row r="10244" s="1" customFormat="1" spans="1:3">
      <c r="A10244" s="6"/>
      <c r="B10244" s="6"/>
      <c r="C10244" s="6"/>
    </row>
    <row r="10245" s="1" customFormat="1" spans="1:3">
      <c r="A10245" s="6"/>
      <c r="B10245" s="6"/>
      <c r="C10245" s="6"/>
    </row>
    <row r="10246" s="1" customFormat="1" spans="1:3">
      <c r="A10246" s="6"/>
      <c r="B10246" s="6"/>
      <c r="C10246" s="6"/>
    </row>
    <row r="10247" s="1" customFormat="1" spans="1:3">
      <c r="A10247" s="6"/>
      <c r="B10247" s="6"/>
      <c r="C10247" s="6"/>
    </row>
    <row r="10248" s="1" customFormat="1" spans="1:3">
      <c r="A10248" s="6"/>
      <c r="B10248" s="6"/>
      <c r="C10248" s="6"/>
    </row>
    <row r="10249" s="1" customFormat="1" spans="1:3">
      <c r="A10249" s="6"/>
      <c r="B10249" s="6"/>
      <c r="C10249" s="6"/>
    </row>
    <row r="10250" s="1" customFormat="1" spans="1:3">
      <c r="A10250" s="6"/>
      <c r="B10250" s="6"/>
      <c r="C10250" s="6"/>
    </row>
    <row r="10251" s="1" customFormat="1" spans="1:3">
      <c r="A10251" s="6"/>
      <c r="B10251" s="6"/>
      <c r="C10251" s="6"/>
    </row>
    <row r="10252" s="1" customFormat="1" spans="1:3">
      <c r="A10252" s="6"/>
      <c r="B10252" s="6"/>
      <c r="C10252" s="6"/>
    </row>
    <row r="10253" s="1" customFormat="1" spans="1:3">
      <c r="A10253" s="6"/>
      <c r="B10253" s="6"/>
      <c r="C10253" s="6"/>
    </row>
    <row r="10254" s="1" customFormat="1" spans="1:3">
      <c r="A10254" s="6"/>
      <c r="B10254" s="6"/>
      <c r="C10254" s="6"/>
    </row>
    <row r="10255" s="1" customFormat="1" spans="1:3">
      <c r="A10255" s="6"/>
      <c r="B10255" s="6"/>
      <c r="C10255" s="6"/>
    </row>
    <row r="10256" s="1" customFormat="1" spans="1:3">
      <c r="A10256" s="6"/>
      <c r="B10256" s="6"/>
      <c r="C10256" s="6"/>
    </row>
    <row r="10257" s="1" customFormat="1" spans="1:3">
      <c r="A10257" s="6"/>
      <c r="B10257" s="6"/>
      <c r="C10257" s="6"/>
    </row>
    <row r="10258" s="1" customFormat="1" spans="1:3">
      <c r="A10258" s="6"/>
      <c r="B10258" s="6"/>
      <c r="C10258" s="6"/>
    </row>
    <row r="10259" s="1" customFormat="1" spans="1:3">
      <c r="A10259" s="6"/>
      <c r="B10259" s="6"/>
      <c r="C10259" s="6"/>
    </row>
    <row r="10260" s="1" customFormat="1" spans="1:3">
      <c r="A10260" s="6"/>
      <c r="B10260" s="6"/>
      <c r="C10260" s="6"/>
    </row>
    <row r="10261" s="1" customFormat="1" spans="1:3">
      <c r="A10261" s="6"/>
      <c r="B10261" s="6"/>
      <c r="C10261" s="6"/>
    </row>
    <row r="10262" s="1" customFormat="1" spans="1:3">
      <c r="A10262" s="6"/>
      <c r="B10262" s="6"/>
      <c r="C10262" s="6"/>
    </row>
    <row r="10263" s="1" customFormat="1" spans="1:3">
      <c r="A10263" s="6"/>
      <c r="B10263" s="6"/>
      <c r="C10263" s="6"/>
    </row>
    <row r="10264" s="1" customFormat="1" spans="1:3">
      <c r="A10264" s="6"/>
      <c r="B10264" s="6"/>
      <c r="C10264" s="6"/>
    </row>
    <row r="10265" s="1" customFormat="1" spans="1:3">
      <c r="A10265" s="6"/>
      <c r="B10265" s="6"/>
      <c r="C10265" s="6"/>
    </row>
    <row r="10266" s="1" customFormat="1" spans="1:3">
      <c r="A10266" s="6"/>
      <c r="B10266" s="6"/>
      <c r="C10266" s="6"/>
    </row>
    <row r="10267" s="1" customFormat="1" spans="1:3">
      <c r="A10267" s="6"/>
      <c r="B10267" s="6"/>
      <c r="C10267" s="6"/>
    </row>
    <row r="10268" s="1" customFormat="1" spans="1:3">
      <c r="A10268" s="6"/>
      <c r="B10268" s="6"/>
      <c r="C10268" s="6"/>
    </row>
    <row r="10269" s="1" customFormat="1" spans="1:3">
      <c r="A10269" s="6"/>
      <c r="B10269" s="6"/>
      <c r="C10269" s="6"/>
    </row>
    <row r="10270" s="1" customFormat="1" spans="1:3">
      <c r="A10270" s="6"/>
      <c r="B10270" s="6"/>
      <c r="C10270" s="6"/>
    </row>
    <row r="10271" s="1" customFormat="1" spans="1:3">
      <c r="A10271" s="6"/>
      <c r="B10271" s="6"/>
      <c r="C10271" s="6"/>
    </row>
    <row r="10272" s="1" customFormat="1" spans="1:3">
      <c r="A10272" s="6"/>
      <c r="B10272" s="6"/>
      <c r="C10272" s="6"/>
    </row>
    <row r="10273" s="1" customFormat="1" spans="1:3">
      <c r="A10273" s="6"/>
      <c r="B10273" s="6"/>
      <c r="C10273" s="6"/>
    </row>
    <row r="10274" s="1" customFormat="1" spans="1:3">
      <c r="A10274" s="6"/>
      <c r="B10274" s="6"/>
      <c r="C10274" s="6"/>
    </row>
    <row r="10275" s="1" customFormat="1" spans="1:3">
      <c r="A10275" s="6"/>
      <c r="B10275" s="6"/>
      <c r="C10275" s="6"/>
    </row>
    <row r="10276" s="1" customFormat="1" spans="1:3">
      <c r="A10276" s="6"/>
      <c r="B10276" s="6"/>
      <c r="C10276" s="6"/>
    </row>
    <row r="10277" s="1" customFormat="1" spans="1:3">
      <c r="A10277" s="6"/>
      <c r="B10277" s="6"/>
      <c r="C10277" s="6"/>
    </row>
    <row r="10278" s="1" customFormat="1" spans="1:3">
      <c r="A10278" s="6"/>
      <c r="B10278" s="6"/>
      <c r="C10278" s="6"/>
    </row>
    <row r="10279" s="1" customFormat="1" spans="1:3">
      <c r="A10279" s="6"/>
      <c r="B10279" s="6"/>
      <c r="C10279" s="6"/>
    </row>
    <row r="10280" s="1" customFormat="1" spans="1:3">
      <c r="A10280" s="6"/>
      <c r="B10280" s="6"/>
      <c r="C10280" s="6"/>
    </row>
    <row r="10281" s="1" customFormat="1" spans="1:3">
      <c r="A10281" s="6"/>
      <c r="B10281" s="6"/>
      <c r="C10281" s="6"/>
    </row>
    <row r="10282" s="1" customFormat="1" spans="1:3">
      <c r="A10282" s="6"/>
      <c r="B10282" s="6"/>
      <c r="C10282" s="6"/>
    </row>
    <row r="10283" s="1" customFormat="1" spans="1:3">
      <c r="A10283" s="6"/>
      <c r="B10283" s="6"/>
      <c r="C10283" s="6"/>
    </row>
    <row r="10284" s="1" customFormat="1" spans="1:3">
      <c r="A10284" s="6"/>
      <c r="B10284" s="6"/>
      <c r="C10284" s="6"/>
    </row>
    <row r="10285" s="1" customFormat="1" spans="1:3">
      <c r="A10285" s="6"/>
      <c r="B10285" s="6"/>
      <c r="C10285" s="6"/>
    </row>
    <row r="10286" s="1" customFormat="1" spans="1:3">
      <c r="A10286" s="6"/>
      <c r="B10286" s="6"/>
      <c r="C10286" s="6"/>
    </row>
    <row r="10287" s="1" customFormat="1" spans="1:3">
      <c r="A10287" s="6"/>
      <c r="B10287" s="6"/>
      <c r="C10287" s="6"/>
    </row>
    <row r="10288" s="1" customFormat="1" spans="1:3">
      <c r="A10288" s="6"/>
      <c r="B10288" s="6"/>
      <c r="C10288" s="6"/>
    </row>
    <row r="10289" s="1" customFormat="1" spans="1:3">
      <c r="A10289" s="6"/>
      <c r="B10289" s="6"/>
      <c r="C10289" s="6"/>
    </row>
    <row r="10290" s="1" customFormat="1" spans="1:3">
      <c r="A10290" s="6"/>
      <c r="B10290" s="6"/>
      <c r="C10290" s="6"/>
    </row>
    <row r="10291" s="1" customFormat="1" spans="1:3">
      <c r="A10291" s="6"/>
      <c r="B10291" s="6"/>
      <c r="C10291" s="6"/>
    </row>
    <row r="10292" s="1" customFormat="1" spans="1:3">
      <c r="A10292" s="6"/>
      <c r="B10292" s="6"/>
      <c r="C10292" s="6"/>
    </row>
    <row r="10293" s="1" customFormat="1" spans="1:3">
      <c r="A10293" s="6"/>
      <c r="B10293" s="6"/>
      <c r="C10293" s="6"/>
    </row>
    <row r="10294" s="1" customFormat="1" spans="1:3">
      <c r="A10294" s="6"/>
      <c r="B10294" s="6"/>
      <c r="C10294" s="6"/>
    </row>
    <row r="10295" s="1" customFormat="1" spans="1:3">
      <c r="A10295" s="6"/>
      <c r="B10295" s="6"/>
      <c r="C10295" s="6"/>
    </row>
    <row r="10296" s="1" customFormat="1" spans="1:3">
      <c r="A10296" s="6"/>
      <c r="B10296" s="6"/>
      <c r="C10296" s="6"/>
    </row>
    <row r="10297" s="1" customFormat="1" spans="1:3">
      <c r="A10297" s="6"/>
      <c r="B10297" s="6"/>
      <c r="C10297" s="6"/>
    </row>
    <row r="10298" s="1" customFormat="1" spans="1:3">
      <c r="A10298" s="6"/>
      <c r="B10298" s="6"/>
      <c r="C10298" s="6"/>
    </row>
    <row r="10299" s="1" customFormat="1" spans="1:3">
      <c r="A10299" s="6"/>
      <c r="B10299" s="6"/>
      <c r="C10299" s="6"/>
    </row>
    <row r="10300" s="1" customFormat="1" spans="1:3">
      <c r="A10300" s="6"/>
      <c r="B10300" s="6"/>
      <c r="C10300" s="6"/>
    </row>
    <row r="10301" s="1" customFormat="1" spans="1:3">
      <c r="A10301" s="6"/>
      <c r="B10301" s="6"/>
      <c r="C10301" s="6"/>
    </row>
    <row r="10302" s="1" customFormat="1" spans="1:3">
      <c r="A10302" s="6"/>
      <c r="B10302" s="6"/>
      <c r="C10302" s="6"/>
    </row>
    <row r="10303" s="1" customFormat="1" spans="1:3">
      <c r="A10303" s="6"/>
      <c r="B10303" s="6"/>
      <c r="C10303" s="6"/>
    </row>
    <row r="10304" s="1" customFormat="1" spans="1:3">
      <c r="A10304" s="6"/>
      <c r="B10304" s="6"/>
      <c r="C10304" s="6"/>
    </row>
    <row r="10305" s="1" customFormat="1" spans="1:3">
      <c r="A10305" s="6"/>
      <c r="B10305" s="6"/>
      <c r="C10305" s="6"/>
    </row>
    <row r="10306" s="1" customFormat="1" spans="1:3">
      <c r="A10306" s="6"/>
      <c r="B10306" s="6"/>
      <c r="C10306" s="6"/>
    </row>
    <row r="10307" s="1" customFormat="1" spans="1:3">
      <c r="A10307" s="6"/>
      <c r="B10307" s="6"/>
      <c r="C10307" s="6"/>
    </row>
    <row r="10308" s="1" customFormat="1" spans="1:3">
      <c r="A10308" s="6"/>
      <c r="B10308" s="6"/>
      <c r="C10308" s="6"/>
    </row>
    <row r="10309" s="1" customFormat="1" spans="1:3">
      <c r="A10309" s="6"/>
      <c r="B10309" s="6"/>
      <c r="C10309" s="6"/>
    </row>
    <row r="10310" s="1" customFormat="1" spans="1:3">
      <c r="A10310" s="6"/>
      <c r="B10310" s="6"/>
      <c r="C10310" s="6"/>
    </row>
    <row r="10311" s="1" customFormat="1" spans="1:3">
      <c r="A10311" s="6"/>
      <c r="B10311" s="6"/>
      <c r="C10311" s="6"/>
    </row>
    <row r="10312" s="1" customFormat="1" spans="1:3">
      <c r="A10312" s="6"/>
      <c r="B10312" s="6"/>
      <c r="C10312" s="6"/>
    </row>
    <row r="10313" s="1" customFormat="1" spans="1:3">
      <c r="A10313" s="6"/>
      <c r="B10313" s="6"/>
      <c r="C10313" s="6"/>
    </row>
    <row r="10314" s="1" customFormat="1" spans="1:3">
      <c r="A10314" s="6"/>
      <c r="B10314" s="6"/>
      <c r="C10314" s="6"/>
    </row>
    <row r="10315" s="1" customFormat="1" spans="1:3">
      <c r="A10315" s="6"/>
      <c r="B10315" s="6"/>
      <c r="C10315" s="6"/>
    </row>
    <row r="10316" s="1" customFormat="1" spans="1:3">
      <c r="A10316" s="6"/>
      <c r="B10316" s="6"/>
      <c r="C10316" s="6"/>
    </row>
    <row r="10317" s="1" customFormat="1" spans="1:3">
      <c r="A10317" s="6"/>
      <c r="B10317" s="6"/>
      <c r="C10317" s="6"/>
    </row>
    <row r="10318" s="1" customFormat="1" spans="1:3">
      <c r="A10318" s="6"/>
      <c r="B10318" s="6"/>
      <c r="C10318" s="6"/>
    </row>
    <row r="10319" s="1" customFormat="1" spans="1:3">
      <c r="A10319" s="6"/>
      <c r="B10319" s="6"/>
      <c r="C10319" s="6"/>
    </row>
    <row r="10320" s="1" customFormat="1" spans="1:3">
      <c r="A10320" s="6"/>
      <c r="B10320" s="6"/>
      <c r="C10320" s="6"/>
    </row>
    <row r="10321" s="1" customFormat="1" spans="1:3">
      <c r="A10321" s="6"/>
      <c r="B10321" s="6"/>
      <c r="C10321" s="6"/>
    </row>
    <row r="10322" s="1" customFormat="1" spans="1:3">
      <c r="A10322" s="6"/>
      <c r="B10322" s="6"/>
      <c r="C10322" s="6"/>
    </row>
    <row r="10323" s="1" customFormat="1" spans="1:3">
      <c r="A10323" s="6"/>
      <c r="B10323" s="6"/>
      <c r="C10323" s="6"/>
    </row>
    <row r="10324" s="1" customFormat="1" spans="1:3">
      <c r="A10324" s="6"/>
      <c r="B10324" s="6"/>
      <c r="C10324" s="6"/>
    </row>
    <row r="10325" s="1" customFormat="1" spans="1:3">
      <c r="A10325" s="6"/>
      <c r="B10325" s="6"/>
      <c r="C10325" s="6"/>
    </row>
    <row r="10326" s="1" customFormat="1" spans="1:3">
      <c r="A10326" s="6"/>
      <c r="B10326" s="6"/>
      <c r="C10326" s="6"/>
    </row>
    <row r="10327" s="1" customFormat="1" spans="1:3">
      <c r="A10327" s="6"/>
      <c r="B10327" s="6"/>
      <c r="C10327" s="6"/>
    </row>
    <row r="10328" s="1" customFormat="1" spans="1:3">
      <c r="A10328" s="6"/>
      <c r="B10328" s="6"/>
      <c r="C10328" s="6"/>
    </row>
    <row r="10329" s="1" customFormat="1" spans="1:3">
      <c r="A10329" s="6"/>
      <c r="B10329" s="6"/>
      <c r="C10329" s="6"/>
    </row>
    <row r="10330" s="1" customFormat="1" spans="1:3">
      <c r="A10330" s="6"/>
      <c r="B10330" s="6"/>
      <c r="C10330" s="6"/>
    </row>
    <row r="10331" s="1" customFormat="1" spans="1:3">
      <c r="A10331" s="6"/>
      <c r="B10331" s="6"/>
      <c r="C10331" s="6"/>
    </row>
    <row r="10332" s="1" customFormat="1" spans="1:3">
      <c r="A10332" s="6"/>
      <c r="B10332" s="6"/>
      <c r="C10332" s="6"/>
    </row>
    <row r="10333" s="1" customFormat="1" spans="1:3">
      <c r="A10333" s="6"/>
      <c r="B10333" s="6"/>
      <c r="C10333" s="6"/>
    </row>
    <row r="10334" s="1" customFormat="1" spans="1:3">
      <c r="A10334" s="6"/>
      <c r="B10334" s="6"/>
      <c r="C10334" s="6"/>
    </row>
    <row r="10335" s="1" customFormat="1" spans="1:3">
      <c r="A10335" s="6"/>
      <c r="B10335" s="6"/>
      <c r="C10335" s="6"/>
    </row>
    <row r="10336" s="1" customFormat="1" spans="1:3">
      <c r="A10336" s="6"/>
      <c r="B10336" s="6"/>
      <c r="C10336" s="6"/>
    </row>
    <row r="10337" s="1" customFormat="1" spans="1:3">
      <c r="A10337" s="6"/>
      <c r="B10337" s="6"/>
      <c r="C10337" s="6"/>
    </row>
    <row r="10338" s="1" customFormat="1" spans="1:3">
      <c r="A10338" s="6"/>
      <c r="B10338" s="6"/>
      <c r="C10338" s="6"/>
    </row>
    <row r="10339" s="1" customFormat="1" spans="1:3">
      <c r="A10339" s="6"/>
      <c r="B10339" s="6"/>
      <c r="C10339" s="6"/>
    </row>
    <row r="10340" s="1" customFormat="1" spans="1:3">
      <c r="A10340" s="6"/>
      <c r="B10340" s="6"/>
      <c r="C10340" s="6"/>
    </row>
    <row r="10341" s="1" customFormat="1" spans="1:3">
      <c r="A10341" s="6"/>
      <c r="B10341" s="6"/>
      <c r="C10341" s="6"/>
    </row>
    <row r="10342" s="1" customFormat="1" spans="1:3">
      <c r="A10342" s="6"/>
      <c r="B10342" s="6"/>
      <c r="C10342" s="6"/>
    </row>
    <row r="10343" s="1" customFormat="1" spans="1:3">
      <c r="A10343" s="6"/>
      <c r="B10343" s="6"/>
      <c r="C10343" s="6"/>
    </row>
    <row r="10344" s="1" customFormat="1" spans="1:3">
      <c r="A10344" s="6"/>
      <c r="B10344" s="6"/>
      <c r="C10344" s="6"/>
    </row>
    <row r="10345" s="1" customFormat="1" spans="1:3">
      <c r="A10345" s="6"/>
      <c r="B10345" s="6"/>
      <c r="C10345" s="6"/>
    </row>
    <row r="10346" s="1" customFormat="1" spans="1:3">
      <c r="A10346" s="6"/>
      <c r="B10346" s="6"/>
      <c r="C10346" s="6"/>
    </row>
    <row r="10347" s="1" customFormat="1" spans="1:3">
      <c r="A10347" s="6"/>
      <c r="B10347" s="6"/>
      <c r="C10347" s="6"/>
    </row>
    <row r="10348" s="1" customFormat="1" spans="1:3">
      <c r="A10348" s="6"/>
      <c r="B10348" s="6"/>
      <c r="C10348" s="6"/>
    </row>
    <row r="10349" s="1" customFormat="1" spans="1:3">
      <c r="A10349" s="6"/>
      <c r="B10349" s="6"/>
      <c r="C10349" s="6"/>
    </row>
    <row r="10350" s="1" customFormat="1" spans="1:3">
      <c r="A10350" s="6"/>
      <c r="B10350" s="6"/>
      <c r="C10350" s="6"/>
    </row>
    <row r="10351" s="1" customFormat="1" spans="1:3">
      <c r="A10351" s="6"/>
      <c r="B10351" s="6"/>
      <c r="C10351" s="6"/>
    </row>
    <row r="10352" s="1" customFormat="1" spans="1:3">
      <c r="A10352" s="6"/>
      <c r="B10352" s="6"/>
      <c r="C10352" s="6"/>
    </row>
    <row r="10353" s="1" customFormat="1" spans="1:3">
      <c r="A10353" s="6"/>
      <c r="B10353" s="6"/>
      <c r="C10353" s="6"/>
    </row>
    <row r="10354" s="1" customFormat="1" spans="1:3">
      <c r="A10354" s="6"/>
      <c r="B10354" s="6"/>
      <c r="C10354" s="6"/>
    </row>
    <row r="10355" s="1" customFormat="1" spans="1:3">
      <c r="A10355" s="6"/>
      <c r="B10355" s="6"/>
      <c r="C10355" s="6"/>
    </row>
    <row r="10356" s="1" customFormat="1" spans="1:3">
      <c r="A10356" s="6"/>
      <c r="B10356" s="6"/>
      <c r="C10356" s="6"/>
    </row>
    <row r="10357" s="1" customFormat="1" spans="1:3">
      <c r="A10357" s="6"/>
      <c r="B10357" s="6"/>
      <c r="C10357" s="6"/>
    </row>
    <row r="10358" s="1" customFormat="1" spans="1:3">
      <c r="A10358" s="6"/>
      <c r="B10358" s="6"/>
      <c r="C10358" s="6"/>
    </row>
    <row r="10359" s="1" customFormat="1" spans="1:3">
      <c r="A10359" s="6"/>
      <c r="B10359" s="6"/>
      <c r="C10359" s="6"/>
    </row>
    <row r="10360" s="1" customFormat="1" spans="1:3">
      <c r="A10360" s="6"/>
      <c r="B10360" s="6"/>
      <c r="C10360" s="6"/>
    </row>
    <row r="10361" s="1" customFormat="1" spans="1:3">
      <c r="A10361" s="6"/>
      <c r="B10361" s="6"/>
      <c r="C10361" s="6"/>
    </row>
    <row r="10362" s="1" customFormat="1" spans="1:3">
      <c r="A10362" s="6"/>
      <c r="B10362" s="6"/>
      <c r="C10362" s="6"/>
    </row>
    <row r="10363" s="1" customFormat="1" spans="1:3">
      <c r="A10363" s="6"/>
      <c r="B10363" s="6"/>
      <c r="C10363" s="6"/>
    </row>
    <row r="10364" s="1" customFormat="1" spans="1:3">
      <c r="A10364" s="6"/>
      <c r="B10364" s="6"/>
      <c r="C10364" s="6"/>
    </row>
    <row r="10365" s="1" customFormat="1" spans="1:3">
      <c r="A10365" s="6"/>
      <c r="B10365" s="6"/>
      <c r="C10365" s="6"/>
    </row>
    <row r="10366" s="1" customFormat="1" spans="1:3">
      <c r="A10366" s="6"/>
      <c r="B10366" s="6"/>
      <c r="C10366" s="6"/>
    </row>
    <row r="10367" s="1" customFormat="1" spans="1:3">
      <c r="A10367" s="6"/>
      <c r="B10367" s="6"/>
      <c r="C10367" s="6"/>
    </row>
    <row r="10368" s="1" customFormat="1" spans="1:3">
      <c r="A10368" s="6"/>
      <c r="B10368" s="6"/>
      <c r="C10368" s="6"/>
    </row>
    <row r="10369" s="1" customFormat="1" spans="1:3">
      <c r="A10369" s="6"/>
      <c r="B10369" s="6"/>
      <c r="C10369" s="6"/>
    </row>
    <row r="10370" s="1" customFormat="1" spans="1:3">
      <c r="A10370" s="6"/>
      <c r="B10370" s="6"/>
      <c r="C10370" s="6"/>
    </row>
    <row r="10371" s="1" customFormat="1" spans="1:3">
      <c r="A10371" s="6"/>
      <c r="B10371" s="6"/>
      <c r="C10371" s="6"/>
    </row>
    <row r="10372" s="1" customFormat="1" spans="1:3">
      <c r="A10372" s="6"/>
      <c r="B10372" s="6"/>
      <c r="C10372" s="6"/>
    </row>
    <row r="10373" s="1" customFormat="1" spans="1:3">
      <c r="A10373" s="6"/>
      <c r="B10373" s="6"/>
      <c r="C10373" s="6"/>
    </row>
    <row r="10374" s="1" customFormat="1" spans="1:3">
      <c r="A10374" s="6"/>
      <c r="B10374" s="6"/>
      <c r="C10374" s="6"/>
    </row>
    <row r="10375" s="1" customFormat="1" spans="1:3">
      <c r="A10375" s="6"/>
      <c r="B10375" s="6"/>
      <c r="C10375" s="6"/>
    </row>
    <row r="10376" s="1" customFormat="1" spans="1:3">
      <c r="A10376" s="6"/>
      <c r="B10376" s="6"/>
      <c r="C10376" s="6"/>
    </row>
    <row r="10377" s="1" customFormat="1" spans="1:3">
      <c r="A10377" s="6"/>
      <c r="B10377" s="6"/>
      <c r="C10377" s="6"/>
    </row>
    <row r="10378" s="1" customFormat="1" spans="1:3">
      <c r="A10378" s="6"/>
      <c r="B10378" s="6"/>
      <c r="C10378" s="6"/>
    </row>
    <row r="10379" s="1" customFormat="1" spans="1:3">
      <c r="A10379" s="6"/>
      <c r="B10379" s="6"/>
      <c r="C10379" s="6"/>
    </row>
    <row r="10380" s="1" customFormat="1" spans="1:3">
      <c r="A10380" s="6"/>
      <c r="B10380" s="6"/>
      <c r="C10380" s="6"/>
    </row>
    <row r="10381" s="1" customFormat="1" spans="1:3">
      <c r="A10381" s="6"/>
      <c r="B10381" s="6"/>
      <c r="C10381" s="6"/>
    </row>
    <row r="10382" s="1" customFormat="1" spans="1:3">
      <c r="A10382" s="6"/>
      <c r="B10382" s="6"/>
      <c r="C10382" s="6"/>
    </row>
    <row r="10383" s="1" customFormat="1" spans="1:3">
      <c r="A10383" s="6"/>
      <c r="B10383" s="6"/>
      <c r="C10383" s="6"/>
    </row>
    <row r="10384" s="1" customFormat="1" spans="1:3">
      <c r="A10384" s="6"/>
      <c r="B10384" s="6"/>
      <c r="C10384" s="6"/>
    </row>
    <row r="10385" s="1" customFormat="1" spans="1:3">
      <c r="A10385" s="6"/>
      <c r="B10385" s="6"/>
      <c r="C10385" s="6"/>
    </row>
    <row r="10386" s="1" customFormat="1" spans="1:3">
      <c r="A10386" s="6"/>
      <c r="B10386" s="6"/>
      <c r="C10386" s="6"/>
    </row>
    <row r="10387" s="1" customFormat="1" spans="1:3">
      <c r="A10387" s="6"/>
      <c r="B10387" s="6"/>
      <c r="C10387" s="6"/>
    </row>
    <row r="10388" s="1" customFormat="1" spans="1:3">
      <c r="A10388" s="6"/>
      <c r="B10388" s="6"/>
      <c r="C10388" s="6"/>
    </row>
    <row r="10389" s="1" customFormat="1" spans="1:3">
      <c r="A10389" s="6"/>
      <c r="B10389" s="6"/>
      <c r="C10389" s="6"/>
    </row>
    <row r="10390" s="1" customFormat="1" spans="1:3">
      <c r="A10390" s="6"/>
      <c r="B10390" s="6"/>
      <c r="C10390" s="6"/>
    </row>
    <row r="10391" s="1" customFormat="1" spans="1:3">
      <c r="A10391" s="6"/>
      <c r="B10391" s="6"/>
      <c r="C10391" s="6"/>
    </row>
    <row r="10392" s="1" customFormat="1" spans="1:3">
      <c r="A10392" s="6"/>
      <c r="B10392" s="6"/>
      <c r="C10392" s="6"/>
    </row>
    <row r="10393" s="1" customFormat="1" spans="1:3">
      <c r="A10393" s="6"/>
      <c r="B10393" s="6"/>
      <c r="C10393" s="6"/>
    </row>
    <row r="10394" s="1" customFormat="1" spans="1:3">
      <c r="A10394" s="6"/>
      <c r="B10394" s="6"/>
      <c r="C10394" s="6"/>
    </row>
    <row r="10395" s="1" customFormat="1" spans="1:3">
      <c r="A10395" s="6"/>
      <c r="B10395" s="6"/>
      <c r="C10395" s="6"/>
    </row>
    <row r="10396" s="1" customFormat="1" spans="1:3">
      <c r="A10396" s="6"/>
      <c r="B10396" s="6"/>
      <c r="C10396" s="6"/>
    </row>
    <row r="10397" s="1" customFormat="1" spans="1:3">
      <c r="A10397" s="6"/>
      <c r="B10397" s="6"/>
      <c r="C10397" s="6"/>
    </row>
    <row r="10398" s="1" customFormat="1" spans="1:3">
      <c r="A10398" s="6"/>
      <c r="B10398" s="6"/>
      <c r="C10398" s="6"/>
    </row>
    <row r="10399" s="1" customFormat="1" spans="1:3">
      <c r="A10399" s="6"/>
      <c r="B10399" s="6"/>
      <c r="C10399" s="6"/>
    </row>
    <row r="10400" s="1" customFormat="1" spans="1:3">
      <c r="A10400" s="6"/>
      <c r="B10400" s="6"/>
      <c r="C10400" s="6"/>
    </row>
    <row r="10401" s="1" customFormat="1" spans="1:3">
      <c r="A10401" s="6"/>
      <c r="B10401" s="6"/>
      <c r="C10401" s="6"/>
    </row>
    <row r="10402" s="1" customFormat="1" spans="1:3">
      <c r="A10402" s="6"/>
      <c r="B10402" s="6"/>
      <c r="C10402" s="6"/>
    </row>
    <row r="10403" s="1" customFormat="1" spans="1:3">
      <c r="A10403" s="6"/>
      <c r="B10403" s="6"/>
      <c r="C10403" s="6"/>
    </row>
    <row r="10404" s="1" customFormat="1" spans="1:3">
      <c r="A10404" s="6"/>
      <c r="B10404" s="6"/>
      <c r="C10404" s="6"/>
    </row>
    <row r="10405" s="1" customFormat="1" spans="1:3">
      <c r="A10405" s="6"/>
      <c r="B10405" s="6"/>
      <c r="C10405" s="6"/>
    </row>
    <row r="10406" s="1" customFormat="1" spans="1:3">
      <c r="A10406" s="6"/>
      <c r="B10406" s="6"/>
      <c r="C10406" s="6"/>
    </row>
    <row r="10407" s="1" customFormat="1" spans="1:3">
      <c r="A10407" s="6"/>
      <c r="B10407" s="6"/>
      <c r="C10407" s="6"/>
    </row>
    <row r="10408" s="1" customFormat="1" spans="1:3">
      <c r="A10408" s="6"/>
      <c r="B10408" s="6"/>
      <c r="C10408" s="6"/>
    </row>
    <row r="10409" s="1" customFormat="1" spans="1:3">
      <c r="A10409" s="6"/>
      <c r="B10409" s="6"/>
      <c r="C10409" s="6"/>
    </row>
    <row r="10410" s="1" customFormat="1" spans="1:3">
      <c r="A10410" s="6"/>
      <c r="B10410" s="6"/>
      <c r="C10410" s="6"/>
    </row>
    <row r="10411" s="1" customFormat="1" spans="1:3">
      <c r="A10411" s="6"/>
      <c r="B10411" s="6"/>
      <c r="C10411" s="6"/>
    </row>
    <row r="10412" s="1" customFormat="1" spans="1:3">
      <c r="A10412" s="6"/>
      <c r="B10412" s="6"/>
      <c r="C10412" s="6"/>
    </row>
    <row r="10413" s="1" customFormat="1" spans="1:3">
      <c r="A10413" s="6"/>
      <c r="B10413" s="6"/>
      <c r="C10413" s="6"/>
    </row>
    <row r="10414" s="1" customFormat="1" spans="1:3">
      <c r="A10414" s="6"/>
      <c r="B10414" s="6"/>
      <c r="C10414" s="6"/>
    </row>
    <row r="10415" s="1" customFormat="1" spans="1:3">
      <c r="A10415" s="6"/>
      <c r="B10415" s="6"/>
      <c r="C10415" s="6"/>
    </row>
    <row r="10416" s="1" customFormat="1" spans="1:3">
      <c r="A10416" s="6"/>
      <c r="B10416" s="6"/>
      <c r="C10416" s="6"/>
    </row>
    <row r="10417" s="1" customFormat="1" spans="1:3">
      <c r="A10417" s="6"/>
      <c r="B10417" s="6"/>
      <c r="C10417" s="6"/>
    </row>
    <row r="10418" s="1" customFormat="1" spans="1:3">
      <c r="A10418" s="6"/>
      <c r="B10418" s="6"/>
      <c r="C10418" s="6"/>
    </row>
    <row r="10419" s="1" customFormat="1" spans="1:3">
      <c r="A10419" s="6"/>
      <c r="B10419" s="6"/>
      <c r="C10419" s="6"/>
    </row>
    <row r="10420" s="1" customFormat="1" spans="1:3">
      <c r="A10420" s="6"/>
      <c r="B10420" s="6"/>
      <c r="C10420" s="6"/>
    </row>
    <row r="10421" s="1" customFormat="1" spans="1:3">
      <c r="A10421" s="6"/>
      <c r="B10421" s="6"/>
      <c r="C10421" s="6"/>
    </row>
    <row r="10422" s="1" customFormat="1" spans="1:3">
      <c r="A10422" s="6"/>
      <c r="B10422" s="6"/>
      <c r="C10422" s="6"/>
    </row>
    <row r="10423" s="1" customFormat="1" spans="1:3">
      <c r="A10423" s="6"/>
      <c r="B10423" s="6"/>
      <c r="C10423" s="6"/>
    </row>
    <row r="10424" s="1" customFormat="1" spans="1:3">
      <c r="A10424" s="6"/>
      <c r="B10424" s="6"/>
      <c r="C10424" s="6"/>
    </row>
    <row r="10425" s="1" customFormat="1" spans="1:3">
      <c r="A10425" s="6"/>
      <c r="B10425" s="6"/>
      <c r="C10425" s="6"/>
    </row>
    <row r="10426" s="1" customFormat="1" spans="1:3">
      <c r="A10426" s="6"/>
      <c r="B10426" s="6"/>
      <c r="C10426" s="6"/>
    </row>
    <row r="10427" s="1" customFormat="1" spans="1:3">
      <c r="A10427" s="6"/>
      <c r="B10427" s="6"/>
      <c r="C10427" s="6"/>
    </row>
    <row r="10428" s="1" customFormat="1" spans="1:3">
      <c r="A10428" s="6"/>
      <c r="B10428" s="6"/>
      <c r="C10428" s="6"/>
    </row>
    <row r="10429" s="1" customFormat="1" spans="1:3">
      <c r="A10429" s="6"/>
      <c r="B10429" s="6"/>
      <c r="C10429" s="6"/>
    </row>
    <row r="10430" s="1" customFormat="1" spans="1:3">
      <c r="A10430" s="6"/>
      <c r="B10430" s="6"/>
      <c r="C10430" s="6"/>
    </row>
    <row r="10431" s="1" customFormat="1" spans="1:3">
      <c r="A10431" s="6"/>
      <c r="B10431" s="6"/>
      <c r="C10431" s="6"/>
    </row>
    <row r="10432" s="1" customFormat="1" spans="1:3">
      <c r="A10432" s="6"/>
      <c r="B10432" s="6"/>
      <c r="C10432" s="6"/>
    </row>
    <row r="10433" s="1" customFormat="1" spans="1:3">
      <c r="A10433" s="6"/>
      <c r="B10433" s="6"/>
      <c r="C10433" s="6"/>
    </row>
    <row r="10434" s="1" customFormat="1" spans="1:3">
      <c r="A10434" s="6"/>
      <c r="B10434" s="6"/>
      <c r="C10434" s="6"/>
    </row>
    <row r="10435" s="1" customFormat="1" spans="1:3">
      <c r="A10435" s="6"/>
      <c r="B10435" s="6"/>
      <c r="C10435" s="6"/>
    </row>
    <row r="10436" s="1" customFormat="1" spans="1:3">
      <c r="A10436" s="6"/>
      <c r="B10436" s="6"/>
      <c r="C10436" s="6"/>
    </row>
    <row r="10437" s="1" customFormat="1" spans="1:3">
      <c r="A10437" s="6"/>
      <c r="B10437" s="6"/>
      <c r="C10437" s="6"/>
    </row>
    <row r="10438" s="1" customFormat="1" spans="1:3">
      <c r="A10438" s="6"/>
      <c r="B10438" s="6"/>
      <c r="C10438" s="6"/>
    </row>
    <row r="10439" s="1" customFormat="1" spans="1:3">
      <c r="A10439" s="6"/>
      <c r="B10439" s="6"/>
      <c r="C10439" s="6"/>
    </row>
    <row r="10440" s="1" customFormat="1" spans="1:3">
      <c r="A10440" s="6"/>
      <c r="B10440" s="6"/>
      <c r="C10440" s="6"/>
    </row>
    <row r="10441" s="1" customFormat="1" spans="1:3">
      <c r="A10441" s="6"/>
      <c r="B10441" s="6"/>
      <c r="C10441" s="6"/>
    </row>
    <row r="10442" s="1" customFormat="1" spans="1:3">
      <c r="A10442" s="6"/>
      <c r="B10442" s="6"/>
      <c r="C10442" s="6"/>
    </row>
    <row r="10443" s="1" customFormat="1" spans="1:3">
      <c r="A10443" s="6"/>
      <c r="B10443" s="6"/>
      <c r="C10443" s="6"/>
    </row>
    <row r="10444" s="1" customFormat="1" spans="1:3">
      <c r="A10444" s="6"/>
      <c r="B10444" s="6"/>
      <c r="C10444" s="6"/>
    </row>
    <row r="10445" s="1" customFormat="1" spans="1:3">
      <c r="A10445" s="6"/>
      <c r="B10445" s="6"/>
      <c r="C10445" s="6"/>
    </row>
    <row r="10446" s="1" customFormat="1" spans="1:3">
      <c r="A10446" s="6"/>
      <c r="B10446" s="6"/>
      <c r="C10446" s="6"/>
    </row>
    <row r="10447" s="1" customFormat="1" spans="1:3">
      <c r="A10447" s="6"/>
      <c r="B10447" s="6"/>
      <c r="C10447" s="6"/>
    </row>
    <row r="10448" s="1" customFormat="1" spans="1:3">
      <c r="A10448" s="6"/>
      <c r="B10448" s="6"/>
      <c r="C10448" s="6"/>
    </row>
    <row r="10449" s="1" customFormat="1" spans="1:3">
      <c r="A10449" s="6"/>
      <c r="B10449" s="6"/>
      <c r="C10449" s="6"/>
    </row>
    <row r="10450" s="1" customFormat="1" spans="1:3">
      <c r="A10450" s="6"/>
      <c r="B10450" s="6"/>
      <c r="C10450" s="6"/>
    </row>
    <row r="10451" s="1" customFormat="1" spans="1:3">
      <c r="A10451" s="6"/>
      <c r="B10451" s="6"/>
      <c r="C10451" s="6"/>
    </row>
    <row r="10452" s="1" customFormat="1" spans="1:3">
      <c r="A10452" s="6"/>
      <c r="B10452" s="6"/>
      <c r="C10452" s="6"/>
    </row>
    <row r="10453" s="1" customFormat="1" spans="1:3">
      <c r="A10453" s="6"/>
      <c r="B10453" s="6"/>
      <c r="C10453" s="6"/>
    </row>
    <row r="10454" s="1" customFormat="1" spans="1:3">
      <c r="A10454" s="6"/>
      <c r="B10454" s="6"/>
      <c r="C10454" s="6"/>
    </row>
    <row r="10455" s="1" customFormat="1" spans="1:3">
      <c r="A10455" s="6"/>
      <c r="B10455" s="6"/>
      <c r="C10455" s="6"/>
    </row>
    <row r="10456" s="1" customFormat="1" spans="1:3">
      <c r="A10456" s="6"/>
      <c r="B10456" s="6"/>
      <c r="C10456" s="6"/>
    </row>
    <row r="10457" s="1" customFormat="1" spans="1:3">
      <c r="A10457" s="6"/>
      <c r="B10457" s="6"/>
      <c r="C10457" s="6"/>
    </row>
    <row r="10458" s="1" customFormat="1" spans="1:3">
      <c r="A10458" s="6"/>
      <c r="B10458" s="6"/>
      <c r="C10458" s="6"/>
    </row>
    <row r="10459" s="1" customFormat="1" spans="1:3">
      <c r="A10459" s="6"/>
      <c r="B10459" s="6"/>
      <c r="C10459" s="6"/>
    </row>
    <row r="10460" s="1" customFormat="1" spans="1:3">
      <c r="A10460" s="6"/>
      <c r="B10460" s="6"/>
      <c r="C10460" s="6"/>
    </row>
    <row r="10461" s="1" customFormat="1" spans="1:3">
      <c r="A10461" s="6"/>
      <c r="B10461" s="6"/>
      <c r="C10461" s="6"/>
    </row>
    <row r="10462" s="1" customFormat="1" spans="1:3">
      <c r="A10462" s="6"/>
      <c r="B10462" s="6"/>
      <c r="C10462" s="6"/>
    </row>
    <row r="10463" s="1" customFormat="1" spans="1:3">
      <c r="A10463" s="6"/>
      <c r="B10463" s="6"/>
      <c r="C10463" s="6"/>
    </row>
    <row r="10464" s="1" customFormat="1" spans="1:3">
      <c r="A10464" s="6"/>
      <c r="B10464" s="6"/>
      <c r="C10464" s="6"/>
    </row>
    <row r="10465" s="1" customFormat="1" spans="1:3">
      <c r="A10465" s="6"/>
      <c r="B10465" s="6"/>
      <c r="C10465" s="6"/>
    </row>
    <row r="10466" s="1" customFormat="1" spans="1:3">
      <c r="A10466" s="6"/>
      <c r="B10466" s="6"/>
      <c r="C10466" s="6"/>
    </row>
    <row r="10467" s="1" customFormat="1" spans="1:3">
      <c r="A10467" s="6"/>
      <c r="B10467" s="6"/>
      <c r="C10467" s="6"/>
    </row>
    <row r="10468" s="1" customFormat="1" spans="1:3">
      <c r="A10468" s="6"/>
      <c r="B10468" s="6"/>
      <c r="C10468" s="6"/>
    </row>
    <row r="10469" s="1" customFormat="1" spans="1:3">
      <c r="A10469" s="6"/>
      <c r="B10469" s="6"/>
      <c r="C10469" s="6"/>
    </row>
    <row r="10470" s="1" customFormat="1" spans="1:3">
      <c r="A10470" s="6"/>
      <c r="B10470" s="6"/>
      <c r="C10470" s="6"/>
    </row>
    <row r="10471" s="1" customFormat="1" spans="1:3">
      <c r="A10471" s="6"/>
      <c r="B10471" s="6"/>
      <c r="C10471" s="6"/>
    </row>
    <row r="10472" s="1" customFormat="1" spans="1:3">
      <c r="A10472" s="6"/>
      <c r="B10472" s="6"/>
      <c r="C10472" s="6"/>
    </row>
    <row r="10473" s="1" customFormat="1" spans="1:3">
      <c r="A10473" s="6"/>
      <c r="B10473" s="6"/>
      <c r="C10473" s="6"/>
    </row>
    <row r="10474" s="1" customFormat="1" spans="1:3">
      <c r="A10474" s="6"/>
      <c r="B10474" s="6"/>
      <c r="C10474" s="6"/>
    </row>
    <row r="10475" s="1" customFormat="1" spans="1:3">
      <c r="A10475" s="6"/>
      <c r="B10475" s="6"/>
      <c r="C10475" s="6"/>
    </row>
    <row r="10476" s="1" customFormat="1" spans="1:3">
      <c r="A10476" s="6"/>
      <c r="B10476" s="6"/>
      <c r="C10476" s="6"/>
    </row>
    <row r="10477" s="1" customFormat="1" spans="1:3">
      <c r="A10477" s="6"/>
      <c r="B10477" s="6"/>
      <c r="C10477" s="6"/>
    </row>
    <row r="10478" s="1" customFormat="1" spans="1:3">
      <c r="A10478" s="6"/>
      <c r="B10478" s="6"/>
      <c r="C10478" s="6"/>
    </row>
    <row r="10479" s="1" customFormat="1" spans="1:3">
      <c r="A10479" s="6"/>
      <c r="B10479" s="6"/>
      <c r="C10479" s="6"/>
    </row>
    <row r="10480" s="1" customFormat="1" spans="1:3">
      <c r="A10480" s="6"/>
      <c r="B10480" s="6"/>
      <c r="C10480" s="6"/>
    </row>
    <row r="10481" s="1" customFormat="1" spans="1:3">
      <c r="A10481" s="6"/>
      <c r="B10481" s="6"/>
      <c r="C10481" s="6"/>
    </row>
    <row r="10482" s="1" customFormat="1" spans="1:3">
      <c r="A10482" s="6"/>
      <c r="B10482" s="6"/>
      <c r="C10482" s="6"/>
    </row>
    <row r="10483" s="1" customFormat="1" spans="1:3">
      <c r="A10483" s="6"/>
      <c r="B10483" s="6"/>
      <c r="C10483" s="6"/>
    </row>
    <row r="10484" s="1" customFormat="1" spans="1:3">
      <c r="A10484" s="6"/>
      <c r="B10484" s="6"/>
      <c r="C10484" s="6"/>
    </row>
    <row r="10485" s="1" customFormat="1" spans="1:3">
      <c r="A10485" s="6"/>
      <c r="B10485" s="6"/>
      <c r="C10485" s="6"/>
    </row>
    <row r="10486" s="1" customFormat="1" spans="1:3">
      <c r="A10486" s="6"/>
      <c r="B10486" s="6"/>
      <c r="C10486" s="6"/>
    </row>
    <row r="10487" s="1" customFormat="1" spans="1:3">
      <c r="A10487" s="6"/>
      <c r="B10487" s="6"/>
      <c r="C10487" s="6"/>
    </row>
    <row r="10488" s="1" customFormat="1" spans="1:3">
      <c r="A10488" s="6"/>
      <c r="B10488" s="6"/>
      <c r="C10488" s="6"/>
    </row>
    <row r="10489" s="1" customFormat="1" spans="1:3">
      <c r="A10489" s="6"/>
      <c r="B10489" s="6"/>
      <c r="C10489" s="6"/>
    </row>
    <row r="10490" s="1" customFormat="1" spans="1:3">
      <c r="A10490" s="6"/>
      <c r="B10490" s="6"/>
      <c r="C10490" s="6"/>
    </row>
    <row r="10491" s="1" customFormat="1" spans="1:3">
      <c r="A10491" s="6"/>
      <c r="B10491" s="6"/>
      <c r="C10491" s="6"/>
    </row>
    <row r="10492" s="1" customFormat="1" spans="1:3">
      <c r="A10492" s="6"/>
      <c r="B10492" s="6"/>
      <c r="C10492" s="6"/>
    </row>
    <row r="10493" s="1" customFormat="1" spans="1:3">
      <c r="A10493" s="6"/>
      <c r="B10493" s="6"/>
      <c r="C10493" s="6"/>
    </row>
    <row r="10494" s="1" customFormat="1" spans="1:3">
      <c r="A10494" s="6"/>
      <c r="B10494" s="6"/>
      <c r="C10494" s="6"/>
    </row>
    <row r="10495" s="1" customFormat="1" spans="1:3">
      <c r="A10495" s="6"/>
      <c r="B10495" s="6"/>
      <c r="C10495" s="6"/>
    </row>
    <row r="10496" s="1" customFormat="1" spans="1:3">
      <c r="A10496" s="6"/>
      <c r="B10496" s="6"/>
      <c r="C10496" s="6"/>
    </row>
    <row r="10497" s="1" customFormat="1" spans="1:3">
      <c r="A10497" s="6"/>
      <c r="B10497" s="6"/>
      <c r="C10497" s="6"/>
    </row>
    <row r="10498" s="1" customFormat="1" spans="1:3">
      <c r="A10498" s="6"/>
      <c r="B10498" s="6"/>
      <c r="C10498" s="6"/>
    </row>
    <row r="10499" s="1" customFormat="1" spans="1:3">
      <c r="A10499" s="6"/>
      <c r="B10499" s="6"/>
      <c r="C10499" s="6"/>
    </row>
    <row r="10500" s="1" customFormat="1" spans="1:3">
      <c r="A10500" s="6"/>
      <c r="B10500" s="6"/>
      <c r="C10500" s="6"/>
    </row>
    <row r="10501" s="1" customFormat="1" spans="1:3">
      <c r="A10501" s="6"/>
      <c r="B10501" s="6"/>
      <c r="C10501" s="6"/>
    </row>
    <row r="10502" s="1" customFormat="1" spans="1:3">
      <c r="A10502" s="6"/>
      <c r="B10502" s="6"/>
      <c r="C10502" s="6"/>
    </row>
    <row r="10503" s="1" customFormat="1" spans="1:3">
      <c r="A10503" s="6"/>
      <c r="B10503" s="6"/>
      <c r="C10503" s="6"/>
    </row>
    <row r="10504" s="1" customFormat="1" spans="1:3">
      <c r="A10504" s="6"/>
      <c r="B10504" s="6"/>
      <c r="C10504" s="6"/>
    </row>
    <row r="10505" s="1" customFormat="1" spans="1:3">
      <c r="A10505" s="6"/>
      <c r="B10505" s="6"/>
      <c r="C10505" s="6"/>
    </row>
    <row r="10506" s="1" customFormat="1" spans="1:3">
      <c r="A10506" s="6"/>
      <c r="B10506" s="6"/>
      <c r="C10506" s="6"/>
    </row>
    <row r="10507" s="1" customFormat="1" spans="1:3">
      <c r="A10507" s="6"/>
      <c r="B10507" s="6"/>
      <c r="C10507" s="6"/>
    </row>
    <row r="10508" s="1" customFormat="1" spans="1:3">
      <c r="A10508" s="6"/>
      <c r="B10508" s="6"/>
      <c r="C10508" s="6"/>
    </row>
    <row r="10509" s="1" customFormat="1" spans="1:3">
      <c r="A10509" s="6"/>
      <c r="B10509" s="6"/>
      <c r="C10509" s="6"/>
    </row>
    <row r="10510" s="1" customFormat="1" spans="1:3">
      <c r="A10510" s="6"/>
      <c r="B10510" s="6"/>
      <c r="C10510" s="6"/>
    </row>
    <row r="10511" s="1" customFormat="1" spans="1:3">
      <c r="A10511" s="6"/>
      <c r="B10511" s="6"/>
      <c r="C10511" s="6"/>
    </row>
    <row r="10512" s="1" customFormat="1" spans="1:3">
      <c r="A10512" s="6"/>
      <c r="B10512" s="6"/>
      <c r="C10512" s="6"/>
    </row>
    <row r="10513" s="1" customFormat="1" spans="1:3">
      <c r="A10513" s="6"/>
      <c r="B10513" s="6"/>
      <c r="C10513" s="6"/>
    </row>
    <row r="10514" s="1" customFormat="1" spans="1:3">
      <c r="A10514" s="6"/>
      <c r="B10514" s="6"/>
      <c r="C10514" s="6"/>
    </row>
    <row r="10515" s="1" customFormat="1" spans="1:3">
      <c r="A10515" s="6"/>
      <c r="B10515" s="6"/>
      <c r="C10515" s="6"/>
    </row>
    <row r="10516" s="1" customFormat="1" spans="1:3">
      <c r="A10516" s="6"/>
      <c r="B10516" s="6"/>
      <c r="C10516" s="6"/>
    </row>
    <row r="10517" s="1" customFormat="1" spans="1:3">
      <c r="A10517" s="6"/>
      <c r="B10517" s="6"/>
      <c r="C10517" s="6"/>
    </row>
    <row r="10518" s="1" customFormat="1" spans="1:3">
      <c r="A10518" s="6"/>
      <c r="B10518" s="6"/>
      <c r="C10518" s="6"/>
    </row>
    <row r="10519" s="1" customFormat="1" spans="1:3">
      <c r="A10519" s="6"/>
      <c r="B10519" s="6"/>
      <c r="C10519" s="6"/>
    </row>
    <row r="10520" s="1" customFormat="1" spans="1:3">
      <c r="A10520" s="6"/>
      <c r="B10520" s="6"/>
      <c r="C10520" s="6"/>
    </row>
    <row r="10521" s="1" customFormat="1" spans="1:3">
      <c r="A10521" s="6"/>
      <c r="B10521" s="6"/>
      <c r="C10521" s="6"/>
    </row>
    <row r="10522" s="1" customFormat="1" spans="1:3">
      <c r="A10522" s="6"/>
      <c r="B10522" s="6"/>
      <c r="C10522" s="6"/>
    </row>
    <row r="10523" s="1" customFormat="1" spans="1:3">
      <c r="A10523" s="6"/>
      <c r="B10523" s="6"/>
      <c r="C10523" s="6"/>
    </row>
    <row r="10524" s="1" customFormat="1" spans="1:3">
      <c r="A10524" s="6"/>
      <c r="B10524" s="6"/>
      <c r="C10524" s="6"/>
    </row>
    <row r="10525" s="1" customFormat="1" spans="1:3">
      <c r="A10525" s="6"/>
      <c r="B10525" s="6"/>
      <c r="C10525" s="6"/>
    </row>
    <row r="10526" s="1" customFormat="1" spans="1:3">
      <c r="A10526" s="6"/>
      <c r="B10526" s="6"/>
      <c r="C10526" s="6"/>
    </row>
    <row r="10527" s="1" customFormat="1" spans="1:3">
      <c r="A10527" s="6"/>
      <c r="B10527" s="6"/>
      <c r="C10527" s="6"/>
    </row>
    <row r="10528" s="1" customFormat="1" spans="1:3">
      <c r="A10528" s="6"/>
      <c r="B10528" s="6"/>
      <c r="C10528" s="6"/>
    </row>
    <row r="10529" s="1" customFormat="1" spans="1:3">
      <c r="A10529" s="6"/>
      <c r="B10529" s="6"/>
      <c r="C10529" s="6"/>
    </row>
    <row r="10530" s="1" customFormat="1" spans="1:3">
      <c r="A10530" s="6"/>
      <c r="B10530" s="6"/>
      <c r="C10530" s="6"/>
    </row>
    <row r="10531" s="1" customFormat="1" spans="1:3">
      <c r="A10531" s="6"/>
      <c r="B10531" s="6"/>
      <c r="C10531" s="6"/>
    </row>
    <row r="10532" s="1" customFormat="1" spans="1:3">
      <c r="A10532" s="6"/>
      <c r="B10532" s="6"/>
      <c r="C10532" s="6"/>
    </row>
    <row r="10533" s="1" customFormat="1" spans="1:3">
      <c r="A10533" s="6"/>
      <c r="B10533" s="6"/>
      <c r="C10533" s="6"/>
    </row>
    <row r="10534" s="1" customFormat="1" spans="1:3">
      <c r="A10534" s="6"/>
      <c r="B10534" s="6"/>
      <c r="C10534" s="6"/>
    </row>
    <row r="10535" s="1" customFormat="1" spans="1:3">
      <c r="A10535" s="6"/>
      <c r="B10535" s="6"/>
      <c r="C10535" s="6"/>
    </row>
    <row r="10536" s="1" customFormat="1" spans="1:3">
      <c r="A10536" s="6"/>
      <c r="B10536" s="6"/>
      <c r="C10536" s="6"/>
    </row>
    <row r="10537" s="1" customFormat="1" spans="1:3">
      <c r="A10537" s="6"/>
      <c r="B10537" s="6"/>
      <c r="C10537" s="6"/>
    </row>
    <row r="10538" s="1" customFormat="1" spans="1:3">
      <c r="A10538" s="6"/>
      <c r="B10538" s="6"/>
      <c r="C10538" s="6"/>
    </row>
    <row r="10539" s="1" customFormat="1" spans="1:3">
      <c r="A10539" s="6"/>
      <c r="B10539" s="6"/>
      <c r="C10539" s="6"/>
    </row>
    <row r="10540" s="1" customFormat="1" spans="1:3">
      <c r="A10540" s="6"/>
      <c r="B10540" s="6"/>
      <c r="C10540" s="6"/>
    </row>
    <row r="10541" s="1" customFormat="1" spans="1:3">
      <c r="A10541" s="6"/>
      <c r="B10541" s="6"/>
      <c r="C10541" s="6"/>
    </row>
    <row r="10542" s="1" customFormat="1" spans="1:3">
      <c r="A10542" s="6"/>
      <c r="B10542" s="6"/>
      <c r="C10542" s="6"/>
    </row>
    <row r="10543" s="1" customFormat="1" spans="1:3">
      <c r="A10543" s="6"/>
      <c r="B10543" s="6"/>
      <c r="C10543" s="6"/>
    </row>
    <row r="10544" s="1" customFormat="1" spans="1:3">
      <c r="A10544" s="6"/>
      <c r="B10544" s="6"/>
      <c r="C10544" s="6"/>
    </row>
    <row r="10545" s="1" customFormat="1" spans="1:3">
      <c r="A10545" s="6"/>
      <c r="B10545" s="6"/>
      <c r="C10545" s="6"/>
    </row>
    <row r="10546" s="1" customFormat="1" spans="1:3">
      <c r="A10546" s="6"/>
      <c r="B10546" s="6"/>
      <c r="C10546" s="6"/>
    </row>
    <row r="10547" s="1" customFormat="1" spans="1:3">
      <c r="A10547" s="6"/>
      <c r="B10547" s="6"/>
      <c r="C10547" s="6"/>
    </row>
    <row r="10548" s="1" customFormat="1" spans="1:3">
      <c r="A10548" s="6"/>
      <c r="B10548" s="6"/>
      <c r="C10548" s="6"/>
    </row>
    <row r="10549" s="1" customFormat="1" spans="1:3">
      <c r="A10549" s="6"/>
      <c r="B10549" s="6"/>
      <c r="C10549" s="6"/>
    </row>
    <row r="10550" s="1" customFormat="1" spans="1:3">
      <c r="A10550" s="6"/>
      <c r="B10550" s="6"/>
      <c r="C10550" s="6"/>
    </row>
    <row r="10551" s="1" customFormat="1" spans="1:3">
      <c r="A10551" s="6"/>
      <c r="B10551" s="6"/>
      <c r="C10551" s="6"/>
    </row>
    <row r="10552" s="1" customFormat="1" spans="1:3">
      <c r="A10552" s="6"/>
      <c r="B10552" s="6"/>
      <c r="C10552" s="6"/>
    </row>
    <row r="10553" s="1" customFormat="1" spans="1:3">
      <c r="A10553" s="6"/>
      <c r="B10553" s="6"/>
      <c r="C10553" s="6"/>
    </row>
    <row r="10554" s="1" customFormat="1" spans="1:3">
      <c r="A10554" s="6"/>
      <c r="B10554" s="6"/>
      <c r="C10554" s="6"/>
    </row>
    <row r="10555" s="1" customFormat="1" spans="1:3">
      <c r="A10555" s="6"/>
      <c r="B10555" s="6"/>
      <c r="C10555" s="6"/>
    </row>
    <row r="10556" s="1" customFormat="1" spans="1:3">
      <c r="A10556" s="6"/>
      <c r="B10556" s="6"/>
      <c r="C10556" s="6"/>
    </row>
    <row r="10557" s="1" customFormat="1" spans="1:3">
      <c r="A10557" s="6"/>
      <c r="B10557" s="6"/>
      <c r="C10557" s="6"/>
    </row>
    <row r="10558" s="1" customFormat="1" spans="1:3">
      <c r="A10558" s="6"/>
      <c r="B10558" s="6"/>
      <c r="C10558" s="6"/>
    </row>
    <row r="10559" s="1" customFormat="1" spans="1:3">
      <c r="A10559" s="6"/>
      <c r="B10559" s="6"/>
      <c r="C10559" s="6"/>
    </row>
    <row r="10560" s="1" customFormat="1" spans="1:3">
      <c r="A10560" s="6"/>
      <c r="B10560" s="6"/>
      <c r="C10560" s="6"/>
    </row>
    <row r="10561" s="1" customFormat="1" spans="1:3">
      <c r="A10561" s="6"/>
      <c r="B10561" s="6"/>
      <c r="C10561" s="6"/>
    </row>
    <row r="10562" s="1" customFormat="1" spans="1:3">
      <c r="A10562" s="6"/>
      <c r="B10562" s="6"/>
      <c r="C10562" s="6"/>
    </row>
    <row r="10563" s="1" customFormat="1" spans="1:3">
      <c r="A10563" s="6"/>
      <c r="B10563" s="6"/>
      <c r="C10563" s="6"/>
    </row>
    <row r="10564" s="1" customFormat="1" spans="1:3">
      <c r="A10564" s="6"/>
      <c r="B10564" s="6"/>
      <c r="C10564" s="6"/>
    </row>
    <row r="10565" s="1" customFormat="1" spans="1:3">
      <c r="A10565" s="6"/>
      <c r="B10565" s="6"/>
      <c r="C10565" s="6"/>
    </row>
    <row r="10566" s="1" customFormat="1" spans="1:3">
      <c r="A10566" s="6"/>
      <c r="B10566" s="6"/>
      <c r="C10566" s="6"/>
    </row>
    <row r="10567" s="1" customFormat="1" spans="1:3">
      <c r="A10567" s="6"/>
      <c r="B10567" s="6"/>
      <c r="C10567" s="6"/>
    </row>
    <row r="10568" s="1" customFormat="1" spans="1:3">
      <c r="A10568" s="6"/>
      <c r="B10568" s="6"/>
      <c r="C10568" s="6"/>
    </row>
    <row r="10569" s="1" customFormat="1" spans="1:3">
      <c r="A10569" s="6"/>
      <c r="B10569" s="6"/>
      <c r="C10569" s="6"/>
    </row>
    <row r="10570" s="1" customFormat="1" spans="1:3">
      <c r="A10570" s="6"/>
      <c r="B10570" s="6"/>
      <c r="C10570" s="6"/>
    </row>
    <row r="10571" s="1" customFormat="1" spans="1:3">
      <c r="A10571" s="6"/>
      <c r="B10571" s="6"/>
      <c r="C10571" s="6"/>
    </row>
    <row r="10572" s="1" customFormat="1" spans="1:3">
      <c r="A10572" s="6"/>
      <c r="B10572" s="6"/>
      <c r="C10572" s="6"/>
    </row>
    <row r="10573" s="1" customFormat="1" spans="1:3">
      <c r="A10573" s="6"/>
      <c r="B10573" s="6"/>
      <c r="C10573" s="6"/>
    </row>
    <row r="10574" s="1" customFormat="1" spans="1:3">
      <c r="A10574" s="6"/>
      <c r="B10574" s="6"/>
      <c r="C10574" s="6"/>
    </row>
    <row r="10575" s="1" customFormat="1" spans="1:3">
      <c r="A10575" s="6"/>
      <c r="B10575" s="6"/>
      <c r="C10575" s="6"/>
    </row>
    <row r="10576" s="1" customFormat="1" spans="1:3">
      <c r="A10576" s="6"/>
      <c r="B10576" s="6"/>
      <c r="C10576" s="6"/>
    </row>
    <row r="10577" s="1" customFormat="1" spans="1:3">
      <c r="A10577" s="6"/>
      <c r="B10577" s="6"/>
      <c r="C10577" s="6"/>
    </row>
    <row r="10578" s="1" customFormat="1" spans="1:3">
      <c r="A10578" s="6"/>
      <c r="B10578" s="6"/>
      <c r="C10578" s="6"/>
    </row>
    <row r="10579" s="1" customFormat="1" spans="1:3">
      <c r="A10579" s="6"/>
      <c r="B10579" s="6"/>
      <c r="C10579" s="6"/>
    </row>
    <row r="10580" s="1" customFormat="1" spans="1:3">
      <c r="A10580" s="6"/>
      <c r="B10580" s="6"/>
      <c r="C10580" s="6"/>
    </row>
    <row r="10581" s="1" customFormat="1" spans="1:3">
      <c r="A10581" s="6"/>
      <c r="B10581" s="6"/>
      <c r="C10581" s="6"/>
    </row>
    <row r="10582" s="1" customFormat="1" spans="1:3">
      <c r="A10582" s="6"/>
      <c r="B10582" s="6"/>
      <c r="C10582" s="6"/>
    </row>
    <row r="10583" s="1" customFormat="1" spans="1:3">
      <c r="A10583" s="6"/>
      <c r="B10583" s="6"/>
      <c r="C10583" s="6"/>
    </row>
    <row r="10584" s="1" customFormat="1" spans="1:3">
      <c r="A10584" s="6"/>
      <c r="B10584" s="6"/>
      <c r="C10584" s="6"/>
    </row>
    <row r="10585" s="1" customFormat="1" spans="1:3">
      <c r="A10585" s="6"/>
      <c r="B10585" s="6"/>
      <c r="C10585" s="6"/>
    </row>
    <row r="10586" s="1" customFormat="1" spans="1:3">
      <c r="A10586" s="6"/>
      <c r="B10586" s="6"/>
      <c r="C10586" s="6"/>
    </row>
    <row r="10587" s="1" customFormat="1" spans="1:3">
      <c r="A10587" s="6"/>
      <c r="B10587" s="6"/>
      <c r="C10587" s="6"/>
    </row>
    <row r="10588" s="1" customFormat="1" spans="1:3">
      <c r="A10588" s="6"/>
      <c r="B10588" s="6"/>
      <c r="C10588" s="6"/>
    </row>
    <row r="10589" s="1" customFormat="1" spans="1:3">
      <c r="A10589" s="6"/>
      <c r="B10589" s="6"/>
      <c r="C10589" s="6"/>
    </row>
    <row r="10590" s="1" customFormat="1" spans="1:3">
      <c r="A10590" s="6"/>
      <c r="B10590" s="6"/>
      <c r="C10590" s="6"/>
    </row>
    <row r="10591" s="1" customFormat="1" spans="1:3">
      <c r="A10591" s="6"/>
      <c r="B10591" s="6"/>
      <c r="C10591" s="6"/>
    </row>
    <row r="10592" s="1" customFormat="1" spans="1:3">
      <c r="A10592" s="6"/>
      <c r="B10592" s="6"/>
      <c r="C10592" s="6"/>
    </row>
    <row r="10593" s="1" customFormat="1" spans="1:3">
      <c r="A10593" s="6"/>
      <c r="B10593" s="6"/>
      <c r="C10593" s="6"/>
    </row>
    <row r="10594" s="1" customFormat="1" spans="1:3">
      <c r="A10594" s="6"/>
      <c r="B10594" s="6"/>
      <c r="C10594" s="6"/>
    </row>
    <row r="10595" s="1" customFormat="1" spans="1:3">
      <c r="A10595" s="6"/>
      <c r="B10595" s="6"/>
      <c r="C10595" s="6"/>
    </row>
    <row r="10596" s="1" customFormat="1" spans="1:3">
      <c r="A10596" s="6"/>
      <c r="B10596" s="6"/>
      <c r="C10596" s="6"/>
    </row>
    <row r="10597" s="1" customFormat="1" spans="1:3">
      <c r="A10597" s="6"/>
      <c r="B10597" s="6"/>
      <c r="C10597" s="6"/>
    </row>
    <row r="10598" s="1" customFormat="1" spans="1:3">
      <c r="A10598" s="6"/>
      <c r="B10598" s="6"/>
      <c r="C10598" s="6"/>
    </row>
    <row r="10599" s="1" customFormat="1" spans="1:3">
      <c r="A10599" s="6"/>
      <c r="B10599" s="6"/>
      <c r="C10599" s="6"/>
    </row>
    <row r="10600" s="1" customFormat="1" spans="1:3">
      <c r="A10600" s="6"/>
      <c r="B10600" s="6"/>
      <c r="C10600" s="6"/>
    </row>
    <row r="10601" s="1" customFormat="1" spans="1:3">
      <c r="A10601" s="6"/>
      <c r="B10601" s="6"/>
      <c r="C10601" s="6"/>
    </row>
    <row r="10602" s="1" customFormat="1" spans="1:3">
      <c r="A10602" s="6"/>
      <c r="B10602" s="6"/>
      <c r="C10602" s="6"/>
    </row>
    <row r="10603" s="1" customFormat="1" spans="1:3">
      <c r="A10603" s="6"/>
      <c r="B10603" s="6"/>
      <c r="C10603" s="6"/>
    </row>
    <row r="10604" s="1" customFormat="1" spans="1:3">
      <c r="A10604" s="6"/>
      <c r="B10604" s="6"/>
      <c r="C10604" s="6"/>
    </row>
    <row r="10605" s="1" customFormat="1" spans="1:3">
      <c r="A10605" s="6"/>
      <c r="B10605" s="6"/>
      <c r="C10605" s="6"/>
    </row>
    <row r="10606" s="1" customFormat="1" spans="1:3">
      <c r="A10606" s="6"/>
      <c r="B10606" s="6"/>
      <c r="C10606" s="6"/>
    </row>
    <row r="10607" s="1" customFormat="1" spans="1:3">
      <c r="A10607" s="6"/>
      <c r="B10607" s="6"/>
      <c r="C10607" s="6"/>
    </row>
    <row r="10608" s="1" customFormat="1" spans="1:3">
      <c r="A10608" s="6"/>
      <c r="B10608" s="6"/>
      <c r="C10608" s="6"/>
    </row>
    <row r="10609" s="1" customFormat="1" spans="1:3">
      <c r="A10609" s="6"/>
      <c r="B10609" s="6"/>
      <c r="C10609" s="6"/>
    </row>
    <row r="10610" s="1" customFormat="1" spans="1:3">
      <c r="A10610" s="6"/>
      <c r="B10610" s="6"/>
      <c r="C10610" s="6"/>
    </row>
    <row r="10611" s="1" customFormat="1" spans="1:3">
      <c r="A10611" s="6"/>
      <c r="B10611" s="6"/>
      <c r="C10611" s="6"/>
    </row>
    <row r="10612" s="1" customFormat="1" spans="1:3">
      <c r="A10612" s="6"/>
      <c r="B10612" s="6"/>
      <c r="C10612" s="6"/>
    </row>
    <row r="10613" s="1" customFormat="1" spans="1:3">
      <c r="A10613" s="6"/>
      <c r="B10613" s="6"/>
      <c r="C10613" s="6"/>
    </row>
    <row r="10614" s="1" customFormat="1" spans="1:3">
      <c r="A10614" s="6"/>
      <c r="B10614" s="6"/>
      <c r="C10614" s="6"/>
    </row>
    <row r="10615" s="1" customFormat="1" spans="1:3">
      <c r="A10615" s="6"/>
      <c r="B10615" s="6"/>
      <c r="C10615" s="6"/>
    </row>
    <row r="10616" s="1" customFormat="1" spans="1:3">
      <c r="A10616" s="6"/>
      <c r="B10616" s="6"/>
      <c r="C10616" s="6"/>
    </row>
    <row r="10617" s="1" customFormat="1" spans="1:3">
      <c r="A10617" s="6"/>
      <c r="B10617" s="6"/>
      <c r="C10617" s="6"/>
    </row>
    <row r="10618" s="1" customFormat="1" spans="1:3">
      <c r="A10618" s="6"/>
      <c r="B10618" s="6"/>
      <c r="C10618" s="6"/>
    </row>
    <row r="10619" s="1" customFormat="1" spans="1:3">
      <c r="A10619" s="6"/>
      <c r="B10619" s="6"/>
      <c r="C10619" s="6"/>
    </row>
    <row r="10620" s="1" customFormat="1" spans="1:3">
      <c r="A10620" s="6"/>
      <c r="B10620" s="6"/>
      <c r="C10620" s="6"/>
    </row>
    <row r="10621" s="1" customFormat="1" spans="1:3">
      <c r="A10621" s="6"/>
      <c r="B10621" s="6"/>
      <c r="C10621" s="6"/>
    </row>
    <row r="10622" s="1" customFormat="1" spans="1:3">
      <c r="A10622" s="6"/>
      <c r="B10622" s="6"/>
      <c r="C10622" s="6"/>
    </row>
    <row r="10623" s="1" customFormat="1" spans="1:3">
      <c r="A10623" s="6"/>
      <c r="B10623" s="6"/>
      <c r="C10623" s="6"/>
    </row>
    <row r="10624" s="1" customFormat="1" spans="1:3">
      <c r="A10624" s="6"/>
      <c r="B10624" s="6"/>
      <c r="C10624" s="6"/>
    </row>
    <row r="10625" s="1" customFormat="1" spans="1:3">
      <c r="A10625" s="6"/>
      <c r="B10625" s="6"/>
      <c r="C10625" s="6"/>
    </row>
    <row r="10626" s="1" customFormat="1" spans="1:3">
      <c r="A10626" s="6"/>
      <c r="B10626" s="6"/>
      <c r="C10626" s="6"/>
    </row>
    <row r="10627" s="1" customFormat="1" spans="1:3">
      <c r="A10627" s="6"/>
      <c r="B10627" s="6"/>
      <c r="C10627" s="6"/>
    </row>
    <row r="10628" s="1" customFormat="1" spans="1:3">
      <c r="A10628" s="6"/>
      <c r="B10628" s="6"/>
      <c r="C10628" s="6"/>
    </row>
    <row r="10629" s="1" customFormat="1" spans="1:3">
      <c r="A10629" s="6"/>
      <c r="B10629" s="6"/>
      <c r="C10629" s="6"/>
    </row>
    <row r="10630" s="1" customFormat="1" spans="1:3">
      <c r="A10630" s="6"/>
      <c r="B10630" s="6"/>
      <c r="C10630" s="6"/>
    </row>
    <row r="10631" s="1" customFormat="1" spans="1:3">
      <c r="A10631" s="6"/>
      <c r="B10631" s="6"/>
      <c r="C10631" s="6"/>
    </row>
    <row r="10632" s="1" customFormat="1" spans="1:3">
      <c r="A10632" s="6"/>
      <c r="B10632" s="6"/>
      <c r="C10632" s="6"/>
    </row>
    <row r="10633" s="1" customFormat="1" spans="1:3">
      <c r="A10633" s="6"/>
      <c r="B10633" s="6"/>
      <c r="C10633" s="6"/>
    </row>
    <row r="10634" s="1" customFormat="1" spans="1:3">
      <c r="A10634" s="6"/>
      <c r="B10634" s="6"/>
      <c r="C10634" s="6"/>
    </row>
    <row r="10635" s="1" customFormat="1" spans="1:3">
      <c r="A10635" s="6"/>
      <c r="B10635" s="6"/>
      <c r="C10635" s="6"/>
    </row>
    <row r="10636" s="1" customFormat="1" spans="1:3">
      <c r="A10636" s="6"/>
      <c r="B10636" s="6"/>
      <c r="C10636" s="6"/>
    </row>
    <row r="10637" s="1" customFormat="1" spans="1:3">
      <c r="A10637" s="6"/>
      <c r="B10637" s="6"/>
      <c r="C10637" s="6"/>
    </row>
    <row r="10638" s="1" customFormat="1" spans="1:3">
      <c r="A10638" s="6"/>
      <c r="B10638" s="6"/>
      <c r="C10638" s="6"/>
    </row>
    <row r="10639" s="1" customFormat="1" spans="1:3">
      <c r="A10639" s="6"/>
      <c r="B10639" s="6"/>
      <c r="C10639" s="6"/>
    </row>
    <row r="10640" s="1" customFormat="1" spans="1:3">
      <c r="A10640" s="6"/>
      <c r="B10640" s="6"/>
      <c r="C10640" s="6"/>
    </row>
    <row r="10641" s="1" customFormat="1" spans="1:3">
      <c r="A10641" s="6"/>
      <c r="B10641" s="6"/>
      <c r="C10641" s="6"/>
    </row>
    <row r="10642" s="1" customFormat="1" spans="1:3">
      <c r="A10642" s="6"/>
      <c r="B10642" s="6"/>
      <c r="C10642" s="6"/>
    </row>
    <row r="10643" s="1" customFormat="1" spans="1:3">
      <c r="A10643" s="6"/>
      <c r="B10643" s="6"/>
      <c r="C10643" s="6"/>
    </row>
    <row r="10644" s="1" customFormat="1" spans="1:3">
      <c r="A10644" s="6"/>
      <c r="B10644" s="6"/>
      <c r="C10644" s="6"/>
    </row>
    <row r="10645" s="1" customFormat="1" spans="1:3">
      <c r="A10645" s="6"/>
      <c r="B10645" s="6"/>
      <c r="C10645" s="6"/>
    </row>
    <row r="10646" s="1" customFormat="1" spans="1:3">
      <c r="A10646" s="6"/>
      <c r="B10646" s="6"/>
      <c r="C10646" s="6"/>
    </row>
    <row r="10647" s="1" customFormat="1" spans="1:3">
      <c r="A10647" s="6"/>
      <c r="B10647" s="6"/>
      <c r="C10647" s="6"/>
    </row>
    <row r="10648" s="1" customFormat="1" spans="1:3">
      <c r="A10648" s="6"/>
      <c r="B10648" s="6"/>
      <c r="C10648" s="6"/>
    </row>
    <row r="10649" s="1" customFormat="1" spans="1:3">
      <c r="A10649" s="6"/>
      <c r="B10649" s="6"/>
      <c r="C10649" s="6"/>
    </row>
    <row r="10650" s="1" customFormat="1" spans="1:3">
      <c r="A10650" s="6"/>
      <c r="B10650" s="6"/>
      <c r="C10650" s="6"/>
    </row>
    <row r="10651" s="1" customFormat="1" spans="1:3">
      <c r="A10651" s="6"/>
      <c r="B10651" s="6"/>
      <c r="C10651" s="6"/>
    </row>
    <row r="10652" s="1" customFormat="1" spans="1:3">
      <c r="A10652" s="6"/>
      <c r="B10652" s="6"/>
      <c r="C10652" s="6"/>
    </row>
    <row r="10653" s="1" customFormat="1" spans="1:3">
      <c r="A10653" s="6"/>
      <c r="B10653" s="6"/>
      <c r="C10653" s="6"/>
    </row>
    <row r="10654" s="1" customFormat="1" spans="1:3">
      <c r="A10654" s="6"/>
      <c r="B10654" s="6"/>
      <c r="C10654" s="6"/>
    </row>
    <row r="10655" s="1" customFormat="1" spans="1:3">
      <c r="A10655" s="6"/>
      <c r="B10655" s="6"/>
      <c r="C10655" s="6"/>
    </row>
    <row r="10656" s="1" customFormat="1" spans="1:3">
      <c r="A10656" s="6"/>
      <c r="B10656" s="6"/>
      <c r="C10656" s="6"/>
    </row>
    <row r="10657" s="1" customFormat="1" spans="1:3">
      <c r="A10657" s="6"/>
      <c r="B10657" s="6"/>
      <c r="C10657" s="6"/>
    </row>
    <row r="10658" s="1" customFormat="1" spans="1:3">
      <c r="A10658" s="6"/>
      <c r="B10658" s="6"/>
      <c r="C10658" s="6"/>
    </row>
    <row r="10659" s="1" customFormat="1" spans="1:3">
      <c r="A10659" s="6"/>
      <c r="B10659" s="6"/>
      <c r="C10659" s="6"/>
    </row>
    <row r="10660" s="1" customFormat="1" spans="1:3">
      <c r="A10660" s="6"/>
      <c r="B10660" s="6"/>
      <c r="C10660" s="6"/>
    </row>
    <row r="10661" s="1" customFormat="1" spans="1:3">
      <c r="A10661" s="6"/>
      <c r="B10661" s="6"/>
      <c r="C10661" s="6"/>
    </row>
    <row r="10662" s="1" customFormat="1" spans="1:3">
      <c r="A10662" s="6"/>
      <c r="B10662" s="6"/>
      <c r="C10662" s="6"/>
    </row>
    <row r="10663" s="1" customFormat="1" spans="1:3">
      <c r="A10663" s="6"/>
      <c r="B10663" s="6"/>
      <c r="C10663" s="6"/>
    </row>
    <row r="10664" s="1" customFormat="1" spans="1:3">
      <c r="A10664" s="6"/>
      <c r="B10664" s="6"/>
      <c r="C10664" s="6"/>
    </row>
    <row r="10665" s="1" customFormat="1" spans="1:3">
      <c r="A10665" s="6"/>
      <c r="B10665" s="6"/>
      <c r="C10665" s="6"/>
    </row>
    <row r="10666" s="1" customFormat="1" spans="1:3">
      <c r="A10666" s="6"/>
      <c r="B10666" s="6"/>
      <c r="C10666" s="6"/>
    </row>
    <row r="10667" s="1" customFormat="1" spans="1:3">
      <c r="A10667" s="6"/>
      <c r="B10667" s="6"/>
      <c r="C10667" s="6"/>
    </row>
    <row r="10668" s="1" customFormat="1" spans="1:3">
      <c r="A10668" s="6"/>
      <c r="B10668" s="6"/>
      <c r="C10668" s="6"/>
    </row>
    <row r="10669" s="1" customFormat="1" spans="1:3">
      <c r="A10669" s="6"/>
      <c r="B10669" s="6"/>
      <c r="C10669" s="6"/>
    </row>
    <row r="10670" s="1" customFormat="1" spans="1:3">
      <c r="A10670" s="6"/>
      <c r="B10670" s="6"/>
      <c r="C10670" s="6"/>
    </row>
    <row r="10671" s="1" customFormat="1" spans="1:3">
      <c r="A10671" s="6"/>
      <c r="B10671" s="6"/>
      <c r="C10671" s="6"/>
    </row>
    <row r="10672" s="1" customFormat="1" spans="1:3">
      <c r="A10672" s="6"/>
      <c r="B10672" s="6"/>
      <c r="C10672" s="6"/>
    </row>
    <row r="10673" s="1" customFormat="1" spans="1:3">
      <c r="A10673" s="6"/>
      <c r="B10673" s="6"/>
      <c r="C10673" s="6"/>
    </row>
    <row r="10674" s="1" customFormat="1" spans="1:3">
      <c r="A10674" s="6"/>
      <c r="B10674" s="6"/>
      <c r="C10674" s="6"/>
    </row>
    <row r="10675" s="1" customFormat="1" spans="1:3">
      <c r="A10675" s="6"/>
      <c r="B10675" s="6"/>
      <c r="C10675" s="6"/>
    </row>
    <row r="10676" s="1" customFormat="1" spans="1:3">
      <c r="A10676" s="6"/>
      <c r="B10676" s="6"/>
      <c r="C10676" s="6"/>
    </row>
    <row r="10677" s="1" customFormat="1" spans="1:3">
      <c r="A10677" s="6"/>
      <c r="B10677" s="6"/>
      <c r="C10677" s="6"/>
    </row>
    <row r="10678" s="1" customFormat="1" spans="1:3">
      <c r="A10678" s="6"/>
      <c r="B10678" s="6"/>
      <c r="C10678" s="6"/>
    </row>
    <row r="10679" s="1" customFormat="1" spans="1:3">
      <c r="A10679" s="6"/>
      <c r="B10679" s="6"/>
      <c r="C10679" s="6"/>
    </row>
    <row r="10680" s="1" customFormat="1" spans="1:3">
      <c r="A10680" s="6"/>
      <c r="B10680" s="6"/>
      <c r="C10680" s="6"/>
    </row>
    <row r="10681" s="1" customFormat="1" spans="1:3">
      <c r="A10681" s="6"/>
      <c r="B10681" s="6"/>
      <c r="C10681" s="6"/>
    </row>
    <row r="10682" s="1" customFormat="1" spans="1:3">
      <c r="A10682" s="6"/>
      <c r="B10682" s="6"/>
      <c r="C10682" s="6"/>
    </row>
    <row r="10683" s="1" customFormat="1" spans="1:3">
      <c r="A10683" s="6"/>
      <c r="B10683" s="6"/>
      <c r="C10683" s="6"/>
    </row>
    <row r="10684" s="1" customFormat="1" spans="1:3">
      <c r="A10684" s="6"/>
      <c r="B10684" s="6"/>
      <c r="C10684" s="6"/>
    </row>
    <row r="10685" s="1" customFormat="1" spans="1:3">
      <c r="A10685" s="6"/>
      <c r="B10685" s="6"/>
      <c r="C10685" s="6"/>
    </row>
    <row r="10686" s="1" customFormat="1" spans="1:3">
      <c r="A10686" s="6"/>
      <c r="B10686" s="6"/>
      <c r="C10686" s="6"/>
    </row>
    <row r="10687" s="1" customFormat="1" spans="1:3">
      <c r="A10687" s="6"/>
      <c r="B10687" s="6"/>
      <c r="C10687" s="6"/>
    </row>
    <row r="10688" s="1" customFormat="1" spans="1:3">
      <c r="A10688" s="6"/>
      <c r="B10688" s="6"/>
      <c r="C10688" s="6"/>
    </row>
    <row r="10689" s="1" customFormat="1" spans="1:3">
      <c r="A10689" s="6"/>
      <c r="B10689" s="6"/>
      <c r="C10689" s="6"/>
    </row>
    <row r="10690" s="1" customFormat="1" spans="1:3">
      <c r="A10690" s="6"/>
      <c r="B10690" s="6"/>
      <c r="C10690" s="6"/>
    </row>
    <row r="10691" s="1" customFormat="1" spans="1:3">
      <c r="A10691" s="6"/>
      <c r="B10691" s="6"/>
      <c r="C10691" s="6"/>
    </row>
    <row r="10692" s="1" customFormat="1" spans="1:3">
      <c r="A10692" s="6"/>
      <c r="B10692" s="6"/>
      <c r="C10692" s="6"/>
    </row>
    <row r="10693" s="1" customFormat="1" spans="1:3">
      <c r="A10693" s="6"/>
      <c r="B10693" s="6"/>
      <c r="C10693" s="6"/>
    </row>
    <row r="10694" s="1" customFormat="1" spans="1:3">
      <c r="A10694" s="6"/>
      <c r="B10694" s="6"/>
      <c r="C10694" s="6"/>
    </row>
    <row r="10695" s="1" customFormat="1" spans="1:3">
      <c r="A10695" s="6"/>
      <c r="B10695" s="6"/>
      <c r="C10695" s="6"/>
    </row>
    <row r="10696" s="1" customFormat="1" spans="1:3">
      <c r="A10696" s="6"/>
      <c r="B10696" s="6"/>
      <c r="C10696" s="6"/>
    </row>
    <row r="10697" s="1" customFormat="1" spans="1:3">
      <c r="A10697" s="6"/>
      <c r="B10697" s="6"/>
      <c r="C10697" s="6"/>
    </row>
    <row r="10698" s="1" customFormat="1" spans="1:3">
      <c r="A10698" s="6"/>
      <c r="B10698" s="6"/>
      <c r="C10698" s="6"/>
    </row>
    <row r="10699" s="1" customFormat="1" spans="1:3">
      <c r="A10699" s="6"/>
      <c r="B10699" s="6"/>
      <c r="C10699" s="6"/>
    </row>
    <row r="10700" s="1" customFormat="1" spans="1:3">
      <c r="A10700" s="6"/>
      <c r="B10700" s="6"/>
      <c r="C10700" s="6"/>
    </row>
    <row r="10701" s="1" customFormat="1" spans="1:3">
      <c r="A10701" s="6"/>
      <c r="B10701" s="6"/>
      <c r="C10701" s="6"/>
    </row>
    <row r="10702" s="1" customFormat="1" spans="1:3">
      <c r="A10702" s="6"/>
      <c r="B10702" s="6"/>
      <c r="C10702" s="6"/>
    </row>
    <row r="10703" s="1" customFormat="1" spans="1:3">
      <c r="A10703" s="6"/>
      <c r="B10703" s="6"/>
      <c r="C10703" s="6"/>
    </row>
    <row r="10704" s="1" customFormat="1" spans="1:3">
      <c r="A10704" s="6"/>
      <c r="B10704" s="6"/>
      <c r="C10704" s="6"/>
    </row>
    <row r="10705" s="1" customFormat="1" spans="1:3">
      <c r="A10705" s="6"/>
      <c r="B10705" s="6"/>
      <c r="C10705" s="6"/>
    </row>
    <row r="10706" s="1" customFormat="1" spans="1:3">
      <c r="A10706" s="6"/>
      <c r="B10706" s="6"/>
      <c r="C10706" s="6"/>
    </row>
    <row r="10707" s="1" customFormat="1" spans="1:3">
      <c r="A10707" s="6"/>
      <c r="B10707" s="6"/>
      <c r="C10707" s="6"/>
    </row>
    <row r="10708" s="1" customFormat="1" spans="1:3">
      <c r="A10708" s="6"/>
      <c r="B10708" s="6"/>
      <c r="C10708" s="6"/>
    </row>
    <row r="10709" s="1" customFormat="1" spans="1:3">
      <c r="A10709" s="6"/>
      <c r="B10709" s="6"/>
      <c r="C10709" s="6"/>
    </row>
    <row r="10710" s="1" customFormat="1" spans="1:3">
      <c r="A10710" s="6"/>
      <c r="B10710" s="6"/>
      <c r="C10710" s="6"/>
    </row>
    <row r="10711" s="1" customFormat="1" spans="1:3">
      <c r="A10711" s="6"/>
      <c r="B10711" s="6"/>
      <c r="C10711" s="6"/>
    </row>
    <row r="10712" s="1" customFormat="1" spans="1:3">
      <c r="A10712" s="6"/>
      <c r="B10712" s="6"/>
      <c r="C10712" s="6"/>
    </row>
    <row r="10713" s="1" customFormat="1" spans="1:3">
      <c r="A10713" s="6"/>
      <c r="B10713" s="6"/>
      <c r="C10713" s="6"/>
    </row>
    <row r="10714" s="1" customFormat="1" spans="1:3">
      <c r="A10714" s="6"/>
      <c r="B10714" s="6"/>
      <c r="C10714" s="6"/>
    </row>
    <row r="10715" s="1" customFormat="1" spans="1:3">
      <c r="A10715" s="6"/>
      <c r="B10715" s="6"/>
      <c r="C10715" s="6"/>
    </row>
    <row r="10716" s="1" customFormat="1" spans="1:3">
      <c r="A10716" s="6"/>
      <c r="B10716" s="6"/>
      <c r="C10716" s="6"/>
    </row>
    <row r="10717" s="1" customFormat="1" spans="1:3">
      <c r="A10717" s="6"/>
      <c r="B10717" s="6"/>
      <c r="C10717" s="6"/>
    </row>
    <row r="10718" s="1" customFormat="1" spans="1:3">
      <c r="A10718" s="6"/>
      <c r="B10718" s="6"/>
      <c r="C10718" s="6"/>
    </row>
    <row r="10719" s="1" customFormat="1" spans="1:3">
      <c r="A10719" s="6"/>
      <c r="B10719" s="6"/>
      <c r="C10719" s="6"/>
    </row>
    <row r="10720" s="1" customFormat="1" spans="1:3">
      <c r="A10720" s="6"/>
      <c r="B10720" s="6"/>
      <c r="C10720" s="6"/>
    </row>
    <row r="10721" s="1" customFormat="1" spans="1:3">
      <c r="A10721" s="6"/>
      <c r="B10721" s="6"/>
      <c r="C10721" s="6"/>
    </row>
    <row r="10722" s="1" customFormat="1" spans="1:3">
      <c r="A10722" s="6"/>
      <c r="B10722" s="6"/>
      <c r="C10722" s="6"/>
    </row>
    <row r="10723" s="1" customFormat="1" spans="1:3">
      <c r="A10723" s="6"/>
      <c r="B10723" s="6"/>
      <c r="C10723" s="6"/>
    </row>
    <row r="10724" s="1" customFormat="1" spans="1:3">
      <c r="A10724" s="6"/>
      <c r="B10724" s="6"/>
      <c r="C10724" s="6"/>
    </row>
    <row r="10725" s="1" customFormat="1" spans="1:3">
      <c r="A10725" s="6"/>
      <c r="B10725" s="6"/>
      <c r="C10725" s="6"/>
    </row>
    <row r="10726" s="1" customFormat="1" spans="1:3">
      <c r="A10726" s="6"/>
      <c r="B10726" s="6"/>
      <c r="C10726" s="6"/>
    </row>
    <row r="10727" s="1" customFormat="1" spans="1:3">
      <c r="A10727" s="6"/>
      <c r="B10727" s="6"/>
      <c r="C10727" s="6"/>
    </row>
    <row r="10728" s="1" customFormat="1" spans="1:3">
      <c r="A10728" s="6"/>
      <c r="B10728" s="6"/>
      <c r="C10728" s="6"/>
    </row>
    <row r="10729" s="1" customFormat="1" spans="1:3">
      <c r="A10729" s="6"/>
      <c r="B10729" s="6"/>
      <c r="C10729" s="6"/>
    </row>
    <row r="10730" s="1" customFormat="1" spans="1:3">
      <c r="A10730" s="6"/>
      <c r="B10730" s="6"/>
      <c r="C10730" s="6"/>
    </row>
    <row r="10731" s="1" customFormat="1" spans="1:3">
      <c r="A10731" s="6"/>
      <c r="B10731" s="6"/>
      <c r="C10731" s="6"/>
    </row>
    <row r="10732" s="1" customFormat="1" spans="1:3">
      <c r="A10732" s="6"/>
      <c r="B10732" s="6"/>
      <c r="C10732" s="6"/>
    </row>
    <row r="10733" s="1" customFormat="1" spans="1:3">
      <c r="A10733" s="6"/>
      <c r="B10733" s="6"/>
      <c r="C10733" s="6"/>
    </row>
    <row r="10734" s="1" customFormat="1" spans="1:3">
      <c r="A10734" s="6"/>
      <c r="B10734" s="6"/>
      <c r="C10734" s="6"/>
    </row>
    <row r="10735" s="1" customFormat="1" spans="1:3">
      <c r="A10735" s="6"/>
      <c r="B10735" s="6"/>
      <c r="C10735" s="6"/>
    </row>
    <row r="10736" s="1" customFormat="1" spans="1:3">
      <c r="A10736" s="6"/>
      <c r="B10736" s="6"/>
      <c r="C10736" s="6"/>
    </row>
    <row r="10737" s="1" customFormat="1" spans="1:3">
      <c r="A10737" s="6"/>
      <c r="B10737" s="6"/>
      <c r="C10737" s="6"/>
    </row>
    <row r="10738" s="1" customFormat="1" spans="1:3">
      <c r="A10738" s="6"/>
      <c r="B10738" s="6"/>
      <c r="C10738" s="6"/>
    </row>
    <row r="10739" s="1" customFormat="1" spans="1:3">
      <c r="A10739" s="6"/>
      <c r="B10739" s="6"/>
      <c r="C10739" s="6"/>
    </row>
    <row r="10740" s="1" customFormat="1" spans="1:3">
      <c r="A10740" s="6"/>
      <c r="B10740" s="6"/>
      <c r="C10740" s="6"/>
    </row>
    <row r="10741" s="1" customFormat="1" spans="1:3">
      <c r="A10741" s="6"/>
      <c r="B10741" s="6"/>
      <c r="C10741" s="6"/>
    </row>
    <row r="10742" s="1" customFormat="1" spans="1:3">
      <c r="A10742" s="6"/>
      <c r="B10742" s="6"/>
      <c r="C10742" s="6"/>
    </row>
    <row r="10743" s="1" customFormat="1" spans="1:3">
      <c r="A10743" s="6"/>
      <c r="B10743" s="6"/>
      <c r="C10743" s="6"/>
    </row>
    <row r="10744" s="1" customFormat="1" spans="1:3">
      <c r="A10744" s="6"/>
      <c r="B10744" s="6"/>
      <c r="C10744" s="6"/>
    </row>
    <row r="10745" s="1" customFormat="1" spans="1:3">
      <c r="A10745" s="6"/>
      <c r="B10745" s="6"/>
      <c r="C10745" s="6"/>
    </row>
    <row r="10746" s="1" customFormat="1" spans="1:3">
      <c r="A10746" s="6"/>
      <c r="B10746" s="6"/>
      <c r="C10746" s="6"/>
    </row>
    <row r="10747" s="1" customFormat="1" spans="1:3">
      <c r="A10747" s="6"/>
      <c r="B10747" s="6"/>
      <c r="C10747" s="6"/>
    </row>
    <row r="10748" s="1" customFormat="1" spans="1:3">
      <c r="A10748" s="6"/>
      <c r="B10748" s="6"/>
      <c r="C10748" s="6"/>
    </row>
    <row r="10749" s="1" customFormat="1" spans="1:3">
      <c r="A10749" s="6"/>
      <c r="B10749" s="6"/>
      <c r="C10749" s="6"/>
    </row>
    <row r="10750" s="1" customFormat="1" spans="1:3">
      <c r="A10750" s="6"/>
      <c r="B10750" s="6"/>
      <c r="C10750" s="6"/>
    </row>
    <row r="10751" s="1" customFormat="1" spans="1:3">
      <c r="A10751" s="6"/>
      <c r="B10751" s="6"/>
      <c r="C10751" s="6"/>
    </row>
    <row r="10752" s="1" customFormat="1" spans="1:3">
      <c r="A10752" s="6"/>
      <c r="B10752" s="6"/>
      <c r="C10752" s="6"/>
    </row>
    <row r="10753" s="1" customFormat="1" spans="1:3">
      <c r="A10753" s="6"/>
      <c r="B10753" s="6"/>
      <c r="C10753" s="6"/>
    </row>
    <row r="10754" s="1" customFormat="1" spans="1:3">
      <c r="A10754" s="6"/>
      <c r="B10754" s="6"/>
      <c r="C10754" s="6"/>
    </row>
    <row r="10755" s="1" customFormat="1" spans="1:3">
      <c r="A10755" s="6"/>
      <c r="B10755" s="6"/>
      <c r="C10755" s="6"/>
    </row>
    <row r="10756" s="1" customFormat="1" spans="1:3">
      <c r="A10756" s="6"/>
      <c r="B10756" s="6"/>
      <c r="C10756" s="6"/>
    </row>
    <row r="10757" s="1" customFormat="1" spans="1:3">
      <c r="A10757" s="6"/>
      <c r="B10757" s="6"/>
      <c r="C10757" s="6"/>
    </row>
    <row r="10758" s="1" customFormat="1" spans="1:3">
      <c r="A10758" s="6"/>
      <c r="B10758" s="6"/>
      <c r="C10758" s="6"/>
    </row>
    <row r="10759" s="1" customFormat="1" spans="1:3">
      <c r="A10759" s="6"/>
      <c r="B10759" s="6"/>
      <c r="C10759" s="6"/>
    </row>
    <row r="10760" s="1" customFormat="1" spans="1:3">
      <c r="A10760" s="6"/>
      <c r="B10760" s="6"/>
      <c r="C10760" s="6"/>
    </row>
    <row r="10761" s="1" customFormat="1" spans="1:3">
      <c r="A10761" s="6"/>
      <c r="B10761" s="6"/>
      <c r="C10761" s="6"/>
    </row>
    <row r="10762" s="1" customFormat="1" spans="1:3">
      <c r="A10762" s="6"/>
      <c r="B10762" s="6"/>
      <c r="C10762" s="6"/>
    </row>
    <row r="10763" s="1" customFormat="1" spans="1:3">
      <c r="A10763" s="6"/>
      <c r="B10763" s="6"/>
      <c r="C10763" s="6"/>
    </row>
    <row r="10764" s="1" customFormat="1" spans="1:3">
      <c r="A10764" s="6"/>
      <c r="B10764" s="6"/>
      <c r="C10764" s="6"/>
    </row>
    <row r="10765" s="1" customFormat="1" spans="1:3">
      <c r="A10765" s="6"/>
      <c r="B10765" s="6"/>
      <c r="C10765" s="6"/>
    </row>
    <row r="10766" s="1" customFormat="1" spans="1:3">
      <c r="A10766" s="6"/>
      <c r="B10766" s="6"/>
      <c r="C10766" s="6"/>
    </row>
    <row r="10767" s="1" customFormat="1" spans="1:3">
      <c r="A10767" s="6"/>
      <c r="B10767" s="6"/>
      <c r="C10767" s="6"/>
    </row>
    <row r="10768" s="1" customFormat="1" spans="1:3">
      <c r="A10768" s="6"/>
      <c r="B10768" s="6"/>
      <c r="C10768" s="6"/>
    </row>
    <row r="10769" s="1" customFormat="1" spans="1:3">
      <c r="A10769" s="6"/>
      <c r="B10769" s="6"/>
      <c r="C10769" s="6"/>
    </row>
    <row r="10770" s="1" customFormat="1" spans="1:3">
      <c r="A10770" s="6"/>
      <c r="B10770" s="6"/>
      <c r="C10770" s="6"/>
    </row>
    <row r="10771" s="1" customFormat="1" spans="1:3">
      <c r="A10771" s="6"/>
      <c r="B10771" s="6"/>
      <c r="C10771" s="6"/>
    </row>
    <row r="10772" s="1" customFormat="1" spans="1:3">
      <c r="A10772" s="6"/>
      <c r="B10772" s="6"/>
      <c r="C10772" s="6"/>
    </row>
    <row r="10773" s="1" customFormat="1" spans="1:3">
      <c r="A10773" s="6"/>
      <c r="B10773" s="6"/>
      <c r="C10773" s="6"/>
    </row>
    <row r="10774" s="1" customFormat="1" spans="1:3">
      <c r="A10774" s="6"/>
      <c r="B10774" s="6"/>
      <c r="C10774" s="6"/>
    </row>
    <row r="10775" s="1" customFormat="1" spans="1:3">
      <c r="A10775" s="6"/>
      <c r="B10775" s="6"/>
      <c r="C10775" s="6"/>
    </row>
    <row r="10776" s="1" customFormat="1" spans="1:3">
      <c r="A10776" s="6"/>
      <c r="B10776" s="6"/>
      <c r="C10776" s="6"/>
    </row>
    <row r="10777" s="1" customFormat="1" spans="1:3">
      <c r="A10777" s="6"/>
      <c r="B10777" s="6"/>
      <c r="C10777" s="6"/>
    </row>
    <row r="10778" s="1" customFormat="1" spans="1:3">
      <c r="A10778" s="6"/>
      <c r="B10778" s="6"/>
      <c r="C10778" s="6"/>
    </row>
    <row r="10779" s="1" customFormat="1" spans="1:3">
      <c r="A10779" s="6"/>
      <c r="B10779" s="6"/>
      <c r="C10779" s="6"/>
    </row>
    <row r="10780" s="1" customFormat="1" spans="1:3">
      <c r="A10780" s="6"/>
      <c r="B10780" s="6"/>
      <c r="C10780" s="6"/>
    </row>
    <row r="10781" s="1" customFormat="1" spans="1:3">
      <c r="A10781" s="6"/>
      <c r="B10781" s="6"/>
      <c r="C10781" s="6"/>
    </row>
    <row r="10782" s="1" customFormat="1" spans="1:3">
      <c r="A10782" s="6"/>
      <c r="B10782" s="6"/>
      <c r="C10782" s="6"/>
    </row>
    <row r="10783" s="1" customFormat="1" spans="1:3">
      <c r="A10783" s="6"/>
      <c r="B10783" s="6"/>
      <c r="C10783" s="6"/>
    </row>
    <row r="10784" s="1" customFormat="1" spans="1:3">
      <c r="A10784" s="6"/>
      <c r="B10784" s="6"/>
      <c r="C10784" s="6"/>
    </row>
    <row r="10785" s="1" customFormat="1" spans="1:3">
      <c r="A10785" s="6"/>
      <c r="B10785" s="6"/>
      <c r="C10785" s="6"/>
    </row>
    <row r="10786" s="1" customFormat="1" spans="1:3">
      <c r="A10786" s="6"/>
      <c r="B10786" s="6"/>
      <c r="C10786" s="6"/>
    </row>
    <row r="10787" s="1" customFormat="1" spans="1:3">
      <c r="A10787" s="6"/>
      <c r="B10787" s="6"/>
      <c r="C10787" s="6"/>
    </row>
    <row r="10788" s="1" customFormat="1" spans="1:3">
      <c r="A10788" s="6"/>
      <c r="B10788" s="6"/>
      <c r="C10788" s="6"/>
    </row>
    <row r="10789" s="1" customFormat="1" spans="1:3">
      <c r="A10789" s="6"/>
      <c r="B10789" s="6"/>
      <c r="C10789" s="6"/>
    </row>
    <row r="10790" s="1" customFormat="1" spans="1:3">
      <c r="A10790" s="6"/>
      <c r="B10790" s="6"/>
      <c r="C10790" s="6"/>
    </row>
    <row r="10791" s="1" customFormat="1" spans="1:3">
      <c r="A10791" s="6"/>
      <c r="B10791" s="6"/>
      <c r="C10791" s="6"/>
    </row>
    <row r="10792" s="1" customFormat="1" spans="1:3">
      <c r="A10792" s="6"/>
      <c r="B10792" s="6"/>
      <c r="C10792" s="6"/>
    </row>
    <row r="10793" s="1" customFormat="1" spans="1:3">
      <c r="A10793" s="6"/>
      <c r="B10793" s="6"/>
      <c r="C10793" s="6"/>
    </row>
    <row r="10794" s="1" customFormat="1" spans="1:3">
      <c r="A10794" s="6"/>
      <c r="B10794" s="6"/>
      <c r="C10794" s="6"/>
    </row>
    <row r="10795" s="1" customFormat="1" spans="1:3">
      <c r="A10795" s="6"/>
      <c r="B10795" s="6"/>
      <c r="C10795" s="6"/>
    </row>
    <row r="10796" s="1" customFormat="1" spans="1:3">
      <c r="A10796" s="6"/>
      <c r="B10796" s="6"/>
      <c r="C10796" s="6"/>
    </row>
    <row r="10797" s="1" customFormat="1" spans="1:3">
      <c r="A10797" s="6"/>
      <c r="B10797" s="6"/>
      <c r="C10797" s="6"/>
    </row>
    <row r="10798" s="1" customFormat="1" spans="1:3">
      <c r="A10798" s="6"/>
      <c r="B10798" s="6"/>
      <c r="C10798" s="6"/>
    </row>
    <row r="10799" s="1" customFormat="1" spans="1:3">
      <c r="A10799" s="6"/>
      <c r="B10799" s="6"/>
      <c r="C10799" s="6"/>
    </row>
    <row r="10800" s="1" customFormat="1" spans="1:3">
      <c r="A10800" s="6"/>
      <c r="B10800" s="6"/>
      <c r="C10800" s="6"/>
    </row>
    <row r="10801" s="1" customFormat="1" spans="1:3">
      <c r="A10801" s="6"/>
      <c r="B10801" s="6"/>
      <c r="C10801" s="6"/>
    </row>
    <row r="10802" s="1" customFormat="1" spans="1:3">
      <c r="A10802" s="6"/>
      <c r="B10802" s="6"/>
      <c r="C10802" s="6"/>
    </row>
    <row r="10803" s="1" customFormat="1" spans="1:3">
      <c r="A10803" s="6"/>
      <c r="B10803" s="6"/>
      <c r="C10803" s="6"/>
    </row>
    <row r="10804" s="1" customFormat="1" spans="1:3">
      <c r="A10804" s="6"/>
      <c r="B10804" s="6"/>
      <c r="C10804" s="6"/>
    </row>
    <row r="10805" s="1" customFormat="1" spans="1:3">
      <c r="A10805" s="6"/>
      <c r="B10805" s="6"/>
      <c r="C10805" s="6"/>
    </row>
    <row r="10806" s="1" customFormat="1" spans="1:3">
      <c r="A10806" s="6"/>
      <c r="B10806" s="6"/>
      <c r="C10806" s="6"/>
    </row>
    <row r="10807" s="1" customFormat="1" spans="1:3">
      <c r="A10807" s="6"/>
      <c r="B10807" s="6"/>
      <c r="C10807" s="6"/>
    </row>
    <row r="10808" s="1" customFormat="1" spans="1:3">
      <c r="A10808" s="6"/>
      <c r="B10808" s="6"/>
      <c r="C10808" s="6"/>
    </row>
    <row r="10809" s="1" customFormat="1" spans="1:3">
      <c r="A10809" s="6"/>
      <c r="B10809" s="6"/>
      <c r="C10809" s="6"/>
    </row>
    <row r="10810" s="1" customFormat="1" spans="1:3">
      <c r="A10810" s="6"/>
      <c r="B10810" s="6"/>
      <c r="C10810" s="6"/>
    </row>
    <row r="10811" s="1" customFormat="1" spans="1:3">
      <c r="A10811" s="6"/>
      <c r="B10811" s="6"/>
      <c r="C10811" s="6"/>
    </row>
    <row r="10812" s="1" customFormat="1" spans="1:3">
      <c r="A10812" s="6"/>
      <c r="B10812" s="6"/>
      <c r="C10812" s="6"/>
    </row>
    <row r="10813" s="1" customFormat="1" spans="1:3">
      <c r="A10813" s="6"/>
      <c r="B10813" s="6"/>
      <c r="C10813" s="6"/>
    </row>
    <row r="10814" s="1" customFormat="1" spans="1:3">
      <c r="A10814" s="6"/>
      <c r="B10814" s="6"/>
      <c r="C10814" s="6"/>
    </row>
    <row r="10815" s="1" customFormat="1" spans="1:3">
      <c r="A10815" s="6"/>
      <c r="B10815" s="6"/>
      <c r="C10815" s="6"/>
    </row>
    <row r="10816" s="1" customFormat="1" spans="1:3">
      <c r="A10816" s="6"/>
      <c r="B10816" s="6"/>
      <c r="C10816" s="6"/>
    </row>
    <row r="10817" s="1" customFormat="1" spans="1:3">
      <c r="A10817" s="6"/>
      <c r="B10817" s="6"/>
      <c r="C10817" s="6"/>
    </row>
    <row r="10818" s="1" customFormat="1" spans="1:3">
      <c r="A10818" s="6"/>
      <c r="B10818" s="6"/>
      <c r="C10818" s="6"/>
    </row>
    <row r="10819" s="1" customFormat="1" spans="1:3">
      <c r="A10819" s="6"/>
      <c r="B10819" s="6"/>
      <c r="C10819" s="6"/>
    </row>
    <row r="10820" s="1" customFormat="1" spans="1:3">
      <c r="A10820" s="6"/>
      <c r="B10820" s="6"/>
      <c r="C10820" s="6"/>
    </row>
    <row r="10821" s="1" customFormat="1" spans="1:3">
      <c r="A10821" s="6"/>
      <c r="B10821" s="6"/>
      <c r="C10821" s="6"/>
    </row>
    <row r="10822" s="1" customFormat="1" spans="1:3">
      <c r="A10822" s="6"/>
      <c r="B10822" s="6"/>
      <c r="C10822" s="6"/>
    </row>
    <row r="10823" s="1" customFormat="1" spans="1:3">
      <c r="A10823" s="6"/>
      <c r="B10823" s="6"/>
      <c r="C10823" s="6"/>
    </row>
    <row r="10824" s="1" customFormat="1" spans="1:3">
      <c r="A10824" s="6"/>
      <c r="B10824" s="6"/>
      <c r="C10824" s="6"/>
    </row>
    <row r="10825" s="1" customFormat="1" spans="1:3">
      <c r="A10825" s="6"/>
      <c r="B10825" s="6"/>
      <c r="C10825" s="6"/>
    </row>
    <row r="10826" s="1" customFormat="1" spans="1:3">
      <c r="A10826" s="6"/>
      <c r="B10826" s="6"/>
      <c r="C10826" s="6"/>
    </row>
    <row r="10827" s="1" customFormat="1" spans="1:3">
      <c r="A10827" s="6"/>
      <c r="B10827" s="6"/>
      <c r="C10827" s="6"/>
    </row>
    <row r="10828" s="1" customFormat="1" spans="1:3">
      <c r="A10828" s="6"/>
      <c r="B10828" s="6"/>
      <c r="C10828" s="6"/>
    </row>
    <row r="10829" s="1" customFormat="1" spans="1:3">
      <c r="A10829" s="6"/>
      <c r="B10829" s="6"/>
      <c r="C10829" s="6"/>
    </row>
    <row r="10830" s="1" customFormat="1" spans="1:3">
      <c r="A10830" s="6"/>
      <c r="B10830" s="6"/>
      <c r="C10830" s="6"/>
    </row>
    <row r="10831" s="1" customFormat="1" spans="1:3">
      <c r="A10831" s="6"/>
      <c r="B10831" s="6"/>
      <c r="C10831" s="6"/>
    </row>
    <row r="10832" s="1" customFormat="1" spans="1:3">
      <c r="A10832" s="6"/>
      <c r="B10832" s="6"/>
      <c r="C10832" s="6"/>
    </row>
    <row r="10833" s="1" customFormat="1" spans="1:3">
      <c r="A10833" s="6"/>
      <c r="B10833" s="6"/>
      <c r="C10833" s="6"/>
    </row>
    <row r="10834" s="1" customFormat="1" spans="1:3">
      <c r="A10834" s="6"/>
      <c r="B10834" s="6"/>
      <c r="C10834" s="6"/>
    </row>
    <row r="10835" s="1" customFormat="1" spans="1:3">
      <c r="A10835" s="6"/>
      <c r="B10835" s="6"/>
      <c r="C10835" s="6"/>
    </row>
    <row r="10836" s="1" customFormat="1" spans="1:3">
      <c r="A10836" s="6"/>
      <c r="B10836" s="6"/>
      <c r="C10836" s="6"/>
    </row>
    <row r="10837" s="1" customFormat="1" spans="1:3">
      <c r="A10837" s="6"/>
      <c r="B10837" s="6"/>
      <c r="C10837" s="6"/>
    </row>
    <row r="10838" s="1" customFormat="1" spans="1:3">
      <c r="A10838" s="6"/>
      <c r="B10838" s="6"/>
      <c r="C10838" s="6"/>
    </row>
    <row r="10839" s="1" customFormat="1" spans="1:3">
      <c r="A10839" s="6"/>
      <c r="B10839" s="6"/>
      <c r="C10839" s="6"/>
    </row>
    <row r="10840" s="1" customFormat="1" spans="1:3">
      <c r="A10840" s="6"/>
      <c r="B10840" s="6"/>
      <c r="C10840" s="6"/>
    </row>
    <row r="10841" s="1" customFormat="1" spans="1:3">
      <c r="A10841" s="6"/>
      <c r="B10841" s="6"/>
      <c r="C10841" s="6"/>
    </row>
    <row r="10842" s="1" customFormat="1" spans="1:3">
      <c r="A10842" s="6"/>
      <c r="B10842" s="6"/>
      <c r="C10842" s="6"/>
    </row>
    <row r="10843" s="1" customFormat="1" spans="1:3">
      <c r="A10843" s="6"/>
      <c r="B10843" s="6"/>
      <c r="C10843" s="6"/>
    </row>
    <row r="10844" s="1" customFormat="1" spans="1:3">
      <c r="A10844" s="6"/>
      <c r="B10844" s="6"/>
      <c r="C10844" s="6"/>
    </row>
    <row r="10845" s="1" customFormat="1" spans="1:3">
      <c r="A10845" s="6"/>
      <c r="B10845" s="6"/>
      <c r="C10845" s="6"/>
    </row>
    <row r="10846" s="1" customFormat="1" spans="1:3">
      <c r="A10846" s="6"/>
      <c r="B10846" s="6"/>
      <c r="C10846" s="6"/>
    </row>
    <row r="10847" s="1" customFormat="1" spans="1:3">
      <c r="A10847" s="6"/>
      <c r="B10847" s="6"/>
      <c r="C10847" s="6"/>
    </row>
    <row r="10848" s="1" customFormat="1" spans="1:3">
      <c r="A10848" s="6"/>
      <c r="B10848" s="6"/>
      <c r="C10848" s="6"/>
    </row>
    <row r="10849" s="1" customFormat="1" spans="1:3">
      <c r="A10849" s="6"/>
      <c r="B10849" s="6"/>
      <c r="C10849" s="6"/>
    </row>
    <row r="10850" s="1" customFormat="1" spans="1:3">
      <c r="A10850" s="6"/>
      <c r="B10850" s="6"/>
      <c r="C10850" s="6"/>
    </row>
    <row r="10851" s="1" customFormat="1" spans="1:3">
      <c r="A10851" s="6"/>
      <c r="B10851" s="6"/>
      <c r="C10851" s="6"/>
    </row>
    <row r="10852" s="1" customFormat="1" spans="1:3">
      <c r="A10852" s="6"/>
      <c r="B10852" s="6"/>
      <c r="C10852" s="6"/>
    </row>
    <row r="10853" s="1" customFormat="1" spans="1:3">
      <c r="A10853" s="6"/>
      <c r="B10853" s="6"/>
      <c r="C10853" s="6"/>
    </row>
    <row r="10854" s="1" customFormat="1" spans="1:3">
      <c r="A10854" s="6"/>
      <c r="B10854" s="6"/>
      <c r="C10854" s="6"/>
    </row>
    <row r="10855" s="1" customFormat="1" spans="1:3">
      <c r="A10855" s="6"/>
      <c r="B10855" s="6"/>
      <c r="C10855" s="6"/>
    </row>
    <row r="10856" s="1" customFormat="1" spans="1:3">
      <c r="A10856" s="6"/>
      <c r="B10856" s="6"/>
      <c r="C10856" s="6"/>
    </row>
    <row r="10857" s="1" customFormat="1" spans="1:3">
      <c r="A10857" s="6"/>
      <c r="B10857" s="6"/>
      <c r="C10857" s="6"/>
    </row>
    <row r="10858" s="1" customFormat="1" spans="1:3">
      <c r="A10858" s="6"/>
      <c r="B10858" s="6"/>
      <c r="C10858" s="6"/>
    </row>
    <row r="10859" s="1" customFormat="1" spans="1:3">
      <c r="A10859" s="6"/>
      <c r="B10859" s="6"/>
      <c r="C10859" s="6"/>
    </row>
    <row r="10860" s="1" customFormat="1" spans="1:3">
      <c r="A10860" s="6"/>
      <c r="B10860" s="6"/>
      <c r="C10860" s="6"/>
    </row>
    <row r="10861" s="1" customFormat="1" spans="1:3">
      <c r="A10861" s="6"/>
      <c r="B10861" s="6"/>
      <c r="C10861" s="6"/>
    </row>
    <row r="10862" s="1" customFormat="1" spans="1:3">
      <c r="A10862" s="6"/>
      <c r="B10862" s="6"/>
      <c r="C10862" s="6"/>
    </row>
    <row r="10863" s="1" customFormat="1" spans="1:3">
      <c r="A10863" s="6"/>
      <c r="B10863" s="6"/>
      <c r="C10863" s="6"/>
    </row>
    <row r="10864" s="1" customFormat="1" spans="1:3">
      <c r="A10864" s="6"/>
      <c r="B10864" s="6"/>
      <c r="C10864" s="6"/>
    </row>
    <row r="10865" s="1" customFormat="1" spans="1:3">
      <c r="A10865" s="6"/>
      <c r="B10865" s="6"/>
      <c r="C10865" s="6"/>
    </row>
    <row r="10866" s="1" customFormat="1" spans="1:3">
      <c r="A10866" s="6"/>
      <c r="B10866" s="6"/>
      <c r="C10866" s="6"/>
    </row>
    <row r="10867" s="1" customFormat="1" spans="1:3">
      <c r="A10867" s="6"/>
      <c r="B10867" s="6"/>
      <c r="C10867" s="6"/>
    </row>
    <row r="10868" s="1" customFormat="1" spans="1:3">
      <c r="A10868" s="6"/>
      <c r="B10868" s="6"/>
      <c r="C10868" s="6"/>
    </row>
    <row r="10869" s="1" customFormat="1" spans="1:3">
      <c r="A10869" s="6"/>
      <c r="B10869" s="6"/>
      <c r="C10869" s="6"/>
    </row>
    <row r="10870" s="1" customFormat="1" spans="1:3">
      <c r="A10870" s="6"/>
      <c r="B10870" s="6"/>
      <c r="C10870" s="6"/>
    </row>
    <row r="10871" s="1" customFormat="1" spans="1:3">
      <c r="A10871" s="6"/>
      <c r="B10871" s="6"/>
      <c r="C10871" s="6"/>
    </row>
    <row r="10872" s="1" customFormat="1" spans="1:3">
      <c r="A10872" s="6"/>
      <c r="B10872" s="6"/>
      <c r="C10872" s="6"/>
    </row>
    <row r="10873" s="1" customFormat="1" spans="1:3">
      <c r="A10873" s="6"/>
      <c r="B10873" s="6"/>
      <c r="C10873" s="6"/>
    </row>
    <row r="10874" s="1" customFormat="1" spans="1:3">
      <c r="A10874" s="6"/>
      <c r="B10874" s="6"/>
      <c r="C10874" s="6"/>
    </row>
    <row r="10875" s="1" customFormat="1" spans="1:3">
      <c r="A10875" s="6"/>
      <c r="B10875" s="6"/>
      <c r="C10875" s="6"/>
    </row>
    <row r="10876" s="1" customFormat="1" spans="1:3">
      <c r="A10876" s="6"/>
      <c r="B10876" s="6"/>
      <c r="C10876" s="6"/>
    </row>
    <row r="10877" s="1" customFormat="1" spans="1:3">
      <c r="A10877" s="6"/>
      <c r="B10877" s="6"/>
      <c r="C10877" s="6"/>
    </row>
    <row r="10878" s="1" customFormat="1" spans="1:3">
      <c r="A10878" s="6"/>
      <c r="B10878" s="6"/>
      <c r="C10878" s="6"/>
    </row>
    <row r="10879" s="1" customFormat="1" spans="1:3">
      <c r="A10879" s="6"/>
      <c r="B10879" s="6"/>
      <c r="C10879" s="6"/>
    </row>
    <row r="10880" s="1" customFormat="1" spans="1:3">
      <c r="A10880" s="6"/>
      <c r="B10880" s="6"/>
      <c r="C10880" s="6"/>
    </row>
    <row r="10881" s="1" customFormat="1" spans="1:3">
      <c r="A10881" s="6"/>
      <c r="B10881" s="6"/>
      <c r="C10881" s="6"/>
    </row>
    <row r="10882" s="1" customFormat="1" spans="1:3">
      <c r="A10882" s="6"/>
      <c r="B10882" s="6"/>
      <c r="C10882" s="6"/>
    </row>
    <row r="10883" s="1" customFormat="1" spans="1:3">
      <c r="A10883" s="6"/>
      <c r="B10883" s="6"/>
      <c r="C10883" s="6"/>
    </row>
    <row r="10884" s="1" customFormat="1" spans="1:3">
      <c r="A10884" s="6"/>
      <c r="B10884" s="6"/>
      <c r="C10884" s="6"/>
    </row>
    <row r="10885" s="1" customFormat="1" spans="1:3">
      <c r="A10885" s="6"/>
      <c r="B10885" s="6"/>
      <c r="C10885" s="6"/>
    </row>
    <row r="10886" s="1" customFormat="1" spans="1:3">
      <c r="A10886" s="6"/>
      <c r="B10886" s="6"/>
      <c r="C10886" s="6"/>
    </row>
    <row r="10887" s="1" customFormat="1" spans="1:3">
      <c r="A10887" s="6"/>
      <c r="B10887" s="6"/>
      <c r="C10887" s="6"/>
    </row>
    <row r="10888" s="1" customFormat="1" spans="1:3">
      <c r="A10888" s="6"/>
      <c r="B10888" s="6"/>
      <c r="C10888" s="6"/>
    </row>
    <row r="10889" s="1" customFormat="1" spans="1:3">
      <c r="A10889" s="6"/>
      <c r="B10889" s="6"/>
      <c r="C10889" s="6"/>
    </row>
    <row r="10890" s="1" customFormat="1" spans="1:3">
      <c r="A10890" s="6"/>
      <c r="B10890" s="6"/>
      <c r="C10890" s="6"/>
    </row>
    <row r="10891" s="1" customFormat="1" spans="1:3">
      <c r="A10891" s="6"/>
      <c r="B10891" s="6"/>
      <c r="C10891" s="6"/>
    </row>
    <row r="10892" s="1" customFormat="1" spans="1:3">
      <c r="A10892" s="6"/>
      <c r="B10892" s="6"/>
      <c r="C10892" s="6"/>
    </row>
    <row r="10893" s="1" customFormat="1" spans="1:3">
      <c r="A10893" s="6"/>
      <c r="B10893" s="6"/>
      <c r="C10893" s="6"/>
    </row>
    <row r="10894" s="1" customFormat="1" spans="1:3">
      <c r="A10894" s="6"/>
      <c r="B10894" s="6"/>
      <c r="C10894" s="6"/>
    </row>
    <row r="10895" s="1" customFormat="1" spans="1:3">
      <c r="A10895" s="6"/>
      <c r="B10895" s="6"/>
      <c r="C10895" s="6"/>
    </row>
    <row r="10896" s="1" customFormat="1" spans="1:3">
      <c r="A10896" s="6"/>
      <c r="B10896" s="6"/>
      <c r="C10896" s="6"/>
    </row>
    <row r="10897" s="1" customFormat="1" spans="1:3">
      <c r="A10897" s="6"/>
      <c r="B10897" s="6"/>
      <c r="C10897" s="6"/>
    </row>
    <row r="10898" s="1" customFormat="1" spans="1:3">
      <c r="A10898" s="6"/>
      <c r="B10898" s="6"/>
      <c r="C10898" s="6"/>
    </row>
    <row r="10899" s="1" customFormat="1" spans="1:3">
      <c r="A10899" s="6"/>
      <c r="B10899" s="6"/>
      <c r="C10899" s="6"/>
    </row>
    <row r="10900" s="1" customFormat="1" spans="1:3">
      <c r="A10900" s="6"/>
      <c r="B10900" s="6"/>
      <c r="C10900" s="6"/>
    </row>
    <row r="10901" s="1" customFormat="1" spans="1:3">
      <c r="A10901" s="6"/>
      <c r="B10901" s="6"/>
      <c r="C10901" s="6"/>
    </row>
    <row r="10902" s="1" customFormat="1" spans="1:3">
      <c r="A10902" s="6"/>
      <c r="B10902" s="6"/>
      <c r="C10902" s="6"/>
    </row>
    <row r="10903" s="1" customFormat="1" spans="1:3">
      <c r="A10903" s="6"/>
      <c r="B10903" s="6"/>
      <c r="C10903" s="6"/>
    </row>
    <row r="10904" s="1" customFormat="1" spans="1:3">
      <c r="A10904" s="6"/>
      <c r="B10904" s="6"/>
      <c r="C10904" s="6"/>
    </row>
    <row r="10905" s="1" customFormat="1" spans="1:3">
      <c r="A10905" s="6"/>
      <c r="B10905" s="6"/>
      <c r="C10905" s="6"/>
    </row>
    <row r="10906" s="1" customFormat="1" spans="1:3">
      <c r="A10906" s="6"/>
      <c r="B10906" s="6"/>
      <c r="C10906" s="6"/>
    </row>
    <row r="10907" s="1" customFormat="1" spans="1:3">
      <c r="A10907" s="6"/>
      <c r="B10907" s="6"/>
      <c r="C10907" s="6"/>
    </row>
    <row r="10908" s="1" customFormat="1" spans="1:3">
      <c r="A10908" s="6"/>
      <c r="B10908" s="6"/>
      <c r="C10908" s="6"/>
    </row>
    <row r="10909" s="1" customFormat="1" spans="1:3">
      <c r="A10909" s="6"/>
      <c r="B10909" s="6"/>
      <c r="C10909" s="6"/>
    </row>
    <row r="10910" s="1" customFormat="1" spans="1:3">
      <c r="A10910" s="6"/>
      <c r="B10910" s="6"/>
      <c r="C10910" s="6"/>
    </row>
    <row r="10911" s="1" customFormat="1" spans="1:3">
      <c r="A10911" s="6"/>
      <c r="B10911" s="6"/>
      <c r="C10911" s="6"/>
    </row>
    <row r="10912" s="1" customFormat="1" spans="1:3">
      <c r="A10912" s="6"/>
      <c r="B10912" s="6"/>
      <c r="C10912" s="6"/>
    </row>
    <row r="10913" s="1" customFormat="1" spans="1:3">
      <c r="A10913" s="6"/>
      <c r="B10913" s="6"/>
      <c r="C10913" s="6"/>
    </row>
    <row r="10914" s="1" customFormat="1" spans="1:3">
      <c r="A10914" s="6"/>
      <c r="B10914" s="6"/>
      <c r="C10914" s="6"/>
    </row>
    <row r="10915" s="1" customFormat="1" spans="1:3">
      <c r="A10915" s="6"/>
      <c r="B10915" s="6"/>
      <c r="C10915" s="6"/>
    </row>
    <row r="10916" s="1" customFormat="1" spans="1:3">
      <c r="A10916" s="6"/>
      <c r="B10916" s="6"/>
      <c r="C10916" s="6"/>
    </row>
    <row r="10917" s="1" customFormat="1" spans="1:3">
      <c r="A10917" s="6"/>
      <c r="B10917" s="6"/>
      <c r="C10917" s="6"/>
    </row>
    <row r="10918" s="1" customFormat="1" spans="1:3">
      <c r="A10918" s="6"/>
      <c r="B10918" s="6"/>
      <c r="C10918" s="6"/>
    </row>
    <row r="10919" s="1" customFormat="1" spans="1:3">
      <c r="A10919" s="6"/>
      <c r="B10919" s="6"/>
      <c r="C10919" s="6"/>
    </row>
    <row r="10920" s="1" customFormat="1" spans="1:3">
      <c r="A10920" s="6"/>
      <c r="B10920" s="6"/>
      <c r="C10920" s="6"/>
    </row>
    <row r="10921" s="1" customFormat="1" spans="1:3">
      <c r="A10921" s="6"/>
      <c r="B10921" s="6"/>
      <c r="C10921" s="6"/>
    </row>
    <row r="10922" s="1" customFormat="1" spans="1:3">
      <c r="A10922" s="6"/>
      <c r="B10922" s="6"/>
      <c r="C10922" s="6"/>
    </row>
    <row r="10923" s="1" customFormat="1" spans="1:3">
      <c r="A10923" s="6"/>
      <c r="B10923" s="6"/>
      <c r="C10923" s="6"/>
    </row>
    <row r="10924" s="1" customFormat="1" spans="1:3">
      <c r="A10924" s="6"/>
      <c r="B10924" s="6"/>
      <c r="C10924" s="6"/>
    </row>
    <row r="10925" s="1" customFormat="1" spans="1:3">
      <c r="A10925" s="6"/>
      <c r="B10925" s="6"/>
      <c r="C10925" s="6"/>
    </row>
    <row r="10926" s="1" customFormat="1" spans="1:3">
      <c r="A10926" s="6"/>
      <c r="B10926" s="6"/>
      <c r="C10926" s="6"/>
    </row>
    <row r="10927" s="1" customFormat="1" spans="1:3">
      <c r="A10927" s="6"/>
      <c r="B10927" s="6"/>
      <c r="C10927" s="6"/>
    </row>
    <row r="10928" s="1" customFormat="1" spans="1:3">
      <c r="A10928" s="6"/>
      <c r="B10928" s="6"/>
      <c r="C10928" s="6"/>
    </row>
    <row r="10929" s="1" customFormat="1" spans="1:3">
      <c r="A10929" s="6"/>
      <c r="B10929" s="6"/>
      <c r="C10929" s="6"/>
    </row>
    <row r="10930" s="1" customFormat="1" spans="1:3">
      <c r="A10930" s="6"/>
      <c r="B10930" s="6"/>
      <c r="C10930" s="6"/>
    </row>
    <row r="10931" s="1" customFormat="1" spans="1:3">
      <c r="A10931" s="6"/>
      <c r="B10931" s="6"/>
      <c r="C10931" s="6"/>
    </row>
    <row r="10932" s="1" customFormat="1" spans="1:3">
      <c r="A10932" s="6"/>
      <c r="B10932" s="6"/>
      <c r="C10932" s="6"/>
    </row>
    <row r="10933" s="1" customFormat="1" spans="1:3">
      <c r="A10933" s="6"/>
      <c r="B10933" s="6"/>
      <c r="C10933" s="6"/>
    </row>
    <row r="10934" s="1" customFormat="1" spans="1:3">
      <c r="A10934" s="6"/>
      <c r="B10934" s="6"/>
      <c r="C10934" s="6"/>
    </row>
    <row r="10935" s="1" customFormat="1" spans="1:3">
      <c r="A10935" s="6"/>
      <c r="B10935" s="6"/>
      <c r="C10935" s="6"/>
    </row>
    <row r="10936" s="1" customFormat="1" spans="1:3">
      <c r="A10936" s="6"/>
      <c r="B10936" s="6"/>
      <c r="C10936" s="6"/>
    </row>
    <row r="10937" s="1" customFormat="1" spans="1:3">
      <c r="A10937" s="6"/>
      <c r="B10937" s="6"/>
      <c r="C10937" s="6"/>
    </row>
    <row r="10938" s="1" customFormat="1" spans="1:3">
      <c r="A10938" s="6"/>
      <c r="B10938" s="6"/>
      <c r="C10938" s="6"/>
    </row>
    <row r="10939" s="1" customFormat="1" spans="1:3">
      <c r="A10939" s="6"/>
      <c r="B10939" s="6"/>
      <c r="C10939" s="6"/>
    </row>
    <row r="10940" s="1" customFormat="1" spans="1:3">
      <c r="A10940" s="6"/>
      <c r="B10940" s="6"/>
      <c r="C10940" s="6"/>
    </row>
    <row r="10941" s="1" customFormat="1" spans="1:3">
      <c r="A10941" s="6"/>
      <c r="B10941" s="6"/>
      <c r="C10941" s="6"/>
    </row>
    <row r="10942" s="1" customFormat="1" spans="1:3">
      <c r="A10942" s="6"/>
      <c r="B10942" s="6"/>
      <c r="C10942" s="6"/>
    </row>
    <row r="10943" s="1" customFormat="1" spans="1:3">
      <c r="A10943" s="6"/>
      <c r="B10943" s="6"/>
      <c r="C10943" s="6"/>
    </row>
    <row r="10944" s="1" customFormat="1" spans="1:3">
      <c r="A10944" s="6"/>
      <c r="B10944" s="6"/>
      <c r="C10944" s="6"/>
    </row>
    <row r="10945" s="1" customFormat="1" spans="1:3">
      <c r="A10945" s="6"/>
      <c r="B10945" s="6"/>
      <c r="C10945" s="6"/>
    </row>
    <row r="10946" s="1" customFormat="1" spans="1:3">
      <c r="A10946" s="6"/>
      <c r="B10946" s="6"/>
      <c r="C10946" s="6"/>
    </row>
    <row r="10947" s="1" customFormat="1" spans="1:3">
      <c r="A10947" s="6"/>
      <c r="B10947" s="6"/>
      <c r="C10947" s="6"/>
    </row>
    <row r="10948" s="1" customFormat="1" spans="1:3">
      <c r="A10948" s="6"/>
      <c r="B10948" s="6"/>
      <c r="C10948" s="6"/>
    </row>
    <row r="10949" s="1" customFormat="1" spans="1:3">
      <c r="A10949" s="6"/>
      <c r="B10949" s="6"/>
      <c r="C10949" s="6"/>
    </row>
    <row r="10950" s="1" customFormat="1" spans="1:3">
      <c r="A10950" s="6"/>
      <c r="B10950" s="6"/>
      <c r="C10950" s="6"/>
    </row>
    <row r="10951" s="1" customFormat="1" spans="1:3">
      <c r="A10951" s="6"/>
      <c r="B10951" s="6"/>
      <c r="C10951" s="6"/>
    </row>
    <row r="10952" s="1" customFormat="1" spans="1:3">
      <c r="A10952" s="6"/>
      <c r="B10952" s="6"/>
      <c r="C10952" s="6"/>
    </row>
    <row r="10953" s="1" customFormat="1" spans="1:3">
      <c r="A10953" s="6"/>
      <c r="B10953" s="6"/>
      <c r="C10953" s="6"/>
    </row>
    <row r="10954" s="1" customFormat="1" spans="1:3">
      <c r="A10954" s="6"/>
      <c r="B10954" s="6"/>
      <c r="C10954" s="6"/>
    </row>
    <row r="10955" s="1" customFormat="1" spans="1:3">
      <c r="A10955" s="6"/>
      <c r="B10955" s="6"/>
      <c r="C10955" s="6"/>
    </row>
    <row r="10956" s="1" customFormat="1" spans="1:3">
      <c r="A10956" s="6"/>
      <c r="B10956" s="6"/>
      <c r="C10956" s="6"/>
    </row>
    <row r="10957" s="1" customFormat="1" spans="1:3">
      <c r="A10957" s="6"/>
      <c r="B10957" s="6"/>
      <c r="C10957" s="6"/>
    </row>
    <row r="10958" s="1" customFormat="1" spans="1:3">
      <c r="A10958" s="6"/>
      <c r="B10958" s="6"/>
      <c r="C10958" s="6"/>
    </row>
    <row r="10959" s="1" customFormat="1" spans="1:3">
      <c r="A10959" s="6"/>
      <c r="B10959" s="6"/>
      <c r="C10959" s="6"/>
    </row>
    <row r="10960" s="1" customFormat="1" spans="1:3">
      <c r="A10960" s="6"/>
      <c r="B10960" s="6"/>
      <c r="C10960" s="6"/>
    </row>
    <row r="10961" s="1" customFormat="1" spans="1:3">
      <c r="A10961" s="6"/>
      <c r="B10961" s="6"/>
      <c r="C10961" s="6"/>
    </row>
    <row r="10962" s="1" customFormat="1" spans="1:3">
      <c r="A10962" s="6"/>
      <c r="B10962" s="6"/>
      <c r="C10962" s="6"/>
    </row>
    <row r="10963" s="1" customFormat="1" spans="1:3">
      <c r="A10963" s="6"/>
      <c r="B10963" s="6"/>
      <c r="C10963" s="6"/>
    </row>
    <row r="10964" s="1" customFormat="1" spans="1:3">
      <c r="A10964" s="6"/>
      <c r="B10964" s="6"/>
      <c r="C10964" s="6"/>
    </row>
    <row r="10965" s="1" customFormat="1" spans="1:3">
      <c r="A10965" s="6"/>
      <c r="B10965" s="6"/>
      <c r="C10965" s="6"/>
    </row>
    <row r="10966" s="1" customFormat="1" spans="1:3">
      <c r="A10966" s="6"/>
      <c r="B10966" s="6"/>
      <c r="C10966" s="6"/>
    </row>
    <row r="10967" s="1" customFormat="1" spans="1:3">
      <c r="A10967" s="6"/>
      <c r="B10967" s="6"/>
      <c r="C10967" s="6"/>
    </row>
    <row r="10968" s="1" customFormat="1" spans="1:3">
      <c r="A10968" s="6"/>
      <c r="B10968" s="6"/>
      <c r="C10968" s="6"/>
    </row>
    <row r="10969" s="1" customFormat="1" spans="1:3">
      <c r="A10969" s="6"/>
      <c r="B10969" s="6"/>
      <c r="C10969" s="6"/>
    </row>
    <row r="10970" s="1" customFormat="1" spans="1:3">
      <c r="A10970" s="6"/>
      <c r="B10970" s="6"/>
      <c r="C10970" s="6"/>
    </row>
    <row r="10971" s="1" customFormat="1" spans="1:3">
      <c r="A10971" s="6"/>
      <c r="B10971" s="6"/>
      <c r="C10971" s="6"/>
    </row>
    <row r="10972" s="1" customFormat="1" spans="1:3">
      <c r="A10972" s="6"/>
      <c r="B10972" s="6"/>
      <c r="C10972" s="6"/>
    </row>
    <row r="10973" s="1" customFormat="1" spans="1:3">
      <c r="A10973" s="6"/>
      <c r="B10973" s="6"/>
      <c r="C10973" s="6"/>
    </row>
    <row r="10974" s="1" customFormat="1" spans="1:3">
      <c r="A10974" s="6"/>
      <c r="B10974" s="6"/>
      <c r="C10974" s="6"/>
    </row>
    <row r="10975" s="1" customFormat="1" spans="1:3">
      <c r="A10975" s="6"/>
      <c r="B10975" s="6"/>
      <c r="C10975" s="6"/>
    </row>
    <row r="10976" s="1" customFormat="1" spans="1:3">
      <c r="A10976" s="6"/>
      <c r="B10976" s="6"/>
      <c r="C10976" s="6"/>
    </row>
    <row r="10977" s="1" customFormat="1" spans="1:3">
      <c r="A10977" s="6"/>
      <c r="B10977" s="6"/>
      <c r="C10977" s="6"/>
    </row>
    <row r="10978" s="1" customFormat="1" spans="1:3">
      <c r="A10978" s="6"/>
      <c r="B10978" s="6"/>
      <c r="C10978" s="6"/>
    </row>
    <row r="10979" s="1" customFormat="1" spans="1:3">
      <c r="A10979" s="6"/>
      <c r="B10979" s="6"/>
      <c r="C10979" s="6"/>
    </row>
    <row r="10980" s="1" customFormat="1" spans="1:3">
      <c r="A10980" s="6"/>
      <c r="B10980" s="6"/>
      <c r="C10980" s="6"/>
    </row>
    <row r="10981" s="1" customFormat="1" spans="1:3">
      <c r="A10981" s="6"/>
      <c r="B10981" s="6"/>
      <c r="C10981" s="6"/>
    </row>
    <row r="10982" s="1" customFormat="1" spans="1:3">
      <c r="A10982" s="6"/>
      <c r="B10982" s="6"/>
      <c r="C10982" s="6"/>
    </row>
    <row r="10983" s="1" customFormat="1" spans="1:3">
      <c r="A10983" s="6"/>
      <c r="B10983" s="6"/>
      <c r="C10983" s="6"/>
    </row>
    <row r="10984" s="1" customFormat="1" spans="1:3">
      <c r="A10984" s="6"/>
      <c r="B10984" s="6"/>
      <c r="C10984" s="6"/>
    </row>
    <row r="10985" s="1" customFormat="1" spans="1:3">
      <c r="A10985" s="6"/>
      <c r="B10985" s="6"/>
      <c r="C10985" s="6"/>
    </row>
    <row r="10986" s="1" customFormat="1" spans="1:3">
      <c r="A10986" s="6"/>
      <c r="B10986" s="6"/>
      <c r="C10986" s="6"/>
    </row>
    <row r="10987" s="1" customFormat="1" spans="1:3">
      <c r="A10987" s="6"/>
      <c r="B10987" s="6"/>
      <c r="C10987" s="6"/>
    </row>
    <row r="10988" s="1" customFormat="1" spans="1:3">
      <c r="A10988" s="6"/>
      <c r="B10988" s="6"/>
      <c r="C10988" s="6"/>
    </row>
    <row r="10989" s="1" customFormat="1" spans="1:3">
      <c r="A10989" s="6"/>
      <c r="B10989" s="6"/>
      <c r="C10989" s="6"/>
    </row>
    <row r="10990" s="1" customFormat="1" spans="1:3">
      <c r="A10990" s="6"/>
      <c r="B10990" s="6"/>
      <c r="C10990" s="6"/>
    </row>
    <row r="10991" s="1" customFormat="1" spans="1:3">
      <c r="A10991" s="6"/>
      <c r="B10991" s="6"/>
      <c r="C10991" s="6"/>
    </row>
    <row r="10992" s="1" customFormat="1" spans="1:3">
      <c r="A10992" s="6"/>
      <c r="B10992" s="6"/>
      <c r="C10992" s="6"/>
    </row>
    <row r="10993" s="1" customFormat="1" spans="1:3">
      <c r="A10993" s="6"/>
      <c r="B10993" s="6"/>
      <c r="C10993" s="6"/>
    </row>
    <row r="10994" s="1" customFormat="1" spans="1:3">
      <c r="A10994" s="6"/>
      <c r="B10994" s="6"/>
      <c r="C10994" s="6"/>
    </row>
    <row r="10995" s="1" customFormat="1" spans="1:3">
      <c r="A10995" s="6"/>
      <c r="B10995" s="6"/>
      <c r="C10995" s="6"/>
    </row>
    <row r="10996" s="1" customFormat="1" spans="1:3">
      <c r="A10996" s="6"/>
      <c r="B10996" s="6"/>
      <c r="C10996" s="6"/>
    </row>
    <row r="10997" s="1" customFormat="1" spans="1:3">
      <c r="A10997" s="6"/>
      <c r="B10997" s="6"/>
      <c r="C10997" s="6"/>
    </row>
    <row r="10998" s="1" customFormat="1" spans="1:3">
      <c r="A10998" s="6"/>
      <c r="B10998" s="6"/>
      <c r="C10998" s="6"/>
    </row>
    <row r="10999" s="1" customFormat="1" spans="1:3">
      <c r="A10999" s="6"/>
      <c r="B10999" s="6"/>
      <c r="C10999" s="6"/>
    </row>
    <row r="11000" s="1" customFormat="1" spans="1:3">
      <c r="A11000" s="6"/>
      <c r="B11000" s="6"/>
      <c r="C11000" s="6"/>
    </row>
    <row r="11001" s="1" customFormat="1" spans="1:3">
      <c r="A11001" s="6"/>
      <c r="B11001" s="6"/>
      <c r="C11001" s="6"/>
    </row>
    <row r="11002" s="1" customFormat="1" spans="1:3">
      <c r="A11002" s="6"/>
      <c r="B11002" s="6"/>
      <c r="C11002" s="6"/>
    </row>
    <row r="11003" s="1" customFormat="1" spans="1:3">
      <c r="A11003" s="6"/>
      <c r="B11003" s="6"/>
      <c r="C11003" s="6"/>
    </row>
    <row r="11004" s="1" customFormat="1" spans="1:3">
      <c r="A11004" s="6"/>
      <c r="B11004" s="6"/>
      <c r="C11004" s="6"/>
    </row>
    <row r="11005" s="1" customFormat="1" spans="1:3">
      <c r="A11005" s="6"/>
      <c r="B11005" s="6"/>
      <c r="C11005" s="6"/>
    </row>
    <row r="11006" s="1" customFormat="1" spans="1:3">
      <c r="A11006" s="6"/>
      <c r="B11006" s="6"/>
      <c r="C11006" s="6"/>
    </row>
    <row r="11007" s="1" customFormat="1" spans="1:3">
      <c r="A11007" s="6"/>
      <c r="B11007" s="6"/>
      <c r="C11007" s="6"/>
    </row>
    <row r="11008" s="1" customFormat="1" spans="1:3">
      <c r="A11008" s="6"/>
      <c r="B11008" s="6"/>
      <c r="C11008" s="6"/>
    </row>
    <row r="11009" s="1" customFormat="1" spans="1:3">
      <c r="A11009" s="6"/>
      <c r="B11009" s="6"/>
      <c r="C11009" s="6"/>
    </row>
    <row r="11010" s="1" customFormat="1" spans="1:3">
      <c r="A11010" s="6"/>
      <c r="B11010" s="6"/>
      <c r="C11010" s="6"/>
    </row>
    <row r="11011" s="1" customFormat="1" spans="1:3">
      <c r="A11011" s="6"/>
      <c r="B11011" s="6"/>
      <c r="C11011" s="6"/>
    </row>
    <row r="11012" s="1" customFormat="1" spans="1:3">
      <c r="A11012" s="6"/>
      <c r="B11012" s="6"/>
      <c r="C11012" s="6"/>
    </row>
    <row r="11013" s="1" customFormat="1" spans="1:3">
      <c r="A11013" s="6"/>
      <c r="B11013" s="6"/>
      <c r="C11013" s="6"/>
    </row>
    <row r="11014" s="1" customFormat="1" spans="1:3">
      <c r="A11014" s="6"/>
      <c r="B11014" s="6"/>
      <c r="C11014" s="6"/>
    </row>
    <row r="11015" s="1" customFormat="1" spans="1:3">
      <c r="A11015" s="6"/>
      <c r="B11015" s="6"/>
      <c r="C11015" s="6"/>
    </row>
    <row r="11016" s="1" customFormat="1" spans="1:3">
      <c r="A11016" s="6"/>
      <c r="B11016" s="6"/>
      <c r="C11016" s="6"/>
    </row>
    <row r="11017" s="1" customFormat="1" spans="1:3">
      <c r="A11017" s="6"/>
      <c r="B11017" s="6"/>
      <c r="C11017" s="6"/>
    </row>
    <row r="11018" s="1" customFormat="1" spans="1:3">
      <c r="A11018" s="6"/>
      <c r="B11018" s="6"/>
      <c r="C11018" s="6"/>
    </row>
    <row r="11019" s="1" customFormat="1" spans="1:3">
      <c r="A11019" s="6"/>
      <c r="B11019" s="6"/>
      <c r="C11019" s="6"/>
    </row>
    <row r="11020" s="1" customFormat="1" spans="1:3">
      <c r="A11020" s="6"/>
      <c r="B11020" s="6"/>
      <c r="C11020" s="6"/>
    </row>
    <row r="11021" s="1" customFormat="1" spans="1:3">
      <c r="A11021" s="6"/>
      <c r="B11021" s="6"/>
      <c r="C11021" s="6"/>
    </row>
    <row r="11022" s="1" customFormat="1" spans="1:3">
      <c r="A11022" s="6"/>
      <c r="B11022" s="6"/>
      <c r="C11022" s="6"/>
    </row>
    <row r="11023" s="1" customFormat="1" spans="1:3">
      <c r="A11023" s="6"/>
      <c r="B11023" s="6"/>
      <c r="C11023" s="6"/>
    </row>
    <row r="11024" s="1" customFormat="1" spans="1:3">
      <c r="A11024" s="6"/>
      <c r="B11024" s="6"/>
      <c r="C11024" s="6"/>
    </row>
    <row r="11025" s="1" customFormat="1" spans="1:3">
      <c r="A11025" s="6"/>
      <c r="B11025" s="6"/>
      <c r="C11025" s="6"/>
    </row>
    <row r="11026" s="1" customFormat="1" spans="1:3">
      <c r="A11026" s="6"/>
      <c r="B11026" s="6"/>
      <c r="C11026" s="6"/>
    </row>
    <row r="11027" s="1" customFormat="1" spans="1:3">
      <c r="A11027" s="6"/>
      <c r="B11027" s="6"/>
      <c r="C11027" s="6"/>
    </row>
    <row r="11028" s="1" customFormat="1" spans="1:3">
      <c r="A11028" s="6"/>
      <c r="B11028" s="6"/>
      <c r="C11028" s="6"/>
    </row>
    <row r="11029" s="1" customFormat="1" spans="1:3">
      <c r="A11029" s="6"/>
      <c r="B11029" s="6"/>
      <c r="C11029" s="6"/>
    </row>
    <row r="11030" s="1" customFormat="1" spans="1:3">
      <c r="A11030" s="6"/>
      <c r="B11030" s="6"/>
      <c r="C11030" s="6"/>
    </row>
    <row r="11031" s="1" customFormat="1" spans="1:3">
      <c r="A11031" s="6"/>
      <c r="B11031" s="6"/>
      <c r="C11031" s="6"/>
    </row>
    <row r="11032" s="1" customFormat="1" spans="1:3">
      <c r="A11032" s="6"/>
      <c r="B11032" s="6"/>
      <c r="C11032" s="6"/>
    </row>
    <row r="11033" s="1" customFormat="1" spans="1:3">
      <c r="A11033" s="6"/>
      <c r="B11033" s="6"/>
      <c r="C11033" s="6"/>
    </row>
    <row r="11034" s="1" customFormat="1" spans="1:3">
      <c r="A11034" s="6"/>
      <c r="B11034" s="6"/>
      <c r="C11034" s="6"/>
    </row>
    <row r="11035" s="1" customFormat="1" spans="1:3">
      <c r="A11035" s="6"/>
      <c r="B11035" s="6"/>
      <c r="C11035" s="6"/>
    </row>
    <row r="11036" s="1" customFormat="1" spans="1:3">
      <c r="A11036" s="6"/>
      <c r="B11036" s="6"/>
      <c r="C11036" s="6"/>
    </row>
    <row r="11037" s="1" customFormat="1" spans="1:3">
      <c r="A11037" s="6"/>
      <c r="B11037" s="6"/>
      <c r="C11037" s="6"/>
    </row>
    <row r="11038" s="1" customFormat="1" spans="1:3">
      <c r="A11038" s="6"/>
      <c r="B11038" s="6"/>
      <c r="C11038" s="6"/>
    </row>
    <row r="11039" s="1" customFormat="1" spans="1:3">
      <c r="A11039" s="6"/>
      <c r="B11039" s="6"/>
      <c r="C11039" s="6"/>
    </row>
    <row r="11040" s="1" customFormat="1" spans="1:3">
      <c r="A11040" s="6"/>
      <c r="B11040" s="6"/>
      <c r="C11040" s="6"/>
    </row>
    <row r="11041" s="1" customFormat="1" spans="1:3">
      <c r="A11041" s="6"/>
      <c r="B11041" s="6"/>
      <c r="C11041" s="6"/>
    </row>
    <row r="11042" s="1" customFormat="1" spans="1:3">
      <c r="A11042" s="6"/>
      <c r="B11042" s="6"/>
      <c r="C11042" s="6"/>
    </row>
    <row r="11043" s="1" customFormat="1" spans="1:3">
      <c r="A11043" s="6"/>
      <c r="B11043" s="6"/>
      <c r="C11043" s="6"/>
    </row>
    <row r="11044" s="1" customFormat="1" spans="1:3">
      <c r="A11044" s="6"/>
      <c r="B11044" s="6"/>
      <c r="C11044" s="6"/>
    </row>
    <row r="11045" s="1" customFormat="1" spans="1:3">
      <c r="A11045" s="6"/>
      <c r="B11045" s="6"/>
      <c r="C11045" s="6"/>
    </row>
    <row r="11046" s="1" customFormat="1" spans="1:3">
      <c r="A11046" s="6"/>
      <c r="B11046" s="6"/>
      <c r="C11046" s="6"/>
    </row>
    <row r="11047" s="1" customFormat="1" spans="1:3">
      <c r="A11047" s="6"/>
      <c r="B11047" s="6"/>
      <c r="C11047" s="6"/>
    </row>
    <row r="11048" s="1" customFormat="1" spans="1:3">
      <c r="A11048" s="6"/>
      <c r="B11048" s="6"/>
      <c r="C11048" s="6"/>
    </row>
    <row r="11049" s="1" customFormat="1" spans="1:3">
      <c r="A11049" s="6"/>
      <c r="B11049" s="6"/>
      <c r="C11049" s="6"/>
    </row>
    <row r="11050" s="1" customFormat="1" spans="1:3">
      <c r="A11050" s="6"/>
      <c r="B11050" s="6"/>
      <c r="C11050" s="6"/>
    </row>
    <row r="11051" s="1" customFormat="1" spans="1:3">
      <c r="A11051" s="6"/>
      <c r="B11051" s="6"/>
      <c r="C11051" s="6"/>
    </row>
    <row r="11052" s="1" customFormat="1" spans="1:3">
      <c r="A11052" s="6"/>
      <c r="B11052" s="6"/>
      <c r="C11052" s="6"/>
    </row>
    <row r="11053" s="1" customFormat="1" spans="1:3">
      <c r="A11053" s="6"/>
      <c r="B11053" s="6"/>
      <c r="C11053" s="6"/>
    </row>
    <row r="11054" s="1" customFormat="1" spans="1:3">
      <c r="A11054" s="6"/>
      <c r="B11054" s="6"/>
      <c r="C11054" s="6"/>
    </row>
    <row r="11055" s="1" customFormat="1" spans="1:3">
      <c r="A11055" s="6"/>
      <c r="B11055" s="6"/>
      <c r="C11055" s="6"/>
    </row>
    <row r="11056" s="1" customFormat="1" spans="1:3">
      <c r="A11056" s="6"/>
      <c r="B11056" s="6"/>
      <c r="C11056" s="6"/>
    </row>
    <row r="11057" s="1" customFormat="1" spans="1:3">
      <c r="A11057" s="6"/>
      <c r="B11057" s="6"/>
      <c r="C11057" s="6"/>
    </row>
    <row r="11058" s="1" customFormat="1" spans="1:3">
      <c r="A11058" s="6"/>
      <c r="B11058" s="6"/>
      <c r="C11058" s="6"/>
    </row>
    <row r="11059" s="1" customFormat="1" spans="1:3">
      <c r="A11059" s="6"/>
      <c r="B11059" s="6"/>
      <c r="C11059" s="6"/>
    </row>
    <row r="11060" s="1" customFormat="1" spans="1:3">
      <c r="A11060" s="6"/>
      <c r="B11060" s="6"/>
      <c r="C11060" s="6"/>
    </row>
    <row r="11061" s="1" customFormat="1" spans="1:3">
      <c r="A11061" s="6"/>
      <c r="B11061" s="6"/>
      <c r="C11061" s="6"/>
    </row>
    <row r="11062" s="1" customFormat="1" spans="1:3">
      <c r="A11062" s="6"/>
      <c r="B11062" s="6"/>
      <c r="C11062" s="6"/>
    </row>
    <row r="11063" s="1" customFormat="1" spans="1:3">
      <c r="A11063" s="6"/>
      <c r="B11063" s="6"/>
      <c r="C11063" s="6"/>
    </row>
    <row r="11064" s="1" customFormat="1" spans="1:3">
      <c r="A11064" s="6"/>
      <c r="B11064" s="6"/>
      <c r="C11064" s="6"/>
    </row>
    <row r="11065" s="1" customFormat="1" spans="1:3">
      <c r="A11065" s="6"/>
      <c r="B11065" s="6"/>
      <c r="C11065" s="6"/>
    </row>
    <row r="11066" s="1" customFormat="1" spans="1:3">
      <c r="A11066" s="6"/>
      <c r="B11066" s="6"/>
      <c r="C11066" s="6"/>
    </row>
    <row r="11067" s="1" customFormat="1" spans="1:3">
      <c r="A11067" s="6"/>
      <c r="B11067" s="6"/>
      <c r="C11067" s="6"/>
    </row>
    <row r="11068" s="1" customFormat="1" spans="1:3">
      <c r="A11068" s="6"/>
      <c r="B11068" s="6"/>
      <c r="C11068" s="6"/>
    </row>
    <row r="11069" s="1" customFormat="1" spans="1:3">
      <c r="A11069" s="6"/>
      <c r="B11069" s="6"/>
      <c r="C11069" s="6"/>
    </row>
    <row r="11070" s="1" customFormat="1" spans="1:3">
      <c r="A11070" s="6"/>
      <c r="B11070" s="6"/>
      <c r="C11070" s="6"/>
    </row>
    <row r="11071" s="1" customFormat="1" spans="1:3">
      <c r="A11071" s="6"/>
      <c r="B11071" s="6"/>
      <c r="C11071" s="6"/>
    </row>
    <row r="11072" s="1" customFormat="1" spans="1:3">
      <c r="A11072" s="6"/>
      <c r="B11072" s="6"/>
      <c r="C11072" s="6"/>
    </row>
    <row r="11073" s="1" customFormat="1" spans="1:3">
      <c r="A11073" s="6"/>
      <c r="B11073" s="6"/>
      <c r="C11073" s="6"/>
    </row>
    <row r="11074" s="1" customFormat="1" spans="1:3">
      <c r="A11074" s="6"/>
      <c r="B11074" s="6"/>
      <c r="C11074" s="6"/>
    </row>
    <row r="11075" s="1" customFormat="1" spans="1:3">
      <c r="A11075" s="6"/>
      <c r="B11075" s="6"/>
      <c r="C11075" s="6"/>
    </row>
    <row r="11076" s="1" customFormat="1" spans="1:3">
      <c r="A11076" s="6"/>
      <c r="B11076" s="6"/>
      <c r="C11076" s="6"/>
    </row>
    <row r="11077" s="1" customFormat="1" spans="1:3">
      <c r="A11077" s="6"/>
      <c r="B11077" s="6"/>
      <c r="C11077" s="6"/>
    </row>
    <row r="11078" s="1" customFormat="1" spans="1:3">
      <c r="A11078" s="6"/>
      <c r="B11078" s="6"/>
      <c r="C11078" s="6"/>
    </row>
    <row r="11079" s="1" customFormat="1" spans="1:3">
      <c r="A11079" s="6"/>
      <c r="B11079" s="6"/>
      <c r="C11079" s="6"/>
    </row>
    <row r="11080" s="1" customFormat="1" spans="1:3">
      <c r="A11080" s="6"/>
      <c r="B11080" s="6"/>
      <c r="C11080" s="6"/>
    </row>
    <row r="11081" s="1" customFormat="1" spans="1:3">
      <c r="A11081" s="6"/>
      <c r="B11081" s="6"/>
      <c r="C11081" s="6"/>
    </row>
    <row r="11082" s="1" customFormat="1" spans="1:3">
      <c r="A11082" s="6"/>
      <c r="B11082" s="6"/>
      <c r="C11082" s="6"/>
    </row>
    <row r="11083" s="1" customFormat="1" spans="1:3">
      <c r="A11083" s="6"/>
      <c r="B11083" s="6"/>
      <c r="C11083" s="6"/>
    </row>
    <row r="11084" s="1" customFormat="1" spans="1:3">
      <c r="A11084" s="6"/>
      <c r="B11084" s="6"/>
      <c r="C11084" s="6"/>
    </row>
    <row r="11085" s="1" customFormat="1" spans="1:3">
      <c r="A11085" s="6"/>
      <c r="B11085" s="6"/>
      <c r="C11085" s="6"/>
    </row>
    <row r="11086" s="1" customFormat="1" spans="1:3">
      <c r="A11086" s="6"/>
      <c r="B11086" s="6"/>
      <c r="C11086" s="6"/>
    </row>
    <row r="11087" s="1" customFormat="1" spans="1:3">
      <c r="A11087" s="6"/>
      <c r="B11087" s="6"/>
      <c r="C11087" s="6"/>
    </row>
    <row r="11088" s="1" customFormat="1" spans="1:3">
      <c r="A11088" s="6"/>
      <c r="B11088" s="6"/>
      <c r="C11088" s="6"/>
    </row>
    <row r="11089" s="1" customFormat="1" spans="1:3">
      <c r="A11089" s="6"/>
      <c r="B11089" s="6"/>
      <c r="C11089" s="6"/>
    </row>
    <row r="11090" s="1" customFormat="1" spans="1:3">
      <c r="A11090" s="6"/>
      <c r="B11090" s="6"/>
      <c r="C11090" s="6"/>
    </row>
    <row r="11091" s="1" customFormat="1" spans="1:3">
      <c r="A11091" s="6"/>
      <c r="B11091" s="6"/>
      <c r="C11091" s="6"/>
    </row>
    <row r="11092" s="1" customFormat="1" spans="1:3">
      <c r="A11092" s="6"/>
      <c r="B11092" s="6"/>
      <c r="C11092" s="6"/>
    </row>
    <row r="11093" s="1" customFormat="1" spans="1:3">
      <c r="A11093" s="6"/>
      <c r="B11093" s="6"/>
      <c r="C11093" s="6"/>
    </row>
    <row r="11094" s="1" customFormat="1" spans="1:3">
      <c r="A11094" s="6"/>
      <c r="B11094" s="6"/>
      <c r="C11094" s="6"/>
    </row>
    <row r="11095" s="1" customFormat="1" spans="1:3">
      <c r="A11095" s="6"/>
      <c r="B11095" s="6"/>
      <c r="C11095" s="6"/>
    </row>
    <row r="11096" s="1" customFormat="1" spans="1:3">
      <c r="A11096" s="6"/>
      <c r="B11096" s="6"/>
      <c r="C11096" s="6"/>
    </row>
    <row r="11097" s="1" customFormat="1" spans="1:3">
      <c r="A11097" s="6"/>
      <c r="B11097" s="6"/>
      <c r="C11097" s="6"/>
    </row>
    <row r="11098" s="1" customFormat="1" spans="1:3">
      <c r="A11098" s="6"/>
      <c r="B11098" s="6"/>
      <c r="C11098" s="6"/>
    </row>
    <row r="11099" s="1" customFormat="1" spans="1:3">
      <c r="A11099" s="6"/>
      <c r="B11099" s="6"/>
      <c r="C11099" s="6"/>
    </row>
    <row r="11100" s="1" customFormat="1" spans="1:3">
      <c r="A11100" s="6"/>
      <c r="B11100" s="6"/>
      <c r="C11100" s="6"/>
    </row>
    <row r="11101" s="1" customFormat="1" spans="1:3">
      <c r="A11101" s="6"/>
      <c r="B11101" s="6"/>
      <c r="C11101" s="6"/>
    </row>
    <row r="11102" s="1" customFormat="1" spans="1:3">
      <c r="A11102" s="6"/>
      <c r="B11102" s="6"/>
      <c r="C11102" s="6"/>
    </row>
    <row r="11103" s="1" customFormat="1" spans="1:3">
      <c r="A11103" s="6"/>
      <c r="B11103" s="6"/>
      <c r="C11103" s="6"/>
    </row>
    <row r="11104" s="1" customFormat="1" spans="1:3">
      <c r="A11104" s="6"/>
      <c r="B11104" s="6"/>
      <c r="C11104" s="6"/>
    </row>
    <row r="11105" s="1" customFormat="1" spans="1:3">
      <c r="A11105" s="6"/>
      <c r="B11105" s="6"/>
      <c r="C11105" s="6"/>
    </row>
    <row r="11106" s="1" customFormat="1" spans="1:3">
      <c r="A11106" s="6"/>
      <c r="B11106" s="6"/>
      <c r="C11106" s="6"/>
    </row>
    <row r="11107" s="1" customFormat="1" spans="1:3">
      <c r="A11107" s="6"/>
      <c r="B11107" s="6"/>
      <c r="C11107" s="6"/>
    </row>
    <row r="11108" s="1" customFormat="1" spans="1:3">
      <c r="A11108" s="6"/>
      <c r="B11108" s="6"/>
      <c r="C11108" s="6"/>
    </row>
    <row r="11109" s="1" customFormat="1" spans="1:3">
      <c r="A11109" s="6"/>
      <c r="B11109" s="6"/>
      <c r="C11109" s="6"/>
    </row>
    <row r="11110" s="1" customFormat="1" spans="1:3">
      <c r="A11110" s="6"/>
      <c r="B11110" s="6"/>
      <c r="C11110" s="6"/>
    </row>
    <row r="11111" s="1" customFormat="1" spans="1:3">
      <c r="A11111" s="6"/>
      <c r="B11111" s="6"/>
      <c r="C11111" s="6"/>
    </row>
    <row r="11112" s="1" customFormat="1" spans="1:3">
      <c r="A11112" s="6"/>
      <c r="B11112" s="6"/>
      <c r="C11112" s="6"/>
    </row>
    <row r="11113" s="1" customFormat="1" spans="1:3">
      <c r="A11113" s="6"/>
      <c r="B11113" s="6"/>
      <c r="C11113" s="6"/>
    </row>
    <row r="11114" s="1" customFormat="1" spans="1:3">
      <c r="A11114" s="6"/>
      <c r="B11114" s="6"/>
      <c r="C11114" s="6"/>
    </row>
    <row r="11115" s="1" customFormat="1" spans="1:3">
      <c r="A11115" s="6"/>
      <c r="B11115" s="6"/>
      <c r="C11115" s="6"/>
    </row>
    <row r="11116" s="1" customFormat="1" spans="1:3">
      <c r="A11116" s="6"/>
      <c r="B11116" s="6"/>
      <c r="C11116" s="6"/>
    </row>
    <row r="11117" s="1" customFormat="1" spans="1:3">
      <c r="A11117" s="6"/>
      <c r="B11117" s="6"/>
      <c r="C11117" s="6"/>
    </row>
    <row r="11118" s="1" customFormat="1" spans="1:3">
      <c r="A11118" s="6"/>
      <c r="B11118" s="6"/>
      <c r="C11118" s="6"/>
    </row>
    <row r="11119" s="1" customFormat="1" spans="1:3">
      <c r="A11119" s="6"/>
      <c r="B11119" s="6"/>
      <c r="C11119" s="6"/>
    </row>
    <row r="11120" s="1" customFormat="1" spans="1:3">
      <c r="A11120" s="6"/>
      <c r="B11120" s="6"/>
      <c r="C11120" s="6"/>
    </row>
    <row r="11121" s="1" customFormat="1" spans="1:3">
      <c r="A11121" s="6"/>
      <c r="B11121" s="6"/>
      <c r="C11121" s="6"/>
    </row>
    <row r="11122" s="1" customFormat="1" spans="1:3">
      <c r="A11122" s="6"/>
      <c r="B11122" s="6"/>
      <c r="C11122" s="6"/>
    </row>
    <row r="11123" s="1" customFormat="1" spans="1:3">
      <c r="A11123" s="6"/>
      <c r="B11123" s="6"/>
      <c r="C11123" s="6"/>
    </row>
    <row r="11124" s="1" customFormat="1" spans="1:3">
      <c r="A11124" s="6"/>
      <c r="B11124" s="6"/>
      <c r="C11124" s="6"/>
    </row>
    <row r="11125" s="1" customFormat="1" spans="1:3">
      <c r="A11125" s="6"/>
      <c r="B11125" s="6"/>
      <c r="C11125" s="6"/>
    </row>
    <row r="11126" s="1" customFormat="1" spans="1:3">
      <c r="A11126" s="6"/>
      <c r="B11126" s="6"/>
      <c r="C11126" s="6"/>
    </row>
    <row r="11127" s="1" customFormat="1" spans="1:3">
      <c r="A11127" s="6"/>
      <c r="B11127" s="6"/>
      <c r="C11127" s="6"/>
    </row>
    <row r="11128" s="1" customFormat="1" spans="1:3">
      <c r="A11128" s="6"/>
      <c r="B11128" s="6"/>
      <c r="C11128" s="6"/>
    </row>
    <row r="11129" s="1" customFormat="1" spans="1:3">
      <c r="A11129" s="6"/>
      <c r="B11129" s="6"/>
      <c r="C11129" s="6"/>
    </row>
    <row r="11130" s="1" customFormat="1" spans="1:3">
      <c r="A11130" s="6"/>
      <c r="B11130" s="6"/>
      <c r="C11130" s="6"/>
    </row>
    <row r="11131" s="1" customFormat="1" spans="1:3">
      <c r="A11131" s="6"/>
      <c r="B11131" s="6"/>
      <c r="C11131" s="6"/>
    </row>
    <row r="11132" s="1" customFormat="1" spans="1:3">
      <c r="A11132" s="6"/>
      <c r="B11132" s="6"/>
      <c r="C11132" s="6"/>
    </row>
    <row r="11133" s="1" customFormat="1" spans="1:3">
      <c r="A11133" s="6"/>
      <c r="B11133" s="6"/>
      <c r="C11133" s="6"/>
    </row>
    <row r="11134" s="1" customFormat="1" spans="1:3">
      <c r="A11134" s="6"/>
      <c r="B11134" s="6"/>
      <c r="C11134" s="6"/>
    </row>
    <row r="11135" s="1" customFormat="1" spans="1:3">
      <c r="A11135" s="6"/>
      <c r="B11135" s="6"/>
      <c r="C11135" s="6"/>
    </row>
    <row r="11136" s="1" customFormat="1" spans="1:3">
      <c r="A11136" s="6"/>
      <c r="B11136" s="6"/>
      <c r="C11136" s="6"/>
    </row>
    <row r="11137" s="1" customFormat="1" spans="1:3">
      <c r="A11137" s="6"/>
      <c r="B11137" s="6"/>
      <c r="C11137" s="6"/>
    </row>
    <row r="11138" s="1" customFormat="1" spans="1:3">
      <c r="A11138" s="6"/>
      <c r="B11138" s="6"/>
      <c r="C11138" s="6"/>
    </row>
    <row r="11139" s="1" customFormat="1" spans="1:3">
      <c r="A11139" s="6"/>
      <c r="B11139" s="6"/>
      <c r="C11139" s="6"/>
    </row>
    <row r="11140" s="1" customFormat="1" spans="1:3">
      <c r="A11140" s="6"/>
      <c r="B11140" s="6"/>
      <c r="C11140" s="6"/>
    </row>
    <row r="11141" s="1" customFormat="1" spans="1:3">
      <c r="A11141" s="6"/>
      <c r="B11141" s="6"/>
      <c r="C11141" s="6"/>
    </row>
    <row r="11142" s="1" customFormat="1" spans="1:3">
      <c r="A11142" s="6"/>
      <c r="B11142" s="6"/>
      <c r="C11142" s="6"/>
    </row>
    <row r="11143" s="1" customFormat="1" spans="1:3">
      <c r="A11143" s="6"/>
      <c r="B11143" s="6"/>
      <c r="C11143" s="6"/>
    </row>
    <row r="11144" s="1" customFormat="1" spans="1:3">
      <c r="A11144" s="6"/>
      <c r="B11144" s="6"/>
      <c r="C11144" s="6"/>
    </row>
    <row r="11145" s="1" customFormat="1" spans="1:3">
      <c r="A11145" s="6"/>
      <c r="B11145" s="6"/>
      <c r="C11145" s="6"/>
    </row>
    <row r="11146" s="1" customFormat="1" spans="1:3">
      <c r="A11146" s="6"/>
      <c r="B11146" s="6"/>
      <c r="C11146" s="6"/>
    </row>
    <row r="11147" s="1" customFormat="1" spans="1:3">
      <c r="A11147" s="6"/>
      <c r="B11147" s="6"/>
      <c r="C11147" s="6"/>
    </row>
    <row r="11148" s="1" customFormat="1" spans="1:3">
      <c r="A11148" s="6"/>
      <c r="B11148" s="6"/>
      <c r="C11148" s="6"/>
    </row>
    <row r="11149" s="1" customFormat="1" spans="1:3">
      <c r="A11149" s="6"/>
      <c r="B11149" s="6"/>
      <c r="C11149" s="6"/>
    </row>
    <row r="11150" s="1" customFormat="1" spans="1:3">
      <c r="A11150" s="6"/>
      <c r="B11150" s="6"/>
      <c r="C11150" s="6"/>
    </row>
    <row r="11151" s="1" customFormat="1" spans="1:3">
      <c r="A11151" s="6"/>
      <c r="B11151" s="6"/>
      <c r="C11151" s="6"/>
    </row>
    <row r="11152" s="1" customFormat="1" spans="1:3">
      <c r="A11152" s="6"/>
      <c r="B11152" s="6"/>
      <c r="C11152" s="6"/>
    </row>
    <row r="11153" s="1" customFormat="1" spans="1:3">
      <c r="A11153" s="6"/>
      <c r="B11153" s="6"/>
      <c r="C11153" s="6"/>
    </row>
    <row r="11154" s="1" customFormat="1" spans="1:3">
      <c r="A11154" s="6"/>
      <c r="B11154" s="6"/>
      <c r="C11154" s="6"/>
    </row>
    <row r="11155" s="1" customFormat="1" spans="1:3">
      <c r="A11155" s="6"/>
      <c r="B11155" s="6"/>
      <c r="C11155" s="6"/>
    </row>
    <row r="11156" s="1" customFormat="1" spans="1:3">
      <c r="A11156" s="6"/>
      <c r="B11156" s="6"/>
      <c r="C11156" s="6"/>
    </row>
    <row r="11157" s="1" customFormat="1" spans="1:3">
      <c r="A11157" s="6"/>
      <c r="B11157" s="6"/>
      <c r="C11157" s="6"/>
    </row>
    <row r="11158" s="1" customFormat="1" spans="1:3">
      <c r="A11158" s="6"/>
      <c r="B11158" s="6"/>
      <c r="C11158" s="6"/>
    </row>
    <row r="11159" s="1" customFormat="1" spans="1:3">
      <c r="A11159" s="6"/>
      <c r="B11159" s="6"/>
      <c r="C11159" s="6"/>
    </row>
    <row r="11160" s="1" customFormat="1" spans="1:3">
      <c r="A11160" s="6"/>
      <c r="B11160" s="6"/>
      <c r="C11160" s="6"/>
    </row>
    <row r="11161" s="1" customFormat="1" spans="1:3">
      <c r="A11161" s="6"/>
      <c r="B11161" s="6"/>
      <c r="C11161" s="6"/>
    </row>
    <row r="11162" s="1" customFormat="1" spans="1:3">
      <c r="A11162" s="6"/>
      <c r="B11162" s="6"/>
      <c r="C11162" s="6"/>
    </row>
    <row r="11163" s="1" customFormat="1" spans="1:3">
      <c r="A11163" s="6"/>
      <c r="B11163" s="6"/>
      <c r="C11163" s="6"/>
    </row>
    <row r="11164" s="1" customFormat="1" spans="1:3">
      <c r="A11164" s="6"/>
      <c r="B11164" s="6"/>
      <c r="C11164" s="6"/>
    </row>
    <row r="11165" s="1" customFormat="1" spans="1:3">
      <c r="A11165" s="6"/>
      <c r="B11165" s="6"/>
      <c r="C11165" s="6"/>
    </row>
    <row r="11166" s="1" customFormat="1" spans="1:3">
      <c r="A11166" s="6"/>
      <c r="B11166" s="6"/>
      <c r="C11166" s="6"/>
    </row>
    <row r="11167" s="1" customFormat="1" spans="1:3">
      <c r="A11167" s="6"/>
      <c r="B11167" s="6"/>
      <c r="C11167" s="6"/>
    </row>
    <row r="11168" s="1" customFormat="1" spans="1:3">
      <c r="A11168" s="6"/>
      <c r="B11168" s="6"/>
      <c r="C11168" s="6"/>
    </row>
    <row r="11169" s="1" customFormat="1" spans="1:3">
      <c r="A11169" s="6"/>
      <c r="B11169" s="6"/>
      <c r="C11169" s="6"/>
    </row>
    <row r="11170" s="1" customFormat="1" spans="1:3">
      <c r="A11170" s="6"/>
      <c r="B11170" s="6"/>
      <c r="C11170" s="6"/>
    </row>
    <row r="11171" s="1" customFormat="1" spans="1:3">
      <c r="A11171" s="6"/>
      <c r="B11171" s="6"/>
      <c r="C11171" s="6"/>
    </row>
    <row r="11172" s="1" customFormat="1" spans="1:3">
      <c r="A11172" s="6"/>
      <c r="B11172" s="6"/>
      <c r="C11172" s="6"/>
    </row>
    <row r="11173" s="1" customFormat="1" spans="1:3">
      <c r="A11173" s="6"/>
      <c r="B11173" s="6"/>
      <c r="C11173" s="6"/>
    </row>
    <row r="11174" s="1" customFormat="1" spans="1:3">
      <c r="A11174" s="6"/>
      <c r="B11174" s="6"/>
      <c r="C11174" s="6"/>
    </row>
    <row r="11175" s="1" customFormat="1" spans="1:3">
      <c r="A11175" s="6"/>
      <c r="B11175" s="6"/>
      <c r="C11175" s="6"/>
    </row>
    <row r="11176" s="1" customFormat="1" spans="1:3">
      <c r="A11176" s="6"/>
      <c r="B11176" s="6"/>
      <c r="C11176" s="6"/>
    </row>
    <row r="11177" s="1" customFormat="1" spans="1:3">
      <c r="A11177" s="6"/>
      <c r="B11177" s="6"/>
      <c r="C11177" s="6"/>
    </row>
    <row r="11178" s="1" customFormat="1" spans="1:3">
      <c r="A11178" s="6"/>
      <c r="B11178" s="6"/>
      <c r="C11178" s="6"/>
    </row>
    <row r="11179" s="1" customFormat="1" spans="1:3">
      <c r="A11179" s="6"/>
      <c r="B11179" s="6"/>
      <c r="C11179" s="6"/>
    </row>
    <row r="11180" s="1" customFormat="1" spans="1:3">
      <c r="A11180" s="6"/>
      <c r="B11180" s="6"/>
      <c r="C11180" s="6"/>
    </row>
    <row r="11181" s="1" customFormat="1" spans="1:3">
      <c r="A11181" s="6"/>
      <c r="B11181" s="6"/>
      <c r="C11181" s="6"/>
    </row>
    <row r="11182" s="1" customFormat="1" spans="1:3">
      <c r="A11182" s="6"/>
      <c r="B11182" s="6"/>
      <c r="C11182" s="6"/>
    </row>
    <row r="11183" s="1" customFormat="1" spans="1:3">
      <c r="A11183" s="6"/>
      <c r="B11183" s="6"/>
      <c r="C11183" s="6"/>
    </row>
    <row r="11184" s="1" customFormat="1" spans="1:3">
      <c r="A11184" s="6"/>
      <c r="B11184" s="6"/>
      <c r="C11184" s="6"/>
    </row>
    <row r="11185" s="1" customFormat="1" spans="1:3">
      <c r="A11185" s="6"/>
      <c r="B11185" s="6"/>
      <c r="C11185" s="6"/>
    </row>
    <row r="11186" s="1" customFormat="1" spans="1:3">
      <c r="A11186" s="6"/>
      <c r="B11186" s="6"/>
      <c r="C11186" s="6"/>
    </row>
    <row r="11187" s="1" customFormat="1" spans="1:3">
      <c r="A11187" s="6"/>
      <c r="B11187" s="6"/>
      <c r="C11187" s="6"/>
    </row>
    <row r="11188" s="1" customFormat="1" spans="1:3">
      <c r="A11188" s="6"/>
      <c r="B11188" s="6"/>
      <c r="C11188" s="6"/>
    </row>
    <row r="11189" s="1" customFormat="1" spans="1:3">
      <c r="A11189" s="6"/>
      <c r="B11189" s="6"/>
      <c r="C11189" s="6"/>
    </row>
    <row r="11190" s="1" customFormat="1" spans="1:3">
      <c r="A11190" s="6"/>
      <c r="B11190" s="6"/>
      <c r="C11190" s="6"/>
    </row>
    <row r="11191" s="1" customFormat="1" spans="1:3">
      <c r="A11191" s="6"/>
      <c r="B11191" s="6"/>
      <c r="C11191" s="6"/>
    </row>
    <row r="11192" s="1" customFormat="1" spans="1:3">
      <c r="A11192" s="6"/>
      <c r="B11192" s="6"/>
      <c r="C11192" s="6"/>
    </row>
    <row r="11193" s="1" customFormat="1" spans="1:3">
      <c r="A11193" s="6"/>
      <c r="B11193" s="6"/>
      <c r="C11193" s="6"/>
    </row>
    <row r="11194" s="1" customFormat="1" spans="1:3">
      <c r="A11194" s="6"/>
      <c r="B11194" s="6"/>
      <c r="C11194" s="6"/>
    </row>
    <row r="11195" s="1" customFormat="1" spans="1:3">
      <c r="A11195" s="6"/>
      <c r="B11195" s="6"/>
      <c r="C11195" s="6"/>
    </row>
    <row r="11196" s="1" customFormat="1" spans="1:3">
      <c r="A11196" s="6"/>
      <c r="B11196" s="6"/>
      <c r="C11196" s="6"/>
    </row>
    <row r="11197" s="1" customFormat="1" spans="1:3">
      <c r="A11197" s="6"/>
      <c r="B11197" s="6"/>
      <c r="C11197" s="6"/>
    </row>
    <row r="11198" s="1" customFormat="1" spans="1:3">
      <c r="A11198" s="6"/>
      <c r="B11198" s="6"/>
      <c r="C11198" s="6"/>
    </row>
    <row r="11199" s="1" customFormat="1" spans="1:3">
      <c r="A11199" s="6"/>
      <c r="B11199" s="6"/>
      <c r="C11199" s="6"/>
    </row>
    <row r="11200" s="1" customFormat="1" spans="1:3">
      <c r="A11200" s="6"/>
      <c r="B11200" s="6"/>
      <c r="C11200" s="6"/>
    </row>
    <row r="11201" s="1" customFormat="1" spans="1:3">
      <c r="A11201" s="6"/>
      <c r="B11201" s="6"/>
      <c r="C11201" s="6"/>
    </row>
    <row r="11202" s="1" customFormat="1" spans="1:3">
      <c r="A11202" s="6"/>
      <c r="B11202" s="6"/>
      <c r="C11202" s="6"/>
    </row>
    <row r="11203" s="1" customFormat="1" spans="1:3">
      <c r="A11203" s="6"/>
      <c r="B11203" s="6"/>
      <c r="C11203" s="6"/>
    </row>
    <row r="11204" s="1" customFormat="1" spans="1:3">
      <c r="A11204" s="6"/>
      <c r="B11204" s="6"/>
      <c r="C11204" s="6"/>
    </row>
    <row r="11205" s="1" customFormat="1" spans="1:3">
      <c r="A11205" s="6"/>
      <c r="B11205" s="6"/>
      <c r="C11205" s="6"/>
    </row>
    <row r="11206" s="1" customFormat="1" spans="1:3">
      <c r="A11206" s="6"/>
      <c r="B11206" s="6"/>
      <c r="C11206" s="6"/>
    </row>
    <row r="11207" s="1" customFormat="1" spans="1:3">
      <c r="A11207" s="6"/>
      <c r="B11207" s="6"/>
      <c r="C11207" s="6"/>
    </row>
    <row r="11208" s="1" customFormat="1" spans="1:3">
      <c r="A11208" s="6"/>
      <c r="B11208" s="6"/>
      <c r="C11208" s="6"/>
    </row>
    <row r="11209" s="1" customFormat="1" spans="1:3">
      <c r="A11209" s="6"/>
      <c r="B11209" s="6"/>
      <c r="C11209" s="6"/>
    </row>
    <row r="11210" s="1" customFormat="1" spans="1:3">
      <c r="A11210" s="6"/>
      <c r="B11210" s="6"/>
      <c r="C11210" s="6"/>
    </row>
    <row r="11211" s="1" customFormat="1" spans="1:3">
      <c r="A11211" s="6"/>
      <c r="B11211" s="6"/>
      <c r="C11211" s="6"/>
    </row>
    <row r="11212" s="1" customFormat="1" spans="1:3">
      <c r="A11212" s="6"/>
      <c r="B11212" s="6"/>
      <c r="C11212" s="6"/>
    </row>
    <row r="11213" s="1" customFormat="1" spans="1:3">
      <c r="A11213" s="6"/>
      <c r="B11213" s="6"/>
      <c r="C11213" s="6"/>
    </row>
    <row r="11214" s="1" customFormat="1" spans="1:3">
      <c r="A11214" s="6"/>
      <c r="B11214" s="6"/>
      <c r="C11214" s="6"/>
    </row>
    <row r="11215" s="1" customFormat="1" spans="1:3">
      <c r="A11215" s="6"/>
      <c r="B11215" s="6"/>
      <c r="C11215" s="6"/>
    </row>
    <row r="11216" s="1" customFormat="1" spans="1:3">
      <c r="A11216" s="6"/>
      <c r="B11216" s="6"/>
      <c r="C11216" s="6"/>
    </row>
    <row r="11217" s="1" customFormat="1" spans="1:3">
      <c r="A11217" s="6"/>
      <c r="B11217" s="6"/>
      <c r="C11217" s="6"/>
    </row>
    <row r="11218" s="1" customFormat="1" spans="1:3">
      <c r="A11218" s="6"/>
      <c r="B11218" s="6"/>
      <c r="C11218" s="6"/>
    </row>
    <row r="11219" s="1" customFormat="1" spans="1:3">
      <c r="A11219" s="6"/>
      <c r="B11219" s="6"/>
      <c r="C11219" s="6"/>
    </row>
    <row r="11220" s="1" customFormat="1" spans="1:3">
      <c r="A11220" s="6"/>
      <c r="B11220" s="6"/>
      <c r="C11220" s="6"/>
    </row>
    <row r="11221" s="1" customFormat="1" spans="1:3">
      <c r="A11221" s="6"/>
      <c r="B11221" s="6"/>
      <c r="C11221" s="6"/>
    </row>
    <row r="11222" s="1" customFormat="1" spans="1:3">
      <c r="A11222" s="6"/>
      <c r="B11222" s="6"/>
      <c r="C11222" s="6"/>
    </row>
    <row r="11223" s="1" customFormat="1" spans="1:3">
      <c r="A11223" s="6"/>
      <c r="B11223" s="6"/>
      <c r="C11223" s="6"/>
    </row>
    <row r="11224" s="1" customFormat="1" spans="1:3">
      <c r="A11224" s="6"/>
      <c r="B11224" s="6"/>
      <c r="C11224" s="6"/>
    </row>
    <row r="11225" s="1" customFormat="1" spans="1:3">
      <c r="A11225" s="6"/>
      <c r="B11225" s="6"/>
      <c r="C11225" s="6"/>
    </row>
    <row r="11226" s="1" customFormat="1" spans="1:3">
      <c r="A11226" s="6"/>
      <c r="B11226" s="6"/>
      <c r="C11226" s="6"/>
    </row>
    <row r="11227" s="1" customFormat="1" spans="1:3">
      <c r="A11227" s="6"/>
      <c r="B11227" s="6"/>
      <c r="C11227" s="6"/>
    </row>
    <row r="11228" s="1" customFormat="1" spans="1:3">
      <c r="A11228" s="6"/>
      <c r="B11228" s="6"/>
      <c r="C11228" s="6"/>
    </row>
    <row r="11229" s="1" customFormat="1" spans="1:3">
      <c r="A11229" s="6"/>
      <c r="B11229" s="6"/>
      <c r="C11229" s="6"/>
    </row>
    <row r="11230" s="1" customFormat="1" spans="1:3">
      <c r="A11230" s="6"/>
      <c r="B11230" s="6"/>
      <c r="C11230" s="6"/>
    </row>
    <row r="11231" s="1" customFormat="1" spans="1:3">
      <c r="A11231" s="6"/>
      <c r="B11231" s="6"/>
      <c r="C11231" s="6"/>
    </row>
    <row r="11232" s="1" customFormat="1" spans="1:3">
      <c r="A11232" s="6"/>
      <c r="B11232" s="6"/>
      <c r="C11232" s="6"/>
    </row>
    <row r="11233" s="1" customFormat="1" spans="1:3">
      <c r="A11233" s="6"/>
      <c r="B11233" s="6"/>
      <c r="C11233" s="6"/>
    </row>
    <row r="11234" s="1" customFormat="1" spans="1:3">
      <c r="A11234" s="6"/>
      <c r="B11234" s="6"/>
      <c r="C11234" s="6"/>
    </row>
    <row r="11235" s="1" customFormat="1" spans="1:3">
      <c r="A11235" s="6"/>
      <c r="B11235" s="6"/>
      <c r="C11235" s="6"/>
    </row>
    <row r="11236" s="1" customFormat="1" spans="1:3">
      <c r="A11236" s="6"/>
      <c r="B11236" s="6"/>
      <c r="C11236" s="6"/>
    </row>
    <row r="11237" s="1" customFormat="1" spans="1:3">
      <c r="A11237" s="6"/>
      <c r="B11237" s="6"/>
      <c r="C11237" s="6"/>
    </row>
    <row r="11238" s="1" customFormat="1" spans="1:3">
      <c r="A11238" s="6"/>
      <c r="B11238" s="6"/>
      <c r="C11238" s="6"/>
    </row>
    <row r="11239" s="1" customFormat="1" spans="1:3">
      <c r="A11239" s="6"/>
      <c r="B11239" s="6"/>
      <c r="C11239" s="6"/>
    </row>
    <row r="11240" s="1" customFormat="1" spans="1:3">
      <c r="A11240" s="6"/>
      <c r="B11240" s="6"/>
      <c r="C11240" s="6"/>
    </row>
    <row r="11241" s="1" customFormat="1" spans="1:3">
      <c r="A11241" s="6"/>
      <c r="B11241" s="6"/>
      <c r="C11241" s="6"/>
    </row>
    <row r="11242" s="1" customFormat="1" spans="1:3">
      <c r="A11242" s="6"/>
      <c r="B11242" s="6"/>
      <c r="C11242" s="6"/>
    </row>
    <row r="11243" s="1" customFormat="1" spans="1:3">
      <c r="A11243" s="6"/>
      <c r="B11243" s="6"/>
      <c r="C11243" s="6"/>
    </row>
    <row r="11244" s="1" customFormat="1" spans="1:3">
      <c r="A11244" s="6"/>
      <c r="B11244" s="6"/>
      <c r="C11244" s="6"/>
    </row>
    <row r="11245" s="1" customFormat="1" spans="1:3">
      <c r="A11245" s="6"/>
      <c r="B11245" s="6"/>
      <c r="C11245" s="6"/>
    </row>
    <row r="11246" s="1" customFormat="1" spans="1:3">
      <c r="A11246" s="6"/>
      <c r="B11246" s="6"/>
      <c r="C11246" s="6"/>
    </row>
    <row r="11247" s="1" customFormat="1" spans="1:3">
      <c r="A11247" s="6"/>
      <c r="B11247" s="6"/>
      <c r="C11247" s="6"/>
    </row>
    <row r="11248" s="1" customFormat="1" spans="1:3">
      <c r="A11248" s="6"/>
      <c r="B11248" s="6"/>
      <c r="C11248" s="6"/>
    </row>
    <row r="11249" s="1" customFormat="1" spans="1:3">
      <c r="A11249" s="6"/>
      <c r="B11249" s="6"/>
      <c r="C11249" s="6"/>
    </row>
    <row r="11250" s="1" customFormat="1" spans="1:3">
      <c r="A11250" s="6"/>
      <c r="B11250" s="6"/>
      <c r="C11250" s="6"/>
    </row>
    <row r="11251" s="1" customFormat="1" spans="1:3">
      <c r="A11251" s="6"/>
      <c r="B11251" s="6"/>
      <c r="C11251" s="6"/>
    </row>
    <row r="11252" s="1" customFormat="1" spans="1:3">
      <c r="A11252" s="6"/>
      <c r="B11252" s="6"/>
      <c r="C11252" s="6"/>
    </row>
    <row r="11253" s="1" customFormat="1" spans="1:3">
      <c r="A11253" s="6"/>
      <c r="B11253" s="6"/>
      <c r="C11253" s="6"/>
    </row>
    <row r="11254" s="1" customFormat="1" spans="1:3">
      <c r="A11254" s="6"/>
      <c r="B11254" s="6"/>
      <c r="C11254" s="6"/>
    </row>
    <row r="11255" s="1" customFormat="1" spans="1:3">
      <c r="A11255" s="6"/>
      <c r="B11255" s="6"/>
      <c r="C11255" s="6"/>
    </row>
    <row r="11256" s="1" customFormat="1" spans="1:3">
      <c r="A11256" s="6"/>
      <c r="B11256" s="6"/>
      <c r="C11256" s="6"/>
    </row>
    <row r="11257" s="1" customFormat="1" spans="1:3">
      <c r="A11257" s="6"/>
      <c r="B11257" s="6"/>
      <c r="C11257" s="6"/>
    </row>
    <row r="11258" s="1" customFormat="1" spans="1:3">
      <c r="A11258" s="6"/>
      <c r="B11258" s="6"/>
      <c r="C11258" s="6"/>
    </row>
    <row r="11259" s="1" customFormat="1" spans="1:3">
      <c r="A11259" s="6"/>
      <c r="B11259" s="6"/>
      <c r="C11259" s="6"/>
    </row>
    <row r="11260" s="1" customFormat="1" spans="1:3">
      <c r="A11260" s="6"/>
      <c r="B11260" s="6"/>
      <c r="C11260" s="6"/>
    </row>
    <row r="11261" s="1" customFormat="1" spans="1:3">
      <c r="A11261" s="6"/>
      <c r="B11261" s="6"/>
      <c r="C11261" s="6"/>
    </row>
    <row r="11262" s="1" customFormat="1" spans="1:3">
      <c r="A11262" s="6"/>
      <c r="B11262" s="6"/>
      <c r="C11262" s="6"/>
    </row>
    <row r="11263" s="1" customFormat="1" spans="1:3">
      <c r="A11263" s="6"/>
      <c r="B11263" s="6"/>
      <c r="C11263" s="6"/>
    </row>
    <row r="11264" s="1" customFormat="1" spans="1:3">
      <c r="A11264" s="6"/>
      <c r="B11264" s="6"/>
      <c r="C11264" s="6"/>
    </row>
    <row r="11265" s="1" customFormat="1" spans="1:3">
      <c r="A11265" s="6"/>
      <c r="B11265" s="6"/>
      <c r="C11265" s="6"/>
    </row>
    <row r="11266" s="1" customFormat="1" spans="1:3">
      <c r="A11266" s="6"/>
      <c r="B11266" s="6"/>
      <c r="C11266" s="6"/>
    </row>
    <row r="11267" s="1" customFormat="1" spans="1:3">
      <c r="A11267" s="6"/>
      <c r="B11267" s="6"/>
      <c r="C11267" s="6"/>
    </row>
    <row r="11268" s="1" customFormat="1" spans="1:3">
      <c r="A11268" s="6"/>
      <c r="B11268" s="6"/>
      <c r="C11268" s="6"/>
    </row>
    <row r="11269" s="1" customFormat="1" spans="1:3">
      <c r="A11269" s="6"/>
      <c r="B11269" s="6"/>
      <c r="C11269" s="6"/>
    </row>
    <row r="11270" s="1" customFormat="1" spans="1:3">
      <c r="A11270" s="6"/>
      <c r="B11270" s="6"/>
      <c r="C11270" s="6"/>
    </row>
    <row r="11271" s="1" customFormat="1" spans="1:3">
      <c r="A11271" s="6"/>
      <c r="B11271" s="6"/>
      <c r="C11271" s="6"/>
    </row>
    <row r="11272" s="1" customFormat="1" spans="1:3">
      <c r="A11272" s="6"/>
      <c r="B11272" s="6"/>
      <c r="C11272" s="6"/>
    </row>
    <row r="11273" s="1" customFormat="1" spans="1:3">
      <c r="A11273" s="6"/>
      <c r="B11273" s="6"/>
      <c r="C11273" s="6"/>
    </row>
    <row r="11274" s="1" customFormat="1" spans="1:3">
      <c r="A11274" s="6"/>
      <c r="B11274" s="6"/>
      <c r="C11274" s="6"/>
    </row>
    <row r="11275" s="1" customFormat="1" spans="1:3">
      <c r="A11275" s="6"/>
      <c r="B11275" s="6"/>
      <c r="C11275" s="6"/>
    </row>
    <row r="11276" s="1" customFormat="1" spans="1:3">
      <c r="A11276" s="6"/>
      <c r="B11276" s="6"/>
      <c r="C11276" s="6"/>
    </row>
    <row r="11277" s="1" customFormat="1" spans="1:3">
      <c r="A11277" s="6"/>
      <c r="B11277" s="6"/>
      <c r="C11277" s="6"/>
    </row>
    <row r="11278" s="1" customFormat="1" spans="1:3">
      <c r="A11278" s="6"/>
      <c r="B11278" s="6"/>
      <c r="C11278" s="6"/>
    </row>
    <row r="11279" s="1" customFormat="1" spans="1:3">
      <c r="A11279" s="6"/>
      <c r="B11279" s="6"/>
      <c r="C11279" s="6"/>
    </row>
    <row r="11280" s="1" customFormat="1" spans="1:3">
      <c r="A11280" s="6"/>
      <c r="B11280" s="6"/>
      <c r="C11280" s="6"/>
    </row>
    <row r="11281" s="1" customFormat="1" spans="1:3">
      <c r="A11281" s="6"/>
      <c r="B11281" s="6"/>
      <c r="C11281" s="6"/>
    </row>
    <row r="11282" s="1" customFormat="1" spans="1:3">
      <c r="A11282" s="6"/>
      <c r="B11282" s="6"/>
      <c r="C11282" s="6"/>
    </row>
    <row r="11283" s="1" customFormat="1" spans="1:3">
      <c r="A11283" s="6"/>
      <c r="B11283" s="6"/>
      <c r="C11283" s="6"/>
    </row>
    <row r="11284" s="1" customFormat="1" spans="1:3">
      <c r="A11284" s="6"/>
      <c r="B11284" s="6"/>
      <c r="C11284" s="6"/>
    </row>
    <row r="11285" s="1" customFormat="1" spans="1:3">
      <c r="A11285" s="6"/>
      <c r="B11285" s="6"/>
      <c r="C11285" s="6"/>
    </row>
    <row r="11286" s="1" customFormat="1" spans="1:3">
      <c r="A11286" s="6"/>
      <c r="B11286" s="6"/>
      <c r="C11286" s="6"/>
    </row>
    <row r="11287" s="1" customFormat="1" spans="1:3">
      <c r="A11287" s="6"/>
      <c r="B11287" s="6"/>
      <c r="C11287" s="6"/>
    </row>
    <row r="11288" s="1" customFormat="1" spans="1:3">
      <c r="A11288" s="6"/>
      <c r="B11288" s="6"/>
      <c r="C11288" s="6"/>
    </row>
    <row r="11289" s="1" customFormat="1" spans="1:3">
      <c r="A11289" s="6"/>
      <c r="B11289" s="6"/>
      <c r="C11289" s="6"/>
    </row>
    <row r="11290" s="1" customFormat="1" spans="1:3">
      <c r="A11290" s="6"/>
      <c r="B11290" s="6"/>
      <c r="C11290" s="6"/>
    </row>
    <row r="11291" s="1" customFormat="1" spans="1:3">
      <c r="A11291" s="6"/>
      <c r="B11291" s="6"/>
      <c r="C11291" s="6"/>
    </row>
    <row r="11292" s="1" customFormat="1" spans="1:3">
      <c r="A11292" s="6"/>
      <c r="B11292" s="6"/>
      <c r="C11292" s="6"/>
    </row>
    <row r="11293" s="1" customFormat="1" spans="1:3">
      <c r="A11293" s="6"/>
      <c r="B11293" s="6"/>
      <c r="C11293" s="6"/>
    </row>
    <row r="11294" s="1" customFormat="1" spans="1:3">
      <c r="A11294" s="6"/>
      <c r="B11294" s="6"/>
      <c r="C11294" s="6"/>
    </row>
    <row r="11295" s="1" customFormat="1" spans="1:3">
      <c r="A11295" s="6"/>
      <c r="B11295" s="6"/>
      <c r="C11295" s="6"/>
    </row>
    <row r="11296" s="1" customFormat="1" spans="1:3">
      <c r="A11296" s="6"/>
      <c r="B11296" s="6"/>
      <c r="C11296" s="6"/>
    </row>
    <row r="11297" s="1" customFormat="1" spans="1:3">
      <c r="A11297" s="6"/>
      <c r="B11297" s="6"/>
      <c r="C11297" s="6"/>
    </row>
    <row r="11298" s="1" customFormat="1" spans="1:3">
      <c r="A11298" s="6"/>
      <c r="B11298" s="6"/>
      <c r="C11298" s="6"/>
    </row>
    <row r="11299" s="1" customFormat="1" spans="1:3">
      <c r="A11299" s="6"/>
      <c r="B11299" s="6"/>
      <c r="C11299" s="6"/>
    </row>
    <row r="11300" s="1" customFormat="1" spans="1:3">
      <c r="A11300" s="6"/>
      <c r="B11300" s="6"/>
      <c r="C11300" s="6"/>
    </row>
    <row r="11301" s="1" customFormat="1" spans="1:3">
      <c r="A11301" s="6"/>
      <c r="B11301" s="6"/>
      <c r="C11301" s="6"/>
    </row>
    <row r="11302" s="1" customFormat="1" spans="1:3">
      <c r="A11302" s="6"/>
      <c r="B11302" s="6"/>
      <c r="C11302" s="6"/>
    </row>
    <row r="11303" s="1" customFormat="1" spans="1:3">
      <c r="A11303" s="6"/>
      <c r="B11303" s="6"/>
      <c r="C11303" s="6"/>
    </row>
    <row r="11304" s="1" customFormat="1" spans="1:3">
      <c r="A11304" s="6"/>
      <c r="B11304" s="6"/>
      <c r="C11304" s="6"/>
    </row>
    <row r="11305" s="1" customFormat="1" spans="1:3">
      <c r="A11305" s="6"/>
      <c r="B11305" s="6"/>
      <c r="C11305" s="6"/>
    </row>
    <row r="11306" s="1" customFormat="1" spans="1:3">
      <c r="A11306" s="6"/>
      <c r="B11306" s="6"/>
      <c r="C11306" s="6"/>
    </row>
    <row r="11307" s="1" customFormat="1" spans="1:3">
      <c r="A11307" s="6"/>
      <c r="B11307" s="6"/>
      <c r="C11307" s="6"/>
    </row>
    <row r="11308" s="1" customFormat="1" spans="1:3">
      <c r="A11308" s="6"/>
      <c r="B11308" s="6"/>
      <c r="C11308" s="6"/>
    </row>
    <row r="11309" s="1" customFormat="1" spans="1:3">
      <c r="A11309" s="6"/>
      <c r="B11309" s="6"/>
      <c r="C11309" s="6"/>
    </row>
    <row r="11310" s="1" customFormat="1" spans="1:3">
      <c r="A11310" s="6"/>
      <c r="B11310" s="6"/>
      <c r="C11310" s="6"/>
    </row>
    <row r="11311" s="1" customFormat="1" spans="1:3">
      <c r="A11311" s="6"/>
      <c r="B11311" s="6"/>
      <c r="C11311" s="6"/>
    </row>
    <row r="11312" s="1" customFormat="1" spans="1:3">
      <c r="A11312" s="6"/>
      <c r="B11312" s="6"/>
      <c r="C11312" s="6"/>
    </row>
    <row r="11313" s="1" customFormat="1" spans="1:3">
      <c r="A11313" s="6"/>
      <c r="B11313" s="6"/>
      <c r="C11313" s="6"/>
    </row>
    <row r="11314" s="1" customFormat="1" spans="1:3">
      <c r="A11314" s="6"/>
      <c r="B11314" s="6"/>
      <c r="C11314" s="6"/>
    </row>
    <row r="11315" s="1" customFormat="1" spans="1:3">
      <c r="A11315" s="6"/>
      <c r="B11315" s="6"/>
      <c r="C11315" s="6"/>
    </row>
    <row r="11316" s="1" customFormat="1" spans="1:3">
      <c r="A11316" s="6"/>
      <c r="B11316" s="6"/>
      <c r="C11316" s="6"/>
    </row>
    <row r="11317" s="1" customFormat="1" spans="1:3">
      <c r="A11317" s="6"/>
      <c r="B11317" s="6"/>
      <c r="C11317" s="6"/>
    </row>
    <row r="11318" s="1" customFormat="1" spans="1:3">
      <c r="A11318" s="6"/>
      <c r="B11318" s="6"/>
      <c r="C11318" s="6"/>
    </row>
    <row r="11319" s="1" customFormat="1" spans="1:3">
      <c r="A11319" s="6"/>
      <c r="B11319" s="6"/>
      <c r="C11319" s="6"/>
    </row>
    <row r="11320" s="1" customFormat="1" spans="1:3">
      <c r="A11320" s="6"/>
      <c r="B11320" s="6"/>
      <c r="C11320" s="6"/>
    </row>
    <row r="11321" s="1" customFormat="1" spans="1:3">
      <c r="A11321" s="6"/>
      <c r="B11321" s="6"/>
      <c r="C11321" s="6"/>
    </row>
    <row r="11322" s="1" customFormat="1" spans="1:3">
      <c r="A11322" s="6"/>
      <c r="B11322" s="6"/>
      <c r="C11322" s="6"/>
    </row>
    <row r="11323" s="1" customFormat="1" spans="1:3">
      <c r="A11323" s="6"/>
      <c r="B11323" s="6"/>
      <c r="C11323" s="6"/>
    </row>
    <row r="11324" s="1" customFormat="1" spans="1:3">
      <c r="A11324" s="6"/>
      <c r="B11324" s="6"/>
      <c r="C11324" s="6"/>
    </row>
    <row r="11325" s="1" customFormat="1" spans="1:3">
      <c r="A11325" s="6"/>
      <c r="B11325" s="6"/>
      <c r="C11325" s="6"/>
    </row>
    <row r="11326" s="1" customFormat="1" spans="1:3">
      <c r="A11326" s="6"/>
      <c r="B11326" s="6"/>
      <c r="C11326" s="6"/>
    </row>
    <row r="11327" s="1" customFormat="1" spans="1:3">
      <c r="A11327" s="6"/>
      <c r="B11327" s="6"/>
      <c r="C11327" s="6"/>
    </row>
    <row r="11328" s="1" customFormat="1" spans="1:3">
      <c r="A11328" s="6"/>
      <c r="B11328" s="6"/>
      <c r="C11328" s="6"/>
    </row>
    <row r="11329" s="1" customFormat="1" spans="1:3">
      <c r="A11329" s="6"/>
      <c r="B11329" s="6"/>
      <c r="C11329" s="6"/>
    </row>
    <row r="11330" s="1" customFormat="1" spans="1:3">
      <c r="A11330" s="6"/>
      <c r="B11330" s="6"/>
      <c r="C11330" s="6"/>
    </row>
    <row r="11331" s="1" customFormat="1" spans="1:3">
      <c r="A11331" s="6"/>
      <c r="B11331" s="6"/>
      <c r="C11331" s="6"/>
    </row>
    <row r="11332" s="1" customFormat="1" spans="1:3">
      <c r="A11332" s="6"/>
      <c r="B11332" s="6"/>
      <c r="C11332" s="6"/>
    </row>
    <row r="11333" s="1" customFormat="1" spans="1:3">
      <c r="A11333" s="6"/>
      <c r="B11333" s="6"/>
      <c r="C11333" s="6"/>
    </row>
    <row r="11334" s="1" customFormat="1" spans="1:3">
      <c r="A11334" s="6"/>
      <c r="B11334" s="6"/>
      <c r="C11334" s="6"/>
    </row>
    <row r="11335" s="1" customFormat="1" spans="1:3">
      <c r="A11335" s="6"/>
      <c r="B11335" s="6"/>
      <c r="C11335" s="6"/>
    </row>
    <row r="11336" s="1" customFormat="1" spans="1:3">
      <c r="A11336" s="6"/>
      <c r="B11336" s="6"/>
      <c r="C11336" s="6"/>
    </row>
    <row r="11337" s="1" customFormat="1" spans="1:3">
      <c r="A11337" s="6"/>
      <c r="B11337" s="6"/>
      <c r="C11337" s="6"/>
    </row>
    <row r="11338" s="1" customFormat="1" spans="1:3">
      <c r="A11338" s="6"/>
      <c r="B11338" s="6"/>
      <c r="C11338" s="6"/>
    </row>
    <row r="11339" s="1" customFormat="1" spans="1:3">
      <c r="A11339" s="6"/>
      <c r="B11339" s="6"/>
      <c r="C11339" s="6"/>
    </row>
    <row r="11340" s="1" customFormat="1" spans="1:3">
      <c r="A11340" s="6"/>
      <c r="B11340" s="6"/>
      <c r="C11340" s="6"/>
    </row>
    <row r="11341" s="1" customFormat="1" spans="1:3">
      <c r="A11341" s="6"/>
      <c r="B11341" s="6"/>
      <c r="C11341" s="6"/>
    </row>
    <row r="11342" s="1" customFormat="1" spans="1:3">
      <c r="A11342" s="6"/>
      <c r="B11342" s="6"/>
      <c r="C11342" s="6"/>
    </row>
    <row r="11343" s="1" customFormat="1" spans="1:3">
      <c r="A11343" s="6"/>
      <c r="B11343" s="6"/>
      <c r="C11343" s="6"/>
    </row>
    <row r="11344" s="1" customFormat="1" spans="1:3">
      <c r="A11344" s="6"/>
      <c r="B11344" s="6"/>
      <c r="C11344" s="6"/>
    </row>
    <row r="11345" s="1" customFormat="1" spans="1:3">
      <c r="A11345" s="6"/>
      <c r="B11345" s="6"/>
      <c r="C11345" s="6"/>
    </row>
    <row r="11346" s="1" customFormat="1" spans="1:3">
      <c r="A11346" s="6"/>
      <c r="B11346" s="6"/>
      <c r="C11346" s="6"/>
    </row>
    <row r="11347" s="1" customFormat="1" spans="1:3">
      <c r="A11347" s="6"/>
      <c r="B11347" s="6"/>
      <c r="C11347" s="6"/>
    </row>
    <row r="11348" s="1" customFormat="1" spans="1:3">
      <c r="A11348" s="6"/>
      <c r="B11348" s="6"/>
      <c r="C11348" s="6"/>
    </row>
    <row r="11349" s="1" customFormat="1" spans="1:3">
      <c r="A11349" s="6"/>
      <c r="B11349" s="6"/>
      <c r="C11349" s="6"/>
    </row>
    <row r="11350" s="1" customFormat="1" spans="1:3">
      <c r="A11350" s="6"/>
      <c r="B11350" s="6"/>
      <c r="C11350" s="6"/>
    </row>
    <row r="11351" s="1" customFormat="1" spans="1:3">
      <c r="A11351" s="6"/>
      <c r="B11351" s="6"/>
      <c r="C11351" s="6"/>
    </row>
    <row r="11352" s="1" customFormat="1" spans="1:3">
      <c r="A11352" s="6"/>
      <c r="B11352" s="6"/>
      <c r="C11352" s="6"/>
    </row>
    <row r="11353" s="1" customFormat="1" spans="1:3">
      <c r="A11353" s="6"/>
      <c r="B11353" s="6"/>
      <c r="C11353" s="6"/>
    </row>
    <row r="11354" s="1" customFormat="1" spans="1:3">
      <c r="A11354" s="6"/>
      <c r="B11354" s="6"/>
      <c r="C11354" s="6"/>
    </row>
    <row r="11355" s="1" customFormat="1" spans="1:3">
      <c r="A11355" s="6"/>
      <c r="B11355" s="6"/>
      <c r="C11355" s="6"/>
    </row>
    <row r="11356" s="1" customFormat="1" spans="1:3">
      <c r="A11356" s="6"/>
      <c r="B11356" s="6"/>
      <c r="C11356" s="6"/>
    </row>
    <row r="11357" s="1" customFormat="1" spans="1:3">
      <c r="A11357" s="6"/>
      <c r="B11357" s="6"/>
      <c r="C11357" s="6"/>
    </row>
    <row r="11358" s="1" customFormat="1" spans="1:3">
      <c r="A11358" s="6"/>
      <c r="B11358" s="6"/>
      <c r="C11358" s="6"/>
    </row>
    <row r="11359" s="1" customFormat="1" spans="1:3">
      <c r="A11359" s="6"/>
      <c r="B11359" s="6"/>
      <c r="C11359" s="6"/>
    </row>
    <row r="11360" s="1" customFormat="1" spans="1:3">
      <c r="A11360" s="6"/>
      <c r="B11360" s="6"/>
      <c r="C11360" s="6"/>
    </row>
    <row r="11361" s="1" customFormat="1" spans="1:3">
      <c r="A11361" s="6"/>
      <c r="B11361" s="6"/>
      <c r="C11361" s="6"/>
    </row>
    <row r="11362" s="1" customFormat="1" spans="1:3">
      <c r="A11362" s="6"/>
      <c r="B11362" s="6"/>
      <c r="C11362" s="6"/>
    </row>
    <row r="11363" s="1" customFormat="1" spans="1:3">
      <c r="A11363" s="6"/>
      <c r="B11363" s="6"/>
      <c r="C11363" s="6"/>
    </row>
    <row r="11364" s="1" customFormat="1" spans="1:3">
      <c r="A11364" s="6"/>
      <c r="B11364" s="6"/>
      <c r="C11364" s="6"/>
    </row>
    <row r="11365" s="1" customFormat="1" spans="1:3">
      <c r="A11365" s="6"/>
      <c r="B11365" s="6"/>
      <c r="C11365" s="6"/>
    </row>
    <row r="11366" s="1" customFormat="1" spans="1:3">
      <c r="A11366" s="6"/>
      <c r="B11366" s="6"/>
      <c r="C11366" s="6"/>
    </row>
    <row r="11367" s="1" customFormat="1" spans="1:3">
      <c r="A11367" s="6"/>
      <c r="B11367" s="6"/>
      <c r="C11367" s="6"/>
    </row>
    <row r="11368" s="1" customFormat="1" spans="1:3">
      <c r="A11368" s="6"/>
      <c r="B11368" s="6"/>
      <c r="C11368" s="6"/>
    </row>
    <row r="11369" s="1" customFormat="1" spans="1:3">
      <c r="A11369" s="6"/>
      <c r="B11369" s="6"/>
      <c r="C11369" s="6"/>
    </row>
    <row r="11370" s="1" customFormat="1" spans="1:3">
      <c r="A11370" s="6"/>
      <c r="B11370" s="6"/>
      <c r="C11370" s="6"/>
    </row>
    <row r="11371" s="1" customFormat="1" spans="1:3">
      <c r="A11371" s="6"/>
      <c r="B11371" s="6"/>
      <c r="C11371" s="6"/>
    </row>
    <row r="11372" s="1" customFormat="1" spans="1:3">
      <c r="A11372" s="6"/>
      <c r="B11372" s="6"/>
      <c r="C11372" s="6"/>
    </row>
    <row r="11373" s="1" customFormat="1" spans="1:3">
      <c r="A11373" s="6"/>
      <c r="B11373" s="6"/>
      <c r="C11373" s="6"/>
    </row>
    <row r="11374" s="1" customFormat="1" spans="1:3">
      <c r="A11374" s="6"/>
      <c r="B11374" s="6"/>
      <c r="C11374" s="6"/>
    </row>
    <row r="11375" s="1" customFormat="1" spans="1:3">
      <c r="A11375" s="6"/>
      <c r="B11375" s="6"/>
      <c r="C11375" s="6"/>
    </row>
    <row r="11376" s="1" customFormat="1" spans="1:3">
      <c r="A11376" s="6"/>
      <c r="B11376" s="6"/>
      <c r="C11376" s="6"/>
    </row>
    <row r="11377" s="1" customFormat="1" spans="1:3">
      <c r="A11377" s="6"/>
      <c r="B11377" s="6"/>
      <c r="C11377" s="6"/>
    </row>
    <row r="11378" s="1" customFormat="1" spans="1:3">
      <c r="A11378" s="6"/>
      <c r="B11378" s="6"/>
      <c r="C11378" s="6"/>
    </row>
    <row r="11379" s="1" customFormat="1" spans="1:3">
      <c r="A11379" s="6"/>
      <c r="B11379" s="6"/>
      <c r="C11379" s="6"/>
    </row>
    <row r="11380" s="1" customFormat="1" spans="1:3">
      <c r="A11380" s="6"/>
      <c r="B11380" s="6"/>
      <c r="C11380" s="6"/>
    </row>
    <row r="11381" s="1" customFormat="1" spans="1:3">
      <c r="A11381" s="6"/>
      <c r="B11381" s="6"/>
      <c r="C11381" s="6"/>
    </row>
    <row r="11382" s="1" customFormat="1" spans="1:3">
      <c r="A11382" s="6"/>
      <c r="B11382" s="6"/>
      <c r="C11382" s="6"/>
    </row>
    <row r="11383" s="1" customFormat="1" spans="1:3">
      <c r="A11383" s="6"/>
      <c r="B11383" s="6"/>
      <c r="C11383" s="6"/>
    </row>
    <row r="11384" s="1" customFormat="1" spans="1:3">
      <c r="A11384" s="6"/>
      <c r="B11384" s="6"/>
      <c r="C11384" s="6"/>
    </row>
    <row r="11385" s="1" customFormat="1" spans="1:3">
      <c r="A11385" s="6"/>
      <c r="B11385" s="6"/>
      <c r="C11385" s="6"/>
    </row>
    <row r="11386" s="1" customFormat="1" spans="1:3">
      <c r="A11386" s="6"/>
      <c r="B11386" s="6"/>
      <c r="C11386" s="6"/>
    </row>
    <row r="11387" s="1" customFormat="1" spans="1:3">
      <c r="A11387" s="6"/>
      <c r="B11387" s="6"/>
      <c r="C11387" s="6"/>
    </row>
    <row r="11388" s="1" customFormat="1" spans="1:3">
      <c r="A11388" s="6"/>
      <c r="B11388" s="6"/>
      <c r="C11388" s="6"/>
    </row>
    <row r="11389" s="1" customFormat="1" spans="1:3">
      <c r="A11389" s="6"/>
      <c r="B11389" s="6"/>
      <c r="C11389" s="6"/>
    </row>
    <row r="11390" s="1" customFormat="1" spans="1:3">
      <c r="A11390" s="6"/>
      <c r="B11390" s="6"/>
      <c r="C11390" s="6"/>
    </row>
    <row r="11391" s="1" customFormat="1" spans="1:3">
      <c r="A11391" s="6"/>
      <c r="B11391" s="6"/>
      <c r="C11391" s="6"/>
    </row>
    <row r="11392" s="1" customFormat="1" spans="1:3">
      <c r="A11392" s="6"/>
      <c r="B11392" s="6"/>
      <c r="C11392" s="6"/>
    </row>
    <row r="11393" s="1" customFormat="1" spans="1:3">
      <c r="A11393" s="6"/>
      <c r="B11393" s="6"/>
      <c r="C11393" s="6"/>
    </row>
    <row r="11394" s="1" customFormat="1" spans="1:3">
      <c r="A11394" s="6"/>
      <c r="B11394" s="6"/>
      <c r="C11394" s="6"/>
    </row>
    <row r="11395" s="1" customFormat="1" spans="1:3">
      <c r="A11395" s="6"/>
      <c r="B11395" s="6"/>
      <c r="C11395" s="6"/>
    </row>
    <row r="11396" s="1" customFormat="1" spans="1:3">
      <c r="A11396" s="6"/>
      <c r="B11396" s="6"/>
      <c r="C11396" s="6"/>
    </row>
    <row r="11397" s="1" customFormat="1" spans="1:3">
      <c r="A11397" s="6"/>
      <c r="B11397" s="6"/>
      <c r="C11397" s="6"/>
    </row>
    <row r="11398" s="1" customFormat="1" spans="1:3">
      <c r="A11398" s="6"/>
      <c r="B11398" s="6"/>
      <c r="C11398" s="6"/>
    </row>
    <row r="11399" s="1" customFormat="1" spans="1:3">
      <c r="A11399" s="6"/>
      <c r="B11399" s="6"/>
      <c r="C11399" s="6"/>
    </row>
    <row r="11400" s="1" customFormat="1" spans="1:3">
      <c r="A11400" s="6"/>
      <c r="B11400" s="6"/>
      <c r="C11400" s="6"/>
    </row>
    <row r="11401" s="1" customFormat="1" spans="1:3">
      <c r="A11401" s="6"/>
      <c r="B11401" s="6"/>
      <c r="C11401" s="6"/>
    </row>
    <row r="11402" s="1" customFormat="1" spans="1:3">
      <c r="A11402" s="6"/>
      <c r="B11402" s="6"/>
      <c r="C11402" s="6"/>
    </row>
    <row r="11403" s="1" customFormat="1" spans="1:3">
      <c r="A11403" s="6"/>
      <c r="B11403" s="6"/>
      <c r="C11403" s="6"/>
    </row>
    <row r="11404" s="1" customFormat="1" spans="1:3">
      <c r="A11404" s="6"/>
      <c r="B11404" s="6"/>
      <c r="C11404" s="6"/>
    </row>
    <row r="11405" s="1" customFormat="1" spans="1:3">
      <c r="A11405" s="6"/>
      <c r="B11405" s="6"/>
      <c r="C11405" s="6"/>
    </row>
    <row r="11406" s="1" customFormat="1" spans="1:3">
      <c r="A11406" s="6"/>
      <c r="B11406" s="6"/>
      <c r="C11406" s="6"/>
    </row>
    <row r="11407" s="1" customFormat="1" spans="1:3">
      <c r="A11407" s="6"/>
      <c r="B11407" s="6"/>
      <c r="C11407" s="6"/>
    </row>
    <row r="11408" s="1" customFormat="1" spans="1:3">
      <c r="A11408" s="6"/>
      <c r="B11408" s="6"/>
      <c r="C11408" s="6"/>
    </row>
    <row r="11409" s="1" customFormat="1" spans="1:3">
      <c r="A11409" s="6"/>
      <c r="B11409" s="6"/>
      <c r="C11409" s="6"/>
    </row>
    <row r="11410" s="1" customFormat="1" spans="1:3">
      <c r="A11410" s="6"/>
      <c r="B11410" s="6"/>
      <c r="C11410" s="6"/>
    </row>
    <row r="11411" s="1" customFormat="1" spans="1:3">
      <c r="A11411" s="6"/>
      <c r="B11411" s="6"/>
      <c r="C11411" s="6"/>
    </row>
    <row r="11412" s="1" customFormat="1" spans="1:3">
      <c r="A11412" s="6"/>
      <c r="B11412" s="6"/>
      <c r="C11412" s="6"/>
    </row>
    <row r="11413" s="1" customFormat="1" spans="1:3">
      <c r="A11413" s="6"/>
      <c r="B11413" s="6"/>
      <c r="C11413" s="6"/>
    </row>
    <row r="11414" s="1" customFormat="1" spans="1:3">
      <c r="A11414" s="6"/>
      <c r="B11414" s="6"/>
      <c r="C11414" s="6"/>
    </row>
    <row r="11415" s="1" customFormat="1" spans="1:3">
      <c r="A11415" s="6"/>
      <c r="B11415" s="6"/>
      <c r="C11415" s="6"/>
    </row>
    <row r="11416" s="1" customFormat="1" spans="1:3">
      <c r="A11416" s="6"/>
      <c r="B11416" s="6"/>
      <c r="C11416" s="6"/>
    </row>
    <row r="11417" s="1" customFormat="1" spans="1:3">
      <c r="A11417" s="6"/>
      <c r="B11417" s="6"/>
      <c r="C11417" s="6"/>
    </row>
    <row r="11418" s="1" customFormat="1" spans="1:3">
      <c r="A11418" s="6"/>
      <c r="B11418" s="6"/>
      <c r="C11418" s="6"/>
    </row>
    <row r="11419" s="1" customFormat="1" spans="1:3">
      <c r="A11419" s="6"/>
      <c r="B11419" s="6"/>
      <c r="C11419" s="6"/>
    </row>
    <row r="11420" s="1" customFormat="1" spans="1:3">
      <c r="A11420" s="6"/>
      <c r="B11420" s="6"/>
      <c r="C11420" s="6"/>
    </row>
    <row r="11421" s="1" customFormat="1" spans="1:3">
      <c r="A11421" s="6"/>
      <c r="B11421" s="6"/>
      <c r="C11421" s="6"/>
    </row>
    <row r="11422" s="1" customFormat="1" spans="1:3">
      <c r="A11422" s="6"/>
      <c r="B11422" s="6"/>
      <c r="C11422" s="6"/>
    </row>
    <row r="11423" s="1" customFormat="1" spans="1:3">
      <c r="A11423" s="6"/>
      <c r="B11423" s="6"/>
      <c r="C11423" s="6"/>
    </row>
    <row r="11424" s="1" customFormat="1" spans="1:3">
      <c r="A11424" s="6"/>
      <c r="B11424" s="6"/>
      <c r="C11424" s="6"/>
    </row>
    <row r="11425" s="1" customFormat="1" spans="1:3">
      <c r="A11425" s="6"/>
      <c r="B11425" s="6"/>
      <c r="C11425" s="6"/>
    </row>
    <row r="11426" s="1" customFormat="1" spans="1:3">
      <c r="A11426" s="6"/>
      <c r="B11426" s="6"/>
      <c r="C11426" s="6"/>
    </row>
    <row r="11427" s="1" customFormat="1" spans="1:3">
      <c r="A11427" s="6"/>
      <c r="B11427" s="6"/>
      <c r="C11427" s="6"/>
    </row>
    <row r="11428" s="1" customFormat="1" spans="1:3">
      <c r="A11428" s="6"/>
      <c r="B11428" s="6"/>
      <c r="C11428" s="6"/>
    </row>
    <row r="11429" s="1" customFormat="1" spans="1:3">
      <c r="A11429" s="6"/>
      <c r="B11429" s="6"/>
      <c r="C11429" s="6"/>
    </row>
    <row r="11430" s="1" customFormat="1" spans="1:3">
      <c r="A11430" s="6"/>
      <c r="B11430" s="6"/>
      <c r="C11430" s="6"/>
    </row>
    <row r="11431" s="1" customFormat="1" spans="1:3">
      <c r="A11431" s="6"/>
      <c r="B11431" s="6"/>
      <c r="C11431" s="6"/>
    </row>
    <row r="11432" s="1" customFormat="1" spans="1:3">
      <c r="A11432" s="6"/>
      <c r="B11432" s="6"/>
      <c r="C11432" s="6"/>
    </row>
    <row r="11433" s="1" customFormat="1" spans="1:3">
      <c r="A11433" s="6"/>
      <c r="B11433" s="6"/>
      <c r="C11433" s="6"/>
    </row>
    <row r="11434" s="1" customFormat="1" spans="1:3">
      <c r="A11434" s="6"/>
      <c r="B11434" s="6"/>
      <c r="C11434" s="6"/>
    </row>
    <row r="11435" s="1" customFormat="1" spans="1:3">
      <c r="A11435" s="6"/>
      <c r="B11435" s="6"/>
      <c r="C11435" s="6"/>
    </row>
    <row r="11436" s="1" customFormat="1" spans="1:3">
      <c r="A11436" s="6"/>
      <c r="B11436" s="6"/>
      <c r="C11436" s="6"/>
    </row>
    <row r="11437" s="1" customFormat="1" spans="1:3">
      <c r="A11437" s="6"/>
      <c r="B11437" s="6"/>
      <c r="C11437" s="6"/>
    </row>
    <row r="11438" s="1" customFormat="1" spans="1:3">
      <c r="A11438" s="6"/>
      <c r="B11438" s="6"/>
      <c r="C11438" s="6"/>
    </row>
    <row r="11439" s="1" customFormat="1" spans="1:3">
      <c r="A11439" s="6"/>
      <c r="B11439" s="6"/>
      <c r="C11439" s="6"/>
    </row>
    <row r="11440" s="1" customFormat="1" spans="1:3">
      <c r="A11440" s="6"/>
      <c r="B11440" s="6"/>
      <c r="C11440" s="6"/>
    </row>
    <row r="11441" s="1" customFormat="1" spans="1:3">
      <c r="A11441" s="6"/>
      <c r="B11441" s="6"/>
      <c r="C11441" s="6"/>
    </row>
    <row r="11442" s="1" customFormat="1" spans="1:3">
      <c r="A11442" s="6"/>
      <c r="B11442" s="6"/>
      <c r="C11442" s="6"/>
    </row>
    <row r="11443" s="1" customFormat="1" spans="1:3">
      <c r="A11443" s="6"/>
      <c r="B11443" s="6"/>
      <c r="C11443" s="6"/>
    </row>
    <row r="11444" s="1" customFormat="1" spans="1:3">
      <c r="A11444" s="6"/>
      <c r="B11444" s="6"/>
      <c r="C11444" s="6"/>
    </row>
    <row r="11445" s="1" customFormat="1" spans="1:3">
      <c r="A11445" s="6"/>
      <c r="B11445" s="6"/>
      <c r="C11445" s="6"/>
    </row>
    <row r="11446" s="1" customFormat="1" spans="1:3">
      <c r="A11446" s="6"/>
      <c r="B11446" s="6"/>
      <c r="C11446" s="6"/>
    </row>
    <row r="11447" s="1" customFormat="1" spans="1:3">
      <c r="A11447" s="6"/>
      <c r="B11447" s="6"/>
      <c r="C11447" s="6"/>
    </row>
    <row r="11448" s="1" customFormat="1" spans="1:3">
      <c r="A11448" s="6"/>
      <c r="B11448" s="6"/>
      <c r="C11448" s="6"/>
    </row>
    <row r="11449" s="1" customFormat="1" spans="1:3">
      <c r="A11449" s="6"/>
      <c r="B11449" s="6"/>
      <c r="C11449" s="6"/>
    </row>
    <row r="11450" s="1" customFormat="1" spans="1:3">
      <c r="A11450" s="6"/>
      <c r="B11450" s="6"/>
      <c r="C11450" s="6"/>
    </row>
    <row r="11451" s="1" customFormat="1" spans="1:3">
      <c r="A11451" s="6"/>
      <c r="B11451" s="6"/>
      <c r="C11451" s="6"/>
    </row>
    <row r="11452" s="1" customFormat="1" spans="1:3">
      <c r="A11452" s="6"/>
      <c r="B11452" s="6"/>
      <c r="C11452" s="6"/>
    </row>
    <row r="11453" s="1" customFormat="1" spans="1:3">
      <c r="A11453" s="6"/>
      <c r="B11453" s="6"/>
      <c r="C11453" s="6"/>
    </row>
    <row r="11454" s="1" customFormat="1" spans="1:3">
      <c r="A11454" s="6"/>
      <c r="B11454" s="6"/>
      <c r="C11454" s="6"/>
    </row>
    <row r="11455" s="1" customFormat="1" spans="1:3">
      <c r="A11455" s="6"/>
      <c r="B11455" s="6"/>
      <c r="C11455" s="6"/>
    </row>
    <row r="11456" s="1" customFormat="1" spans="1:3">
      <c r="A11456" s="6"/>
      <c r="B11456" s="6"/>
      <c r="C11456" s="6"/>
    </row>
    <row r="11457" s="1" customFormat="1" spans="1:3">
      <c r="A11457" s="6"/>
      <c r="B11457" s="6"/>
      <c r="C11457" s="6"/>
    </row>
    <row r="11458" s="1" customFormat="1" spans="1:3">
      <c r="A11458" s="6"/>
      <c r="B11458" s="6"/>
      <c r="C11458" s="6"/>
    </row>
    <row r="11459" s="1" customFormat="1" spans="1:3">
      <c r="A11459" s="6"/>
      <c r="B11459" s="6"/>
      <c r="C11459" s="6"/>
    </row>
    <row r="11460" s="1" customFormat="1" spans="1:3">
      <c r="A11460" s="6"/>
      <c r="B11460" s="6"/>
      <c r="C11460" s="6"/>
    </row>
    <row r="11461" s="1" customFormat="1" spans="1:3">
      <c r="A11461" s="6"/>
      <c r="B11461" s="6"/>
      <c r="C11461" s="6"/>
    </row>
    <row r="11462" s="1" customFormat="1" spans="1:3">
      <c r="A11462" s="6"/>
      <c r="B11462" s="6"/>
      <c r="C11462" s="6"/>
    </row>
    <row r="11463" s="1" customFormat="1" spans="1:3">
      <c r="A11463" s="6"/>
      <c r="B11463" s="6"/>
      <c r="C11463" s="6"/>
    </row>
    <row r="11464" s="1" customFormat="1" spans="1:3">
      <c r="A11464" s="6"/>
      <c r="B11464" s="6"/>
      <c r="C11464" s="6"/>
    </row>
    <row r="11465" s="1" customFormat="1" spans="1:3">
      <c r="A11465" s="6"/>
      <c r="B11465" s="6"/>
      <c r="C11465" s="6"/>
    </row>
    <row r="11466" s="1" customFormat="1" spans="1:3">
      <c r="A11466" s="6"/>
      <c r="B11466" s="6"/>
      <c r="C11466" s="6"/>
    </row>
    <row r="11467" s="1" customFormat="1" spans="1:3">
      <c r="A11467" s="6"/>
      <c r="B11467" s="6"/>
      <c r="C11467" s="6"/>
    </row>
    <row r="11468" s="1" customFormat="1" spans="1:3">
      <c r="A11468" s="6"/>
      <c r="B11468" s="6"/>
      <c r="C11468" s="6"/>
    </row>
    <row r="11469" s="1" customFormat="1" spans="1:3">
      <c r="A11469" s="6"/>
      <c r="B11469" s="6"/>
      <c r="C11469" s="6"/>
    </row>
    <row r="11470" s="1" customFormat="1" spans="1:3">
      <c r="A11470" s="6"/>
      <c r="B11470" s="6"/>
      <c r="C11470" s="6"/>
    </row>
    <row r="11471" s="1" customFormat="1" spans="1:3">
      <c r="A11471" s="6"/>
      <c r="B11471" s="6"/>
      <c r="C11471" s="6"/>
    </row>
    <row r="11472" s="1" customFormat="1" spans="1:3">
      <c r="A11472" s="6"/>
      <c r="B11472" s="6"/>
      <c r="C11472" s="6"/>
    </row>
    <row r="11473" s="1" customFormat="1" spans="1:3">
      <c r="A11473" s="6"/>
      <c r="B11473" s="6"/>
      <c r="C11473" s="6"/>
    </row>
    <row r="11474" s="1" customFormat="1" spans="1:3">
      <c r="A11474" s="6"/>
      <c r="B11474" s="6"/>
      <c r="C11474" s="6"/>
    </row>
    <row r="11475" s="1" customFormat="1" spans="1:3">
      <c r="A11475" s="6"/>
      <c r="B11475" s="6"/>
      <c r="C11475" s="6"/>
    </row>
    <row r="11476" s="1" customFormat="1" spans="1:3">
      <c r="A11476" s="6"/>
      <c r="B11476" s="6"/>
      <c r="C11476" s="6"/>
    </row>
    <row r="11477" s="1" customFormat="1" spans="1:3">
      <c r="A11477" s="6"/>
      <c r="B11477" s="6"/>
      <c r="C11477" s="6"/>
    </row>
    <row r="11478" s="1" customFormat="1" spans="1:3">
      <c r="A11478" s="6"/>
      <c r="B11478" s="6"/>
      <c r="C11478" s="6"/>
    </row>
    <row r="11479" s="1" customFormat="1" spans="1:3">
      <c r="A11479" s="6"/>
      <c r="B11479" s="6"/>
      <c r="C11479" s="6"/>
    </row>
    <row r="11480" s="1" customFormat="1" spans="1:3">
      <c r="A11480" s="6"/>
      <c r="B11480" s="6"/>
      <c r="C11480" s="6"/>
    </row>
    <row r="11481" s="1" customFormat="1" spans="1:3">
      <c r="A11481" s="6"/>
      <c r="B11481" s="6"/>
      <c r="C11481" s="6"/>
    </row>
    <row r="11482" s="1" customFormat="1" spans="1:3">
      <c r="A11482" s="6"/>
      <c r="B11482" s="6"/>
      <c r="C11482" s="6"/>
    </row>
    <row r="11483" s="1" customFormat="1" spans="1:3">
      <c r="A11483" s="6"/>
      <c r="B11483" s="6"/>
      <c r="C11483" s="6"/>
    </row>
    <row r="11484" s="1" customFormat="1" spans="1:3">
      <c r="A11484" s="6"/>
      <c r="B11484" s="6"/>
      <c r="C11484" s="6"/>
    </row>
    <row r="11485" s="1" customFormat="1" spans="1:3">
      <c r="A11485" s="6"/>
      <c r="B11485" s="6"/>
      <c r="C11485" s="6"/>
    </row>
    <row r="11486" s="1" customFormat="1" spans="1:3">
      <c r="A11486" s="6"/>
      <c r="B11486" s="6"/>
      <c r="C11486" s="6"/>
    </row>
    <row r="11487" s="1" customFormat="1" spans="1:3">
      <c r="A11487" s="6"/>
      <c r="B11487" s="6"/>
      <c r="C11487" s="6"/>
    </row>
    <row r="11488" s="1" customFormat="1" spans="1:3">
      <c r="A11488" s="6"/>
      <c r="B11488" s="6"/>
      <c r="C11488" s="6"/>
    </row>
    <row r="11489" s="1" customFormat="1" spans="1:3">
      <c r="A11489" s="6"/>
      <c r="B11489" s="6"/>
      <c r="C11489" s="6"/>
    </row>
    <row r="11490" s="1" customFormat="1" spans="1:3">
      <c r="A11490" s="6"/>
      <c r="B11490" s="6"/>
      <c r="C11490" s="6"/>
    </row>
    <row r="11491" s="1" customFormat="1" spans="1:3">
      <c r="A11491" s="6"/>
      <c r="B11491" s="6"/>
      <c r="C11491" s="6"/>
    </row>
    <row r="11492" s="1" customFormat="1" spans="1:3">
      <c r="A11492" s="6"/>
      <c r="B11492" s="6"/>
      <c r="C11492" s="6"/>
    </row>
    <row r="11493" s="1" customFormat="1" spans="1:3">
      <c r="A11493" s="6"/>
      <c r="B11493" s="6"/>
      <c r="C11493" s="6"/>
    </row>
    <row r="11494" s="1" customFormat="1" spans="1:3">
      <c r="A11494" s="6"/>
      <c r="B11494" s="6"/>
      <c r="C11494" s="6"/>
    </row>
    <row r="11495" s="1" customFormat="1" spans="1:3">
      <c r="A11495" s="6"/>
      <c r="B11495" s="6"/>
      <c r="C11495" s="6"/>
    </row>
    <row r="11496" s="1" customFormat="1" spans="1:3">
      <c r="A11496" s="6"/>
      <c r="B11496" s="6"/>
      <c r="C11496" s="6"/>
    </row>
    <row r="11497" s="1" customFormat="1" spans="1:3">
      <c r="A11497" s="6"/>
      <c r="B11497" s="6"/>
      <c r="C11497" s="6"/>
    </row>
    <row r="11498" s="1" customFormat="1" spans="1:3">
      <c r="A11498" s="6"/>
      <c r="B11498" s="6"/>
      <c r="C11498" s="6"/>
    </row>
    <row r="11499" s="1" customFormat="1" spans="1:3">
      <c r="A11499" s="6"/>
      <c r="B11499" s="6"/>
      <c r="C11499" s="6"/>
    </row>
    <row r="11500" s="1" customFormat="1" spans="1:3">
      <c r="A11500" s="6"/>
      <c r="B11500" s="6"/>
      <c r="C11500" s="6"/>
    </row>
    <row r="11501" s="1" customFormat="1" spans="1:3">
      <c r="A11501" s="6"/>
      <c r="B11501" s="6"/>
      <c r="C11501" s="6"/>
    </row>
    <row r="11502" s="1" customFormat="1" spans="1:3">
      <c r="A11502" s="6"/>
      <c r="B11502" s="6"/>
      <c r="C11502" s="6"/>
    </row>
    <row r="11503" s="1" customFormat="1" spans="1:3">
      <c r="A11503" s="6"/>
      <c r="B11503" s="6"/>
      <c r="C11503" s="6"/>
    </row>
    <row r="11504" s="1" customFormat="1" spans="1:3">
      <c r="A11504" s="6"/>
      <c r="B11504" s="6"/>
      <c r="C11504" s="6"/>
    </row>
    <row r="11505" s="1" customFormat="1" spans="1:3">
      <c r="A11505" s="6"/>
      <c r="B11505" s="6"/>
      <c r="C11505" s="6"/>
    </row>
    <row r="11506" s="1" customFormat="1" spans="1:3">
      <c r="A11506" s="6"/>
      <c r="B11506" s="6"/>
      <c r="C11506" s="6"/>
    </row>
    <row r="11507" s="1" customFormat="1" spans="1:3">
      <c r="A11507" s="6"/>
      <c r="B11507" s="6"/>
      <c r="C11507" s="6"/>
    </row>
    <row r="11508" s="1" customFormat="1" spans="1:3">
      <c r="A11508" s="6"/>
      <c r="B11508" s="6"/>
      <c r="C11508" s="6"/>
    </row>
    <row r="11509" s="1" customFormat="1" spans="1:3">
      <c r="A11509" s="6"/>
      <c r="B11509" s="6"/>
      <c r="C11509" s="6"/>
    </row>
    <row r="11510" s="1" customFormat="1" spans="1:3">
      <c r="A11510" s="6"/>
      <c r="B11510" s="6"/>
      <c r="C11510" s="6"/>
    </row>
    <row r="11511" s="1" customFormat="1" spans="1:3">
      <c r="A11511" s="6"/>
      <c r="B11511" s="6"/>
      <c r="C11511" s="6"/>
    </row>
    <row r="11512" s="1" customFormat="1" spans="1:3">
      <c r="A11512" s="6"/>
      <c r="B11512" s="6"/>
      <c r="C11512" s="6"/>
    </row>
    <row r="11513" s="1" customFormat="1" spans="1:3">
      <c r="A11513" s="6"/>
      <c r="B11513" s="6"/>
      <c r="C11513" s="6"/>
    </row>
    <row r="11514" s="1" customFormat="1" spans="1:3">
      <c r="A11514" s="6"/>
      <c r="B11514" s="6"/>
      <c r="C11514" s="6"/>
    </row>
    <row r="11515" s="1" customFormat="1" spans="1:3">
      <c r="A11515" s="6"/>
      <c r="B11515" s="6"/>
      <c r="C11515" s="6"/>
    </row>
    <row r="11516" s="1" customFormat="1" spans="1:3">
      <c r="A11516" s="6"/>
      <c r="B11516" s="6"/>
      <c r="C11516" s="6"/>
    </row>
    <row r="11517" s="1" customFormat="1" spans="1:3">
      <c r="A11517" s="6"/>
      <c r="B11517" s="6"/>
      <c r="C11517" s="6"/>
    </row>
    <row r="11518" s="1" customFormat="1" spans="1:3">
      <c r="A11518" s="6"/>
      <c r="B11518" s="6"/>
      <c r="C11518" s="6"/>
    </row>
    <row r="11519" s="1" customFormat="1" spans="1:3">
      <c r="A11519" s="6"/>
      <c r="B11519" s="6"/>
      <c r="C11519" s="6"/>
    </row>
    <row r="11520" s="1" customFormat="1" spans="1:3">
      <c r="A11520" s="6"/>
      <c r="B11520" s="6"/>
      <c r="C11520" s="6"/>
    </row>
    <row r="11521" s="1" customFormat="1" spans="1:3">
      <c r="A11521" s="6"/>
      <c r="B11521" s="6"/>
      <c r="C11521" s="6"/>
    </row>
    <row r="11522" s="1" customFormat="1" spans="1:3">
      <c r="A11522" s="6"/>
      <c r="B11522" s="6"/>
      <c r="C11522" s="6"/>
    </row>
    <row r="11523" s="1" customFormat="1" spans="1:3">
      <c r="A11523" s="6"/>
      <c r="B11523" s="6"/>
      <c r="C11523" s="6"/>
    </row>
    <row r="11524" s="1" customFormat="1" spans="1:3">
      <c r="A11524" s="6"/>
      <c r="B11524" s="6"/>
      <c r="C11524" s="6"/>
    </row>
    <row r="11525" s="1" customFormat="1" spans="1:3">
      <c r="A11525" s="6"/>
      <c r="B11525" s="6"/>
      <c r="C11525" s="6"/>
    </row>
    <row r="11526" s="1" customFormat="1" spans="1:3">
      <c r="A11526" s="6"/>
      <c r="B11526" s="6"/>
      <c r="C11526" s="6"/>
    </row>
    <row r="11527" s="1" customFormat="1" spans="1:3">
      <c r="A11527" s="6"/>
      <c r="B11527" s="6"/>
      <c r="C11527" s="6"/>
    </row>
    <row r="11528" s="1" customFormat="1" spans="1:3">
      <c r="A11528" s="6"/>
      <c r="B11528" s="6"/>
      <c r="C11528" s="6"/>
    </row>
    <row r="11529" s="1" customFormat="1" spans="1:3">
      <c r="A11529" s="6"/>
      <c r="B11529" s="6"/>
      <c r="C11529" s="6"/>
    </row>
    <row r="11530" s="1" customFormat="1" spans="1:3">
      <c r="A11530" s="6"/>
      <c r="B11530" s="6"/>
      <c r="C11530" s="6"/>
    </row>
    <row r="11531" s="1" customFormat="1" spans="1:3">
      <c r="A11531" s="6"/>
      <c r="B11531" s="6"/>
      <c r="C11531" s="6"/>
    </row>
    <row r="11532" s="1" customFormat="1" spans="1:3">
      <c r="A11532" s="6"/>
      <c r="B11532" s="6"/>
      <c r="C11532" s="6"/>
    </row>
    <row r="11533" s="1" customFormat="1" spans="1:3">
      <c r="A11533" s="6"/>
      <c r="B11533" s="6"/>
      <c r="C11533" s="6"/>
    </row>
    <row r="11534" s="1" customFormat="1" spans="1:3">
      <c r="A11534" s="6"/>
      <c r="B11534" s="6"/>
      <c r="C11534" s="6"/>
    </row>
    <row r="11535" s="1" customFormat="1" spans="1:3">
      <c r="A11535" s="6"/>
      <c r="B11535" s="6"/>
      <c r="C11535" s="6"/>
    </row>
    <row r="11536" s="1" customFormat="1" spans="1:3">
      <c r="A11536" s="6"/>
      <c r="B11536" s="6"/>
      <c r="C11536" s="6"/>
    </row>
    <row r="11537" s="1" customFormat="1" spans="1:3">
      <c r="A11537" s="6"/>
      <c r="B11537" s="6"/>
      <c r="C11537" s="6"/>
    </row>
    <row r="11538" s="1" customFormat="1" spans="1:3">
      <c r="A11538" s="6"/>
      <c r="B11538" s="6"/>
      <c r="C11538" s="6"/>
    </row>
    <row r="11539" s="1" customFormat="1" spans="1:3">
      <c r="A11539" s="6"/>
      <c r="B11539" s="6"/>
      <c r="C11539" s="6"/>
    </row>
    <row r="11540" s="1" customFormat="1" spans="1:3">
      <c r="A11540" s="6"/>
      <c r="B11540" s="6"/>
      <c r="C11540" s="6"/>
    </row>
    <row r="11541" s="1" customFormat="1" spans="1:3">
      <c r="A11541" s="6"/>
      <c r="B11541" s="6"/>
      <c r="C11541" s="6"/>
    </row>
    <row r="11542" s="1" customFormat="1" spans="1:3">
      <c r="A11542" s="6"/>
      <c r="B11542" s="6"/>
      <c r="C11542" s="6"/>
    </row>
    <row r="11543" s="1" customFormat="1" spans="1:3">
      <c r="A11543" s="6"/>
      <c r="B11543" s="6"/>
      <c r="C11543" s="6"/>
    </row>
    <row r="11544" s="1" customFormat="1" spans="1:3">
      <c r="A11544" s="6"/>
      <c r="B11544" s="6"/>
      <c r="C11544" s="6"/>
    </row>
    <row r="11545" s="1" customFormat="1" spans="1:3">
      <c r="A11545" s="6"/>
      <c r="B11545" s="6"/>
      <c r="C11545" s="6"/>
    </row>
    <row r="11546" s="1" customFormat="1" spans="1:3">
      <c r="A11546" s="6"/>
      <c r="B11546" s="6"/>
      <c r="C11546" s="6"/>
    </row>
    <row r="11547" s="1" customFormat="1" spans="1:3">
      <c r="A11547" s="6"/>
      <c r="B11547" s="6"/>
      <c r="C11547" s="6"/>
    </row>
    <row r="11548" s="1" customFormat="1" spans="1:3">
      <c r="A11548" s="6"/>
      <c r="B11548" s="6"/>
      <c r="C11548" s="6"/>
    </row>
    <row r="11549" s="1" customFormat="1" spans="1:3">
      <c r="A11549" s="6"/>
      <c r="B11549" s="6"/>
      <c r="C11549" s="6"/>
    </row>
    <row r="11550" s="1" customFormat="1" spans="1:3">
      <c r="A11550" s="6"/>
      <c r="B11550" s="6"/>
      <c r="C11550" s="6"/>
    </row>
    <row r="11551" s="1" customFormat="1" spans="1:3">
      <c r="A11551" s="6"/>
      <c r="B11551" s="6"/>
      <c r="C11551" s="6"/>
    </row>
    <row r="11552" s="1" customFormat="1" spans="1:3">
      <c r="A11552" s="6"/>
      <c r="B11552" s="6"/>
      <c r="C11552" s="6"/>
    </row>
    <row r="11553" s="1" customFormat="1" spans="1:3">
      <c r="A11553" s="6"/>
      <c r="B11553" s="6"/>
      <c r="C11553" s="6"/>
    </row>
    <row r="11554" s="1" customFormat="1" spans="1:3">
      <c r="A11554" s="6"/>
      <c r="B11554" s="6"/>
      <c r="C11554" s="6"/>
    </row>
    <row r="11555" s="1" customFormat="1" spans="1:3">
      <c r="A11555" s="6"/>
      <c r="B11555" s="6"/>
      <c r="C11555" s="6"/>
    </row>
    <row r="11556" s="1" customFormat="1" spans="1:3">
      <c r="A11556" s="6"/>
      <c r="B11556" s="6"/>
      <c r="C11556" s="6"/>
    </row>
    <row r="11557" s="1" customFormat="1" spans="1:3">
      <c r="A11557" s="6"/>
      <c r="B11557" s="6"/>
      <c r="C11557" s="6"/>
    </row>
    <row r="11558" s="1" customFormat="1" spans="1:3">
      <c r="A11558" s="6"/>
      <c r="B11558" s="6"/>
      <c r="C11558" s="6"/>
    </row>
    <row r="11559" s="1" customFormat="1" spans="1:3">
      <c r="A11559" s="6"/>
      <c r="B11559" s="6"/>
      <c r="C11559" s="6"/>
    </row>
    <row r="11560" s="1" customFormat="1" spans="1:3">
      <c r="A11560" s="6"/>
      <c r="B11560" s="6"/>
      <c r="C11560" s="6"/>
    </row>
    <row r="11561" s="1" customFormat="1" spans="1:3">
      <c r="A11561" s="6"/>
      <c r="B11561" s="6"/>
      <c r="C11561" s="6"/>
    </row>
    <row r="11562" s="1" customFormat="1" spans="1:3">
      <c r="A11562" s="6"/>
      <c r="B11562" s="6"/>
      <c r="C11562" s="6"/>
    </row>
    <row r="11563" s="1" customFormat="1" spans="1:3">
      <c r="A11563" s="6"/>
      <c r="B11563" s="6"/>
      <c r="C11563" s="6"/>
    </row>
    <row r="11564" s="1" customFormat="1" spans="1:3">
      <c r="A11564" s="6"/>
      <c r="B11564" s="6"/>
      <c r="C11564" s="6"/>
    </row>
    <row r="11565" s="1" customFormat="1" spans="1:3">
      <c r="A11565" s="6"/>
      <c r="B11565" s="6"/>
      <c r="C11565" s="6"/>
    </row>
    <row r="11566" s="1" customFormat="1" spans="1:3">
      <c r="A11566" s="6"/>
      <c r="B11566" s="6"/>
      <c r="C11566" s="6"/>
    </row>
    <row r="11567" s="1" customFormat="1" spans="1:3">
      <c r="A11567" s="6"/>
      <c r="B11567" s="6"/>
      <c r="C11567" s="6"/>
    </row>
    <row r="11568" s="1" customFormat="1" spans="1:3">
      <c r="A11568" s="6"/>
      <c r="B11568" s="6"/>
      <c r="C11568" s="6"/>
    </row>
    <row r="11569" s="1" customFormat="1" spans="1:3">
      <c r="A11569" s="6"/>
      <c r="B11569" s="6"/>
      <c r="C11569" s="6"/>
    </row>
    <row r="11570" s="1" customFormat="1" spans="1:3">
      <c r="A11570" s="6"/>
      <c r="B11570" s="6"/>
      <c r="C11570" s="6"/>
    </row>
    <row r="11571" s="1" customFormat="1" spans="1:3">
      <c r="A11571" s="6"/>
      <c r="B11571" s="6"/>
      <c r="C11571" s="6"/>
    </row>
    <row r="11572" s="1" customFormat="1" spans="1:3">
      <c r="A11572" s="6"/>
      <c r="B11572" s="6"/>
      <c r="C11572" s="6"/>
    </row>
    <row r="11573" s="1" customFormat="1" spans="1:3">
      <c r="A11573" s="6"/>
      <c r="B11573" s="6"/>
      <c r="C11573" s="6"/>
    </row>
    <row r="11574" s="1" customFormat="1" spans="1:3">
      <c r="A11574" s="6"/>
      <c r="B11574" s="6"/>
      <c r="C11574" s="6"/>
    </row>
    <row r="11575" s="1" customFormat="1" spans="1:3">
      <c r="A11575" s="6"/>
      <c r="B11575" s="6"/>
      <c r="C11575" s="6"/>
    </row>
    <row r="11576" s="1" customFormat="1" spans="1:3">
      <c r="A11576" s="6"/>
      <c r="B11576" s="6"/>
      <c r="C11576" s="6"/>
    </row>
    <row r="11577" s="1" customFormat="1" spans="1:3">
      <c r="A11577" s="6"/>
      <c r="B11577" s="6"/>
      <c r="C11577" s="6"/>
    </row>
    <row r="11578" s="1" customFormat="1" spans="1:3">
      <c r="A11578" s="6"/>
      <c r="B11578" s="6"/>
      <c r="C11578" s="6"/>
    </row>
    <row r="11579" s="1" customFormat="1" spans="1:3">
      <c r="A11579" s="6"/>
      <c r="B11579" s="6"/>
      <c r="C11579" s="6"/>
    </row>
    <row r="11580" s="1" customFormat="1" spans="1:3">
      <c r="A11580" s="6"/>
      <c r="B11580" s="6"/>
      <c r="C11580" s="6"/>
    </row>
    <row r="11581" s="1" customFormat="1" spans="1:3">
      <c r="A11581" s="6"/>
      <c r="B11581" s="6"/>
      <c r="C11581" s="6"/>
    </row>
    <row r="11582" s="1" customFormat="1" spans="1:3">
      <c r="A11582" s="6"/>
      <c r="B11582" s="6"/>
      <c r="C11582" s="6"/>
    </row>
    <row r="11583" s="1" customFormat="1" spans="1:3">
      <c r="A11583" s="6"/>
      <c r="B11583" s="6"/>
      <c r="C11583" s="6"/>
    </row>
    <row r="11584" s="1" customFormat="1" spans="1:3">
      <c r="A11584" s="6"/>
      <c r="B11584" s="6"/>
      <c r="C11584" s="6"/>
    </row>
    <row r="11585" s="1" customFormat="1" spans="1:3">
      <c r="A11585" s="6"/>
      <c r="B11585" s="6"/>
      <c r="C11585" s="6"/>
    </row>
    <row r="11586" s="1" customFormat="1" spans="1:3">
      <c r="A11586" s="6"/>
      <c r="B11586" s="6"/>
      <c r="C11586" s="6"/>
    </row>
    <row r="11587" s="1" customFormat="1" spans="1:3">
      <c r="A11587" s="6"/>
      <c r="B11587" s="6"/>
      <c r="C11587" s="6"/>
    </row>
    <row r="11588" s="1" customFormat="1" spans="1:3">
      <c r="A11588" s="6"/>
      <c r="B11588" s="6"/>
      <c r="C11588" s="6"/>
    </row>
    <row r="11589" s="1" customFormat="1" spans="1:3">
      <c r="A11589" s="6"/>
      <c r="B11589" s="6"/>
      <c r="C11589" s="6"/>
    </row>
    <row r="11590" s="1" customFormat="1" spans="1:3">
      <c r="A11590" s="6"/>
      <c r="B11590" s="6"/>
      <c r="C11590" s="6"/>
    </row>
    <row r="11591" s="1" customFormat="1" spans="1:3">
      <c r="A11591" s="6"/>
      <c r="B11591" s="6"/>
      <c r="C11591" s="6"/>
    </row>
    <row r="11592" s="1" customFormat="1" spans="1:3">
      <c r="A11592" s="6"/>
      <c r="B11592" s="6"/>
      <c r="C11592" s="6"/>
    </row>
    <row r="11593" s="1" customFormat="1" spans="1:3">
      <c r="A11593" s="6"/>
      <c r="B11593" s="6"/>
      <c r="C11593" s="6"/>
    </row>
    <row r="11594" s="1" customFormat="1" spans="1:3">
      <c r="A11594" s="6"/>
      <c r="B11594" s="6"/>
      <c r="C11594" s="6"/>
    </row>
    <row r="11595" s="1" customFormat="1" spans="1:3">
      <c r="A11595" s="6"/>
      <c r="B11595" s="6"/>
      <c r="C11595" s="6"/>
    </row>
    <row r="11596" s="1" customFormat="1" spans="1:3">
      <c r="A11596" s="6"/>
      <c r="B11596" s="6"/>
      <c r="C11596" s="6"/>
    </row>
    <row r="11597" s="1" customFormat="1" spans="1:3">
      <c r="A11597" s="6"/>
      <c r="B11597" s="6"/>
      <c r="C11597" s="6"/>
    </row>
    <row r="11598" s="1" customFormat="1" spans="1:3">
      <c r="A11598" s="6"/>
      <c r="B11598" s="6"/>
      <c r="C11598" s="6"/>
    </row>
    <row r="11599" s="1" customFormat="1" spans="1:3">
      <c r="A11599" s="6"/>
      <c r="B11599" s="6"/>
      <c r="C11599" s="6"/>
    </row>
    <row r="11600" s="1" customFormat="1" spans="1:3">
      <c r="A11600" s="6"/>
      <c r="B11600" s="6"/>
      <c r="C11600" s="6"/>
    </row>
    <row r="11601" s="1" customFormat="1" spans="1:3">
      <c r="A11601" s="6"/>
      <c r="B11601" s="6"/>
      <c r="C11601" s="6"/>
    </row>
    <row r="11602" s="1" customFormat="1" spans="1:3">
      <c r="A11602" s="6"/>
      <c r="B11602" s="6"/>
      <c r="C11602" s="6"/>
    </row>
    <row r="11603" s="1" customFormat="1" spans="1:3">
      <c r="A11603" s="6"/>
      <c r="B11603" s="6"/>
      <c r="C11603" s="6"/>
    </row>
    <row r="11604" s="1" customFormat="1" spans="1:3">
      <c r="A11604" s="6"/>
      <c r="B11604" s="6"/>
      <c r="C11604" s="6"/>
    </row>
    <row r="11605" s="1" customFormat="1" spans="1:3">
      <c r="A11605" s="6"/>
      <c r="B11605" s="6"/>
      <c r="C11605" s="6"/>
    </row>
    <row r="11606" s="1" customFormat="1" spans="1:3">
      <c r="A11606" s="6"/>
      <c r="B11606" s="6"/>
      <c r="C11606" s="6"/>
    </row>
    <row r="11607" s="1" customFormat="1" spans="1:3">
      <c r="A11607" s="6"/>
      <c r="B11607" s="6"/>
      <c r="C11607" s="6"/>
    </row>
    <row r="11608" s="1" customFormat="1" spans="1:3">
      <c r="A11608" s="6"/>
      <c r="B11608" s="6"/>
      <c r="C11608" s="6"/>
    </row>
    <row r="11609" s="1" customFormat="1" spans="1:3">
      <c r="A11609" s="6"/>
      <c r="B11609" s="6"/>
      <c r="C11609" s="6"/>
    </row>
    <row r="11610" s="1" customFormat="1" spans="1:3">
      <c r="A11610" s="6"/>
      <c r="B11610" s="6"/>
      <c r="C11610" s="6"/>
    </row>
    <row r="11611" s="1" customFormat="1" spans="1:3">
      <c r="A11611" s="6"/>
      <c r="B11611" s="6"/>
      <c r="C11611" s="6"/>
    </row>
    <row r="11612" s="1" customFormat="1" spans="1:3">
      <c r="A11612" s="6"/>
      <c r="B11612" s="6"/>
      <c r="C11612" s="6"/>
    </row>
    <row r="11613" s="1" customFormat="1" spans="1:3">
      <c r="A11613" s="6"/>
      <c r="B11613" s="6"/>
      <c r="C11613" s="6"/>
    </row>
    <row r="11614" s="1" customFormat="1" spans="1:3">
      <c r="A11614" s="6"/>
      <c r="B11614" s="6"/>
      <c r="C11614" s="6"/>
    </row>
    <row r="11615" s="1" customFormat="1" spans="1:3">
      <c r="A11615" s="6"/>
      <c r="B11615" s="6"/>
      <c r="C11615" s="6"/>
    </row>
    <row r="11616" s="1" customFormat="1" spans="1:3">
      <c r="A11616" s="6"/>
      <c r="B11616" s="6"/>
      <c r="C11616" s="6"/>
    </row>
    <row r="11617" s="1" customFormat="1" spans="1:3">
      <c r="A11617" s="6"/>
      <c r="B11617" s="6"/>
      <c r="C11617" s="6"/>
    </row>
    <row r="11618" s="1" customFormat="1" spans="1:3">
      <c r="A11618" s="6"/>
      <c r="B11618" s="6"/>
      <c r="C11618" s="6"/>
    </row>
    <row r="11619" s="1" customFormat="1" spans="1:3">
      <c r="A11619" s="6"/>
      <c r="B11619" s="6"/>
      <c r="C11619" s="6"/>
    </row>
    <row r="11620" s="1" customFormat="1" spans="1:3">
      <c r="A11620" s="6"/>
      <c r="B11620" s="6"/>
      <c r="C11620" s="6"/>
    </row>
    <row r="11621" s="1" customFormat="1" spans="1:3">
      <c r="A11621" s="6"/>
      <c r="B11621" s="6"/>
      <c r="C11621" s="6"/>
    </row>
    <row r="11622" s="1" customFormat="1" spans="1:3">
      <c r="A11622" s="6"/>
      <c r="B11622" s="6"/>
      <c r="C11622" s="6"/>
    </row>
    <row r="11623" s="1" customFormat="1" spans="1:3">
      <c r="A11623" s="6"/>
      <c r="B11623" s="6"/>
      <c r="C11623" s="6"/>
    </row>
    <row r="11624" s="1" customFormat="1" spans="1:3">
      <c r="A11624" s="6"/>
      <c r="B11624" s="6"/>
      <c r="C11624" s="6"/>
    </row>
    <row r="11625" s="1" customFormat="1" spans="1:3">
      <c r="A11625" s="6"/>
      <c r="B11625" s="6"/>
      <c r="C11625" s="6"/>
    </row>
    <row r="11626" s="1" customFormat="1" spans="1:3">
      <c r="A11626" s="6"/>
      <c r="B11626" s="6"/>
      <c r="C11626" s="6"/>
    </row>
    <row r="11627" s="1" customFormat="1" spans="1:3">
      <c r="A11627" s="6"/>
      <c r="B11627" s="6"/>
      <c r="C11627" s="6"/>
    </row>
    <row r="11628" s="1" customFormat="1" spans="1:3">
      <c r="A11628" s="6"/>
      <c r="B11628" s="6"/>
      <c r="C11628" s="6"/>
    </row>
    <row r="11629" s="1" customFormat="1" spans="1:3">
      <c r="A11629" s="6"/>
      <c r="B11629" s="6"/>
      <c r="C11629" s="6"/>
    </row>
    <row r="11630" s="1" customFormat="1" spans="1:3">
      <c r="A11630" s="6"/>
      <c r="B11630" s="6"/>
      <c r="C11630" s="6"/>
    </row>
    <row r="11631" s="1" customFormat="1" spans="1:3">
      <c r="A11631" s="6"/>
      <c r="B11631" s="6"/>
      <c r="C11631" s="6"/>
    </row>
    <row r="11632" s="1" customFormat="1" spans="1:3">
      <c r="A11632" s="6"/>
      <c r="B11632" s="6"/>
      <c r="C11632" s="6"/>
    </row>
    <row r="11633" s="1" customFormat="1" spans="1:3">
      <c r="A11633" s="6"/>
      <c r="B11633" s="6"/>
      <c r="C11633" s="6"/>
    </row>
    <row r="11634" s="1" customFormat="1" spans="1:3">
      <c r="A11634" s="6"/>
      <c r="B11634" s="6"/>
      <c r="C11634" s="6"/>
    </row>
    <row r="11635" s="1" customFormat="1" spans="1:3">
      <c r="A11635" s="6"/>
      <c r="B11635" s="6"/>
      <c r="C11635" s="6"/>
    </row>
    <row r="11636" s="1" customFormat="1" spans="1:3">
      <c r="A11636" s="6"/>
      <c r="B11636" s="6"/>
      <c r="C11636" s="6"/>
    </row>
    <row r="11637" s="1" customFormat="1" spans="1:3">
      <c r="A11637" s="6"/>
      <c r="B11637" s="6"/>
      <c r="C11637" s="6"/>
    </row>
    <row r="11638" s="1" customFormat="1" spans="1:3">
      <c r="A11638" s="6"/>
      <c r="B11638" s="6"/>
      <c r="C11638" s="6"/>
    </row>
    <row r="11639" s="1" customFormat="1" spans="1:3">
      <c r="A11639" s="6"/>
      <c r="B11639" s="6"/>
      <c r="C11639" s="6"/>
    </row>
    <row r="11640" s="1" customFormat="1" spans="1:3">
      <c r="A11640" s="6"/>
      <c r="B11640" s="6"/>
      <c r="C11640" s="6"/>
    </row>
    <row r="11641" s="1" customFormat="1" spans="1:3">
      <c r="A11641" s="6"/>
      <c r="B11641" s="6"/>
      <c r="C11641" s="6"/>
    </row>
    <row r="11642" s="1" customFormat="1" spans="1:3">
      <c r="A11642" s="6"/>
      <c r="B11642" s="6"/>
      <c r="C11642" s="6"/>
    </row>
    <row r="11643" s="1" customFormat="1" spans="1:3">
      <c r="A11643" s="6"/>
      <c r="B11643" s="6"/>
      <c r="C11643" s="6"/>
    </row>
    <row r="11644" s="1" customFormat="1" spans="1:3">
      <c r="A11644" s="6"/>
      <c r="B11644" s="6"/>
      <c r="C11644" s="6"/>
    </row>
    <row r="11645" s="1" customFormat="1" spans="1:3">
      <c r="A11645" s="6"/>
      <c r="B11645" s="6"/>
      <c r="C11645" s="6"/>
    </row>
    <row r="11646" s="1" customFormat="1" spans="1:3">
      <c r="A11646" s="6"/>
      <c r="B11646" s="6"/>
      <c r="C11646" s="6"/>
    </row>
    <row r="11647" s="1" customFormat="1" spans="1:3">
      <c r="A11647" s="6"/>
      <c r="B11647" s="6"/>
      <c r="C11647" s="6"/>
    </row>
    <row r="11648" s="1" customFormat="1" spans="1:3">
      <c r="A11648" s="6"/>
      <c r="B11648" s="6"/>
      <c r="C11648" s="6"/>
    </row>
    <row r="11649" s="1" customFormat="1" spans="1:3">
      <c r="A11649" s="6"/>
      <c r="B11649" s="6"/>
      <c r="C11649" s="6"/>
    </row>
    <row r="11650" s="1" customFormat="1" spans="1:3">
      <c r="A11650" s="6"/>
      <c r="B11650" s="6"/>
      <c r="C11650" s="6"/>
    </row>
    <row r="11651" s="1" customFormat="1" spans="1:3">
      <c r="A11651" s="6"/>
      <c r="B11651" s="6"/>
      <c r="C11651" s="6"/>
    </row>
    <row r="11652" s="1" customFormat="1" spans="1:3">
      <c r="A11652" s="6"/>
      <c r="B11652" s="6"/>
      <c r="C11652" s="6"/>
    </row>
    <row r="11653" s="1" customFormat="1" spans="1:3">
      <c r="A11653" s="6"/>
      <c r="B11653" s="6"/>
      <c r="C11653" s="6"/>
    </row>
    <row r="11654" s="1" customFormat="1" spans="1:3">
      <c r="A11654" s="6"/>
      <c r="B11654" s="6"/>
      <c r="C11654" s="6"/>
    </row>
    <row r="11655" s="1" customFormat="1" spans="1:3">
      <c r="A11655" s="6"/>
      <c r="B11655" s="6"/>
      <c r="C11655" s="6"/>
    </row>
    <row r="11656" s="1" customFormat="1" spans="1:3">
      <c r="A11656" s="6"/>
      <c r="B11656" s="6"/>
      <c r="C11656" s="6"/>
    </row>
    <row r="11657" s="1" customFormat="1" spans="1:3">
      <c r="A11657" s="6"/>
      <c r="B11657" s="6"/>
      <c r="C11657" s="6"/>
    </row>
    <row r="11658" s="1" customFormat="1" spans="1:3">
      <c r="A11658" s="6"/>
      <c r="B11658" s="6"/>
      <c r="C11658" s="6"/>
    </row>
    <row r="11659" s="1" customFormat="1" spans="1:3">
      <c r="A11659" s="6"/>
      <c r="B11659" s="6"/>
      <c r="C11659" s="6"/>
    </row>
    <row r="11660" s="1" customFormat="1" spans="1:3">
      <c r="A11660" s="6"/>
      <c r="B11660" s="6"/>
      <c r="C11660" s="6"/>
    </row>
    <row r="11661" s="1" customFormat="1" spans="1:3">
      <c r="A11661" s="6"/>
      <c r="B11661" s="6"/>
      <c r="C11661" s="6"/>
    </row>
    <row r="11662" s="1" customFormat="1" spans="1:3">
      <c r="A11662" s="6"/>
      <c r="B11662" s="6"/>
      <c r="C11662" s="6"/>
    </row>
    <row r="11663" s="1" customFormat="1" spans="1:3">
      <c r="A11663" s="6"/>
      <c r="B11663" s="6"/>
      <c r="C11663" s="6"/>
    </row>
    <row r="11664" s="1" customFormat="1" spans="1:3">
      <c r="A11664" s="6"/>
      <c r="B11664" s="6"/>
      <c r="C11664" s="6"/>
    </row>
    <row r="11665" s="1" customFormat="1" spans="1:3">
      <c r="A11665" s="6"/>
      <c r="B11665" s="6"/>
      <c r="C11665" s="6"/>
    </row>
    <row r="11666" s="1" customFormat="1" spans="1:3">
      <c r="A11666" s="6"/>
      <c r="B11666" s="6"/>
      <c r="C11666" s="6"/>
    </row>
    <row r="11667" s="1" customFormat="1" spans="1:3">
      <c r="A11667" s="6"/>
      <c r="B11667" s="6"/>
      <c r="C11667" s="6"/>
    </row>
    <row r="11668" s="1" customFormat="1" spans="1:3">
      <c r="A11668" s="6"/>
      <c r="B11668" s="6"/>
      <c r="C11668" s="6"/>
    </row>
    <row r="11669" s="1" customFormat="1" spans="1:3">
      <c r="A11669" s="6"/>
      <c r="B11669" s="6"/>
      <c r="C11669" s="6"/>
    </row>
    <row r="11670" s="1" customFormat="1" spans="1:3">
      <c r="A11670" s="6"/>
      <c r="B11670" s="6"/>
      <c r="C11670" s="6"/>
    </row>
    <row r="11671" s="1" customFormat="1" spans="1:3">
      <c r="A11671" s="6"/>
      <c r="B11671" s="6"/>
      <c r="C11671" s="6"/>
    </row>
    <row r="11672" s="1" customFormat="1" spans="1:3">
      <c r="A11672" s="6"/>
      <c r="B11672" s="6"/>
      <c r="C11672" s="6"/>
    </row>
    <row r="11673" s="1" customFormat="1" spans="1:3">
      <c r="A11673" s="6"/>
      <c r="B11673" s="6"/>
      <c r="C11673" s="6"/>
    </row>
    <row r="11674" s="1" customFormat="1" spans="1:3">
      <c r="A11674" s="6"/>
      <c r="B11674" s="6"/>
      <c r="C11674" s="6"/>
    </row>
    <row r="11675" s="1" customFormat="1" spans="1:3">
      <c r="A11675" s="6"/>
      <c r="B11675" s="6"/>
      <c r="C11675" s="6"/>
    </row>
    <row r="11676" s="1" customFormat="1" spans="1:3">
      <c r="A11676" s="6"/>
      <c r="B11676" s="6"/>
      <c r="C11676" s="6"/>
    </row>
    <row r="11677" s="1" customFormat="1" spans="1:3">
      <c r="A11677" s="6"/>
      <c r="B11677" s="6"/>
      <c r="C11677" s="6"/>
    </row>
    <row r="11678" s="1" customFormat="1" spans="1:3">
      <c r="A11678" s="6"/>
      <c r="B11678" s="6"/>
      <c r="C11678" s="6"/>
    </row>
    <row r="11679" s="1" customFormat="1" spans="1:3">
      <c r="A11679" s="6"/>
      <c r="B11679" s="6"/>
      <c r="C11679" s="6"/>
    </row>
    <row r="11680" s="1" customFormat="1" spans="1:3">
      <c r="A11680" s="6"/>
      <c r="B11680" s="6"/>
      <c r="C11680" s="6"/>
    </row>
    <row r="11681" s="1" customFormat="1" spans="1:3">
      <c r="A11681" s="6"/>
      <c r="B11681" s="6"/>
      <c r="C11681" s="6"/>
    </row>
    <row r="11682" s="1" customFormat="1" spans="1:3">
      <c r="A11682" s="6"/>
      <c r="B11682" s="6"/>
      <c r="C11682" s="6"/>
    </row>
    <row r="11683" s="1" customFormat="1" spans="1:3">
      <c r="A11683" s="6"/>
      <c r="B11683" s="6"/>
      <c r="C11683" s="6"/>
    </row>
    <row r="11684" s="1" customFormat="1" spans="1:3">
      <c r="A11684" s="6"/>
      <c r="B11684" s="6"/>
      <c r="C11684" s="6"/>
    </row>
    <row r="11685" s="1" customFormat="1" spans="1:3">
      <c r="A11685" s="6"/>
      <c r="B11685" s="6"/>
      <c r="C11685" s="6"/>
    </row>
    <row r="11686" s="1" customFormat="1" spans="1:3">
      <c r="A11686" s="6"/>
      <c r="B11686" s="6"/>
      <c r="C11686" s="6"/>
    </row>
    <row r="11687" s="1" customFormat="1" spans="1:3">
      <c r="A11687" s="6"/>
      <c r="B11687" s="6"/>
      <c r="C11687" s="6"/>
    </row>
    <row r="11688" s="1" customFormat="1" spans="1:3">
      <c r="A11688" s="6"/>
      <c r="B11688" s="6"/>
      <c r="C11688" s="6"/>
    </row>
    <row r="11689" s="1" customFormat="1" spans="1:3">
      <c r="A11689" s="6"/>
      <c r="B11689" s="6"/>
      <c r="C11689" s="6"/>
    </row>
    <row r="11690" s="1" customFormat="1" spans="1:3">
      <c r="A11690" s="6"/>
      <c r="B11690" s="6"/>
      <c r="C11690" s="6"/>
    </row>
    <row r="11691" s="1" customFormat="1" spans="1:3">
      <c r="A11691" s="6"/>
      <c r="B11691" s="6"/>
      <c r="C11691" s="6"/>
    </row>
    <row r="11692" s="1" customFormat="1" spans="1:3">
      <c r="A11692" s="6"/>
      <c r="B11692" s="6"/>
      <c r="C11692" s="6"/>
    </row>
    <row r="11693" s="1" customFormat="1" spans="1:3">
      <c r="A11693" s="6"/>
      <c r="B11693" s="6"/>
      <c r="C11693" s="6"/>
    </row>
    <row r="11694" s="1" customFormat="1" spans="1:3">
      <c r="A11694" s="6"/>
      <c r="B11694" s="6"/>
      <c r="C11694" s="6"/>
    </row>
    <row r="11695" s="1" customFormat="1" spans="1:3">
      <c r="A11695" s="6"/>
      <c r="B11695" s="6"/>
      <c r="C11695" s="6"/>
    </row>
    <row r="11696" s="1" customFormat="1" spans="1:3">
      <c r="A11696" s="6"/>
      <c r="B11696" s="6"/>
      <c r="C11696" s="6"/>
    </row>
    <row r="11697" s="1" customFormat="1" spans="1:3">
      <c r="A11697" s="6"/>
      <c r="B11697" s="6"/>
      <c r="C11697" s="6"/>
    </row>
    <row r="11698" s="1" customFormat="1" spans="1:3">
      <c r="A11698" s="6"/>
      <c r="B11698" s="6"/>
      <c r="C11698" s="6"/>
    </row>
    <row r="11699" s="1" customFormat="1" spans="1:3">
      <c r="A11699" s="6"/>
      <c r="B11699" s="6"/>
      <c r="C11699" s="6"/>
    </row>
    <row r="11700" s="1" customFormat="1" spans="1:3">
      <c r="A11700" s="6"/>
      <c r="B11700" s="6"/>
      <c r="C11700" s="6"/>
    </row>
    <row r="11701" s="1" customFormat="1" spans="1:3">
      <c r="A11701" s="6"/>
      <c r="B11701" s="6"/>
      <c r="C11701" s="6"/>
    </row>
    <row r="11702" s="1" customFormat="1" spans="1:3">
      <c r="A11702" s="6"/>
      <c r="B11702" s="6"/>
      <c r="C11702" s="6"/>
    </row>
    <row r="11703" s="1" customFormat="1" spans="1:3">
      <c r="A11703" s="6"/>
      <c r="B11703" s="6"/>
      <c r="C11703" s="6"/>
    </row>
    <row r="11704" s="1" customFormat="1" spans="1:3">
      <c r="A11704" s="6"/>
      <c r="B11704" s="6"/>
      <c r="C11704" s="6"/>
    </row>
    <row r="11705" s="1" customFormat="1" spans="1:3">
      <c r="A11705" s="6"/>
      <c r="B11705" s="6"/>
      <c r="C11705" s="6"/>
    </row>
    <row r="11706" s="1" customFormat="1" spans="1:3">
      <c r="A11706" s="6"/>
      <c r="B11706" s="6"/>
      <c r="C11706" s="6"/>
    </row>
    <row r="11707" s="1" customFormat="1" spans="1:3">
      <c r="A11707" s="6"/>
      <c r="B11707" s="6"/>
      <c r="C11707" s="6"/>
    </row>
    <row r="11708" s="1" customFormat="1" spans="1:3">
      <c r="A11708" s="6"/>
      <c r="B11708" s="6"/>
      <c r="C11708" s="6"/>
    </row>
    <row r="11709" s="1" customFormat="1" spans="1:3">
      <c r="A11709" s="6"/>
      <c r="B11709" s="6"/>
      <c r="C11709" s="6"/>
    </row>
    <row r="11710" s="1" customFormat="1" spans="1:3">
      <c r="A11710" s="6"/>
      <c r="B11710" s="6"/>
      <c r="C11710" s="6"/>
    </row>
    <row r="11711" s="1" customFormat="1" spans="1:3">
      <c r="A11711" s="6"/>
      <c r="B11711" s="6"/>
      <c r="C11711" s="6"/>
    </row>
    <row r="11712" s="1" customFormat="1" spans="1:3">
      <c r="A11712" s="6"/>
      <c r="B11712" s="6"/>
      <c r="C11712" s="6"/>
    </row>
    <row r="11713" s="1" customFormat="1" spans="1:3">
      <c r="A11713" s="6"/>
      <c r="B11713" s="6"/>
      <c r="C11713" s="6"/>
    </row>
    <row r="11714" s="1" customFormat="1" spans="1:3">
      <c r="A11714" s="6"/>
      <c r="B11714" s="6"/>
      <c r="C11714" s="6"/>
    </row>
    <row r="11715" s="1" customFormat="1" spans="1:3">
      <c r="A11715" s="6"/>
      <c r="B11715" s="6"/>
      <c r="C11715" s="6"/>
    </row>
    <row r="11716" s="1" customFormat="1" spans="1:3">
      <c r="A11716" s="6"/>
      <c r="B11716" s="6"/>
      <c r="C11716" s="6"/>
    </row>
    <row r="11717" s="1" customFormat="1" spans="1:3">
      <c r="A11717" s="6"/>
      <c r="B11717" s="6"/>
      <c r="C11717" s="6"/>
    </row>
    <row r="11718" s="1" customFormat="1" spans="1:3">
      <c r="A11718" s="6"/>
      <c r="B11718" s="6"/>
      <c r="C11718" s="6"/>
    </row>
    <row r="11719" s="1" customFormat="1" spans="1:3">
      <c r="A11719" s="6"/>
      <c r="B11719" s="6"/>
      <c r="C11719" s="6"/>
    </row>
    <row r="11720" s="1" customFormat="1" spans="1:3">
      <c r="A11720" s="6"/>
      <c r="B11720" s="6"/>
      <c r="C11720" s="6"/>
    </row>
    <row r="11721" s="1" customFormat="1" spans="1:3">
      <c r="A11721" s="6"/>
      <c r="B11721" s="6"/>
      <c r="C11721" s="6"/>
    </row>
    <row r="11722" s="1" customFormat="1" spans="1:3">
      <c r="A11722" s="6"/>
      <c r="B11722" s="6"/>
      <c r="C11722" s="6"/>
    </row>
    <row r="11723" s="1" customFormat="1" spans="1:3">
      <c r="A11723" s="6"/>
      <c r="B11723" s="6"/>
      <c r="C11723" s="6"/>
    </row>
    <row r="11724" s="1" customFormat="1" spans="1:3">
      <c r="A11724" s="6"/>
      <c r="B11724" s="6"/>
      <c r="C11724" s="6"/>
    </row>
    <row r="11725" s="1" customFormat="1" spans="1:3">
      <c r="A11725" s="6"/>
      <c r="B11725" s="6"/>
      <c r="C11725" s="6"/>
    </row>
    <row r="11726" s="1" customFormat="1" spans="1:3">
      <c r="A11726" s="6"/>
      <c r="B11726" s="6"/>
      <c r="C11726" s="6"/>
    </row>
    <row r="11727" s="1" customFormat="1" spans="1:3">
      <c r="A11727" s="6"/>
      <c r="B11727" s="6"/>
      <c r="C11727" s="6"/>
    </row>
    <row r="11728" s="1" customFormat="1" spans="1:3">
      <c r="A11728" s="6"/>
      <c r="B11728" s="6"/>
      <c r="C11728" s="6"/>
    </row>
    <row r="11729" s="1" customFormat="1" spans="1:3">
      <c r="A11729" s="6"/>
      <c r="B11729" s="6"/>
      <c r="C11729" s="6"/>
    </row>
    <row r="11730" s="1" customFormat="1" spans="1:3">
      <c r="A11730" s="6"/>
      <c r="B11730" s="6"/>
      <c r="C11730" s="6"/>
    </row>
    <row r="11731" s="1" customFormat="1" spans="1:3">
      <c r="A11731" s="6"/>
      <c r="B11731" s="6"/>
      <c r="C11731" s="6"/>
    </row>
    <row r="11732" s="1" customFormat="1" spans="1:3">
      <c r="A11732" s="6"/>
      <c r="B11732" s="6"/>
      <c r="C11732" s="6"/>
    </row>
    <row r="11733" s="1" customFormat="1" spans="1:3">
      <c r="A11733" s="6"/>
      <c r="B11733" s="6"/>
      <c r="C11733" s="6"/>
    </row>
    <row r="11734" s="1" customFormat="1" spans="1:3">
      <c r="A11734" s="6"/>
      <c r="B11734" s="6"/>
      <c r="C11734" s="6"/>
    </row>
    <row r="11735" s="1" customFormat="1" spans="1:3">
      <c r="A11735" s="6"/>
      <c r="B11735" s="6"/>
      <c r="C11735" s="6"/>
    </row>
    <row r="11736" s="1" customFormat="1" spans="1:3">
      <c r="A11736" s="6"/>
      <c r="B11736" s="6"/>
      <c r="C11736" s="6"/>
    </row>
    <row r="11737" s="1" customFormat="1" spans="1:3">
      <c r="A11737" s="6"/>
      <c r="B11737" s="6"/>
      <c r="C11737" s="6"/>
    </row>
    <row r="11738" s="1" customFormat="1" spans="1:3">
      <c r="A11738" s="6"/>
      <c r="B11738" s="6"/>
      <c r="C11738" s="6"/>
    </row>
    <row r="11739" s="1" customFormat="1" spans="1:3">
      <c r="A11739" s="6"/>
      <c r="B11739" s="6"/>
      <c r="C11739" s="6"/>
    </row>
    <row r="11740" s="1" customFormat="1" spans="1:3">
      <c r="A11740" s="6"/>
      <c r="B11740" s="6"/>
      <c r="C11740" s="6"/>
    </row>
    <row r="11741" s="1" customFormat="1" spans="1:3">
      <c r="A11741" s="6"/>
      <c r="B11741" s="6"/>
      <c r="C11741" s="6"/>
    </row>
    <row r="11742" s="1" customFormat="1" spans="1:3">
      <c r="A11742" s="6"/>
      <c r="B11742" s="6"/>
      <c r="C11742" s="6"/>
    </row>
    <row r="11743" s="1" customFormat="1" spans="1:3">
      <c r="A11743" s="6"/>
      <c r="B11743" s="6"/>
      <c r="C11743" s="6"/>
    </row>
    <row r="11744" s="1" customFormat="1" spans="1:3">
      <c r="A11744" s="6"/>
      <c r="B11744" s="6"/>
      <c r="C11744" s="6"/>
    </row>
    <row r="11745" s="1" customFormat="1" spans="1:3">
      <c r="A11745" s="6"/>
      <c r="B11745" s="6"/>
      <c r="C11745" s="6"/>
    </row>
    <row r="11746" s="1" customFormat="1" spans="1:3">
      <c r="A11746" s="6"/>
      <c r="B11746" s="6"/>
      <c r="C11746" s="6"/>
    </row>
    <row r="11747" s="1" customFormat="1" spans="1:3">
      <c r="A11747" s="6"/>
      <c r="B11747" s="6"/>
      <c r="C11747" s="6"/>
    </row>
    <row r="11748" s="1" customFormat="1" spans="1:3">
      <c r="A11748" s="6"/>
      <c r="B11748" s="6"/>
      <c r="C11748" s="6"/>
    </row>
    <row r="11749" s="1" customFormat="1" spans="1:3">
      <c r="A11749" s="6"/>
      <c r="B11749" s="6"/>
      <c r="C11749" s="6"/>
    </row>
    <row r="11750" s="1" customFormat="1" spans="1:3">
      <c r="A11750" s="6"/>
      <c r="B11750" s="6"/>
      <c r="C11750" s="6"/>
    </row>
    <row r="11751" s="1" customFormat="1" spans="1:3">
      <c r="A11751" s="6"/>
      <c r="B11751" s="6"/>
      <c r="C11751" s="6"/>
    </row>
    <row r="11752" s="1" customFormat="1" spans="1:3">
      <c r="A11752" s="6"/>
      <c r="B11752" s="6"/>
      <c r="C11752" s="6"/>
    </row>
    <row r="11753" s="1" customFormat="1" spans="1:3">
      <c r="A11753" s="6"/>
      <c r="B11753" s="6"/>
      <c r="C11753" s="6"/>
    </row>
    <row r="11754" s="1" customFormat="1" spans="1:3">
      <c r="A11754" s="6"/>
      <c r="B11754" s="6"/>
      <c r="C11754" s="6"/>
    </row>
    <row r="11755" s="1" customFormat="1" spans="1:3">
      <c r="A11755" s="6"/>
      <c r="B11755" s="6"/>
      <c r="C11755" s="6"/>
    </row>
    <row r="11756" s="1" customFormat="1" spans="1:3">
      <c r="A11756" s="6"/>
      <c r="B11756" s="6"/>
      <c r="C11756" s="6"/>
    </row>
    <row r="11757" s="1" customFormat="1" spans="1:3">
      <c r="A11757" s="6"/>
      <c r="B11757" s="6"/>
      <c r="C11757" s="6"/>
    </row>
    <row r="11758" s="1" customFormat="1" spans="1:3">
      <c r="A11758" s="6"/>
      <c r="B11758" s="6"/>
      <c r="C11758" s="6"/>
    </row>
    <row r="11759" s="1" customFormat="1" spans="1:3">
      <c r="A11759" s="6"/>
      <c r="B11759" s="6"/>
      <c r="C11759" s="6"/>
    </row>
    <row r="11760" s="1" customFormat="1" spans="1:3">
      <c r="A11760" s="6"/>
      <c r="B11760" s="6"/>
      <c r="C11760" s="6"/>
    </row>
    <row r="11761" s="1" customFormat="1" spans="1:3">
      <c r="A11761" s="6"/>
      <c r="B11761" s="6"/>
      <c r="C11761" s="6"/>
    </row>
    <row r="11762" s="1" customFormat="1" spans="1:3">
      <c r="A11762" s="6"/>
      <c r="B11762" s="6"/>
      <c r="C11762" s="6"/>
    </row>
    <row r="11763" s="1" customFormat="1" spans="1:3">
      <c r="A11763" s="6"/>
      <c r="B11763" s="6"/>
      <c r="C11763" s="6"/>
    </row>
    <row r="11764" s="1" customFormat="1" spans="1:3">
      <c r="A11764" s="6"/>
      <c r="B11764" s="6"/>
      <c r="C11764" s="6"/>
    </row>
    <row r="11765" s="1" customFormat="1" spans="1:3">
      <c r="A11765" s="6"/>
      <c r="B11765" s="6"/>
      <c r="C11765" s="6"/>
    </row>
    <row r="11766" s="1" customFormat="1" spans="1:3">
      <c r="A11766" s="6"/>
      <c r="B11766" s="6"/>
      <c r="C11766" s="6"/>
    </row>
    <row r="11767" s="1" customFormat="1" spans="1:3">
      <c r="A11767" s="6"/>
      <c r="B11767" s="6"/>
      <c r="C11767" s="6"/>
    </row>
    <row r="11768" s="1" customFormat="1" spans="1:3">
      <c r="A11768" s="6"/>
      <c r="B11768" s="6"/>
      <c r="C11768" s="6"/>
    </row>
    <row r="11769" s="1" customFormat="1" spans="1:3">
      <c r="A11769" s="6"/>
      <c r="B11769" s="6"/>
      <c r="C11769" s="6"/>
    </row>
    <row r="11770" s="1" customFormat="1" spans="1:3">
      <c r="A11770" s="6"/>
      <c r="B11770" s="6"/>
      <c r="C11770" s="6"/>
    </row>
    <row r="11771" s="1" customFormat="1" spans="1:3">
      <c r="A11771" s="6"/>
      <c r="B11771" s="6"/>
      <c r="C11771" s="6"/>
    </row>
    <row r="11772" s="1" customFormat="1" spans="1:3">
      <c r="A11772" s="6"/>
      <c r="B11772" s="6"/>
      <c r="C11772" s="6"/>
    </row>
    <row r="11773" s="1" customFormat="1" spans="1:3">
      <c r="A11773" s="6"/>
      <c r="B11773" s="6"/>
      <c r="C11773" s="6"/>
    </row>
    <row r="11774" s="1" customFormat="1" spans="1:3">
      <c r="A11774" s="6"/>
      <c r="B11774" s="6"/>
      <c r="C11774" s="6"/>
    </row>
    <row r="11775" s="1" customFormat="1" spans="1:3">
      <c r="A11775" s="6"/>
      <c r="B11775" s="6"/>
      <c r="C11775" s="6"/>
    </row>
    <row r="11776" s="1" customFormat="1" spans="1:3">
      <c r="A11776" s="6"/>
      <c r="B11776" s="6"/>
      <c r="C11776" s="6"/>
    </row>
    <row r="11777" s="1" customFormat="1" spans="1:3">
      <c r="A11777" s="6"/>
      <c r="B11777" s="6"/>
      <c r="C11777" s="6"/>
    </row>
    <row r="11778" s="1" customFormat="1" spans="1:3">
      <c r="A11778" s="6"/>
      <c r="B11778" s="6"/>
      <c r="C11778" s="6"/>
    </row>
    <row r="11779" s="1" customFormat="1" spans="1:3">
      <c r="A11779" s="6"/>
      <c r="B11779" s="6"/>
      <c r="C11779" s="6"/>
    </row>
    <row r="11780" s="1" customFormat="1" spans="1:3">
      <c r="A11780" s="6"/>
      <c r="B11780" s="6"/>
      <c r="C11780" s="6"/>
    </row>
    <row r="11781" s="1" customFormat="1" spans="1:3">
      <c r="A11781" s="6"/>
      <c r="B11781" s="6"/>
      <c r="C11781" s="6"/>
    </row>
    <row r="11782" s="1" customFormat="1" spans="1:3">
      <c r="A11782" s="6"/>
      <c r="B11782" s="6"/>
      <c r="C11782" s="6"/>
    </row>
    <row r="11783" s="1" customFormat="1" spans="1:3">
      <c r="A11783" s="6"/>
      <c r="B11783" s="6"/>
      <c r="C11783" s="6"/>
    </row>
    <row r="11784" s="1" customFormat="1" spans="1:3">
      <c r="A11784" s="6"/>
      <c r="B11784" s="6"/>
      <c r="C11784" s="6"/>
    </row>
    <row r="11785" s="1" customFormat="1" spans="1:3">
      <c r="A11785" s="6"/>
      <c r="B11785" s="6"/>
      <c r="C11785" s="6"/>
    </row>
    <row r="11786" s="1" customFormat="1" spans="1:3">
      <c r="A11786" s="6"/>
      <c r="B11786" s="6"/>
      <c r="C11786" s="6"/>
    </row>
    <row r="11787" s="1" customFormat="1" spans="1:3">
      <c r="A11787" s="6"/>
      <c r="B11787" s="6"/>
      <c r="C11787" s="6"/>
    </row>
    <row r="11788" s="1" customFormat="1" spans="1:3">
      <c r="A11788" s="6"/>
      <c r="B11788" s="6"/>
      <c r="C11788" s="6"/>
    </row>
    <row r="11789" s="1" customFormat="1" spans="1:3">
      <c r="A11789" s="6"/>
      <c r="B11789" s="6"/>
      <c r="C11789" s="6"/>
    </row>
    <row r="11790" s="1" customFormat="1" spans="1:3">
      <c r="A11790" s="6"/>
      <c r="B11790" s="6"/>
      <c r="C11790" s="6"/>
    </row>
    <row r="11791" s="1" customFormat="1" spans="1:3">
      <c r="A11791" s="6"/>
      <c r="B11791" s="6"/>
      <c r="C11791" s="6"/>
    </row>
    <row r="11792" s="1" customFormat="1" spans="1:3">
      <c r="A11792" s="6"/>
      <c r="B11792" s="6"/>
      <c r="C11792" s="6"/>
    </row>
    <row r="11793" s="1" customFormat="1" spans="1:3">
      <c r="A11793" s="6"/>
      <c r="B11793" s="6"/>
      <c r="C11793" s="6"/>
    </row>
    <row r="11794" s="1" customFormat="1" spans="1:3">
      <c r="A11794" s="6"/>
      <c r="B11794" s="6"/>
      <c r="C11794" s="6"/>
    </row>
    <row r="11795" s="1" customFormat="1" spans="1:3">
      <c r="A11795" s="6"/>
      <c r="B11795" s="6"/>
      <c r="C11795" s="6"/>
    </row>
    <row r="11796" s="1" customFormat="1" spans="1:3">
      <c r="A11796" s="6"/>
      <c r="B11796" s="6"/>
      <c r="C11796" s="6"/>
    </row>
    <row r="11797" s="1" customFormat="1" spans="1:3">
      <c r="A11797" s="6"/>
      <c r="B11797" s="6"/>
      <c r="C11797" s="6"/>
    </row>
    <row r="11798" s="1" customFormat="1" spans="1:3">
      <c r="A11798" s="6"/>
      <c r="B11798" s="6"/>
      <c r="C11798" s="6"/>
    </row>
    <row r="11799" s="1" customFormat="1" spans="1:3">
      <c r="A11799" s="6"/>
      <c r="B11799" s="6"/>
      <c r="C11799" s="6"/>
    </row>
    <row r="11800" s="1" customFormat="1" spans="1:3">
      <c r="A11800" s="6"/>
      <c r="B11800" s="6"/>
      <c r="C11800" s="6"/>
    </row>
    <row r="11801" s="1" customFormat="1" spans="1:3">
      <c r="A11801" s="6"/>
      <c r="B11801" s="6"/>
      <c r="C11801" s="6"/>
    </row>
    <row r="11802" s="1" customFormat="1" spans="1:3">
      <c r="A11802" s="6"/>
      <c r="B11802" s="6"/>
      <c r="C11802" s="6"/>
    </row>
    <row r="11803" s="1" customFormat="1" spans="1:3">
      <c r="A11803" s="6"/>
      <c r="B11803" s="6"/>
      <c r="C11803" s="6"/>
    </row>
    <row r="11804" s="1" customFormat="1" spans="1:3">
      <c r="A11804" s="6"/>
      <c r="B11804" s="6"/>
      <c r="C11804" s="6"/>
    </row>
    <row r="11805" s="1" customFormat="1" spans="1:3">
      <c r="A11805" s="6"/>
      <c r="B11805" s="6"/>
      <c r="C11805" s="6"/>
    </row>
    <row r="11806" s="1" customFormat="1" spans="1:3">
      <c r="A11806" s="6"/>
      <c r="B11806" s="6"/>
      <c r="C11806" s="6"/>
    </row>
    <row r="11807" s="1" customFormat="1" spans="1:3">
      <c r="A11807" s="6"/>
      <c r="B11807" s="6"/>
      <c r="C11807" s="6"/>
    </row>
    <row r="11808" s="1" customFormat="1" spans="1:3">
      <c r="A11808" s="6"/>
      <c r="B11808" s="6"/>
      <c r="C11808" s="6"/>
    </row>
    <row r="11809" s="1" customFormat="1" spans="1:3">
      <c r="A11809" s="6"/>
      <c r="B11809" s="6"/>
      <c r="C11809" s="6"/>
    </row>
    <row r="11810" s="1" customFormat="1" spans="1:3">
      <c r="A11810" s="6"/>
      <c r="B11810" s="6"/>
      <c r="C11810" s="6"/>
    </row>
    <row r="11811" s="1" customFormat="1" spans="1:3">
      <c r="A11811" s="6"/>
      <c r="B11811" s="6"/>
      <c r="C11811" s="6"/>
    </row>
    <row r="11812" s="1" customFormat="1" spans="1:3">
      <c r="A11812" s="6"/>
      <c r="B11812" s="6"/>
      <c r="C11812" s="6"/>
    </row>
    <row r="11813" s="1" customFormat="1" spans="1:3">
      <c r="A11813" s="6"/>
      <c r="B11813" s="6"/>
      <c r="C11813" s="6"/>
    </row>
    <row r="11814" s="1" customFormat="1" spans="1:3">
      <c r="A11814" s="6"/>
      <c r="B11814" s="6"/>
      <c r="C11814" s="6"/>
    </row>
    <row r="11815" s="1" customFormat="1" spans="1:3">
      <c r="A11815" s="6"/>
      <c r="B11815" s="6"/>
      <c r="C11815" s="6"/>
    </row>
    <row r="11816" s="1" customFormat="1" spans="1:3">
      <c r="A11816" s="6"/>
      <c r="B11816" s="6"/>
      <c r="C11816" s="6"/>
    </row>
    <row r="11817" s="1" customFormat="1" spans="1:3">
      <c r="A11817" s="6"/>
      <c r="B11817" s="6"/>
      <c r="C11817" s="6"/>
    </row>
    <row r="11818" s="1" customFormat="1" spans="1:3">
      <c r="A11818" s="6"/>
      <c r="B11818" s="6"/>
      <c r="C11818" s="6"/>
    </row>
    <row r="11819" s="1" customFormat="1" spans="1:3">
      <c r="A11819" s="6"/>
      <c r="B11819" s="6"/>
      <c r="C11819" s="6"/>
    </row>
    <row r="11820" s="1" customFormat="1" spans="1:3">
      <c r="A11820" s="6"/>
      <c r="B11820" s="6"/>
      <c r="C11820" s="6"/>
    </row>
    <row r="11821" s="1" customFormat="1" spans="1:3">
      <c r="A11821" s="6"/>
      <c r="B11821" s="6"/>
      <c r="C11821" s="6"/>
    </row>
    <row r="11822" s="1" customFormat="1" spans="1:3">
      <c r="A11822" s="6"/>
      <c r="B11822" s="6"/>
      <c r="C11822" s="6"/>
    </row>
    <row r="11823" s="1" customFormat="1" spans="1:3">
      <c r="A11823" s="6"/>
      <c r="B11823" s="6"/>
      <c r="C11823" s="6"/>
    </row>
    <row r="11824" s="1" customFormat="1" spans="1:3">
      <c r="A11824" s="6"/>
      <c r="B11824" s="6"/>
      <c r="C11824" s="6"/>
    </row>
    <row r="11825" s="1" customFormat="1" spans="1:3">
      <c r="A11825" s="6"/>
      <c r="B11825" s="6"/>
      <c r="C11825" s="6"/>
    </row>
    <row r="11826" s="1" customFormat="1" spans="1:3">
      <c r="A11826" s="6"/>
      <c r="B11826" s="6"/>
      <c r="C11826" s="6"/>
    </row>
    <row r="11827" s="1" customFormat="1" spans="1:3">
      <c r="A11827" s="6"/>
      <c r="B11827" s="6"/>
      <c r="C11827" s="6"/>
    </row>
    <row r="11828" s="1" customFormat="1" spans="1:3">
      <c r="A11828" s="6"/>
      <c r="B11828" s="6"/>
      <c r="C11828" s="6"/>
    </row>
    <row r="11829" s="1" customFormat="1" spans="1:3">
      <c r="A11829" s="6"/>
      <c r="B11829" s="6"/>
      <c r="C11829" s="6"/>
    </row>
    <row r="11830" s="1" customFormat="1" spans="1:3">
      <c r="A11830" s="6"/>
      <c r="B11830" s="6"/>
      <c r="C11830" s="6"/>
    </row>
    <row r="11831" s="1" customFormat="1" spans="1:3">
      <c r="A11831" s="6"/>
      <c r="B11831" s="6"/>
      <c r="C11831" s="6"/>
    </row>
    <row r="11832" s="1" customFormat="1" spans="1:3">
      <c r="A11832" s="6"/>
      <c r="B11832" s="6"/>
      <c r="C11832" s="6"/>
    </row>
    <row r="11833" s="1" customFormat="1" spans="1:3">
      <c r="A11833" s="6"/>
      <c r="B11833" s="6"/>
      <c r="C11833" s="6"/>
    </row>
    <row r="11834" s="1" customFormat="1" spans="1:3">
      <c r="A11834" s="6"/>
      <c r="B11834" s="6"/>
      <c r="C11834" s="6"/>
    </row>
    <row r="11835" s="1" customFormat="1" spans="1:3">
      <c r="A11835" s="6"/>
      <c r="B11835" s="6"/>
      <c r="C11835" s="6"/>
    </row>
    <row r="11836" s="1" customFormat="1" spans="1:3">
      <c r="A11836" s="6"/>
      <c r="B11836" s="6"/>
      <c r="C11836" s="6"/>
    </row>
    <row r="11837" s="1" customFormat="1" spans="1:3">
      <c r="A11837" s="6"/>
      <c r="B11837" s="6"/>
      <c r="C11837" s="6"/>
    </row>
    <row r="11838" s="1" customFormat="1" spans="1:3">
      <c r="A11838" s="6"/>
      <c r="B11838" s="6"/>
      <c r="C11838" s="6"/>
    </row>
    <row r="11839" s="1" customFormat="1" spans="1:3">
      <c r="A11839" s="6"/>
      <c r="B11839" s="6"/>
      <c r="C11839" s="6"/>
    </row>
    <row r="11840" s="1" customFormat="1" spans="1:3">
      <c r="A11840" s="6"/>
      <c r="B11840" s="6"/>
      <c r="C11840" s="6"/>
    </row>
    <row r="11841" s="1" customFormat="1" spans="1:3">
      <c r="A11841" s="6"/>
      <c r="B11841" s="6"/>
      <c r="C11841" s="6"/>
    </row>
    <row r="11842" s="1" customFormat="1" spans="1:3">
      <c r="A11842" s="6"/>
      <c r="B11842" s="6"/>
      <c r="C11842" s="6"/>
    </row>
    <row r="11843" s="1" customFormat="1" spans="1:3">
      <c r="A11843" s="6"/>
      <c r="B11843" s="6"/>
      <c r="C11843" s="6"/>
    </row>
    <row r="11844" s="1" customFormat="1" spans="1:3">
      <c r="A11844" s="6"/>
      <c r="B11844" s="6"/>
      <c r="C11844" s="6"/>
    </row>
    <row r="11845" s="1" customFormat="1" spans="1:3">
      <c r="A11845" s="6"/>
      <c r="B11845" s="6"/>
      <c r="C11845" s="6"/>
    </row>
    <row r="11846" s="1" customFormat="1" spans="1:3">
      <c r="A11846" s="6"/>
      <c r="B11846" s="6"/>
      <c r="C11846" s="6"/>
    </row>
    <row r="11847" s="1" customFormat="1" spans="1:3">
      <c r="A11847" s="6"/>
      <c r="B11847" s="6"/>
      <c r="C11847" s="6"/>
    </row>
    <row r="11848" s="1" customFormat="1" spans="1:3">
      <c r="A11848" s="6"/>
      <c r="B11848" s="6"/>
      <c r="C11848" s="6"/>
    </row>
    <row r="11849" s="1" customFormat="1" spans="1:3">
      <c r="A11849" s="6"/>
      <c r="B11849" s="6"/>
      <c r="C11849" s="6"/>
    </row>
    <row r="11850" s="1" customFormat="1" spans="1:3">
      <c r="A11850" s="6"/>
      <c r="B11850" s="6"/>
      <c r="C11850" s="6"/>
    </row>
    <row r="11851" s="1" customFormat="1" spans="1:3">
      <c r="A11851" s="6"/>
      <c r="B11851" s="6"/>
      <c r="C11851" s="6"/>
    </row>
    <row r="11852" s="1" customFormat="1" spans="1:3">
      <c r="A11852" s="6"/>
      <c r="B11852" s="6"/>
      <c r="C11852" s="6"/>
    </row>
    <row r="11853" s="1" customFormat="1" spans="1:3">
      <c r="A11853" s="6"/>
      <c r="B11853" s="6"/>
      <c r="C11853" s="6"/>
    </row>
    <row r="11854" s="1" customFormat="1" spans="1:3">
      <c r="A11854" s="6"/>
      <c r="B11854" s="6"/>
      <c r="C11854" s="6"/>
    </row>
    <row r="11855" s="1" customFormat="1" spans="1:3">
      <c r="A11855" s="6"/>
      <c r="B11855" s="6"/>
      <c r="C11855" s="6"/>
    </row>
    <row r="11856" s="1" customFormat="1" spans="1:3">
      <c r="A11856" s="6"/>
      <c r="B11856" s="6"/>
      <c r="C11856" s="6"/>
    </row>
    <row r="11857" s="1" customFormat="1" spans="1:3">
      <c r="A11857" s="6"/>
      <c r="B11857" s="6"/>
      <c r="C11857" s="6"/>
    </row>
    <row r="11858" s="1" customFormat="1" spans="1:3">
      <c r="A11858" s="6"/>
      <c r="B11858" s="6"/>
      <c r="C11858" s="6"/>
    </row>
    <row r="11859" s="1" customFormat="1" spans="1:3">
      <c r="A11859" s="6"/>
      <c r="B11859" s="6"/>
      <c r="C11859" s="6"/>
    </row>
    <row r="11860" s="1" customFormat="1" spans="1:3">
      <c r="A11860" s="6"/>
      <c r="B11860" s="6"/>
      <c r="C11860" s="6"/>
    </row>
    <row r="11861" s="1" customFormat="1" spans="1:3">
      <c r="A11861" s="6"/>
      <c r="B11861" s="6"/>
      <c r="C11861" s="6"/>
    </row>
    <row r="11862" s="1" customFormat="1" spans="1:3">
      <c r="A11862" s="6"/>
      <c r="B11862" s="6"/>
      <c r="C11862" s="6"/>
    </row>
    <row r="11863" s="1" customFormat="1" spans="1:3">
      <c r="A11863" s="6"/>
      <c r="B11863" s="6"/>
      <c r="C11863" s="6"/>
    </row>
    <row r="11864" s="1" customFormat="1" spans="1:3">
      <c r="A11864" s="6"/>
      <c r="B11864" s="6"/>
      <c r="C11864" s="6"/>
    </row>
    <row r="11865" s="1" customFormat="1" spans="1:3">
      <c r="A11865" s="6"/>
      <c r="B11865" s="6"/>
      <c r="C11865" s="6"/>
    </row>
    <row r="11866" s="1" customFormat="1" spans="1:3">
      <c r="A11866" s="6"/>
      <c r="B11866" s="6"/>
      <c r="C11866" s="6"/>
    </row>
    <row r="11867" s="1" customFormat="1" spans="1:3">
      <c r="A11867" s="6"/>
      <c r="B11867" s="6"/>
      <c r="C11867" s="6"/>
    </row>
    <row r="11868" s="1" customFormat="1" spans="1:3">
      <c r="A11868" s="6"/>
      <c r="B11868" s="6"/>
      <c r="C11868" s="6"/>
    </row>
    <row r="11869" s="1" customFormat="1" spans="1:3">
      <c r="A11869" s="6"/>
      <c r="B11869" s="6"/>
      <c r="C11869" s="6"/>
    </row>
    <row r="11870" s="1" customFormat="1" spans="1:3">
      <c r="A11870" s="6"/>
      <c r="B11870" s="6"/>
      <c r="C11870" s="6"/>
    </row>
    <row r="11871" s="1" customFormat="1" spans="1:3">
      <c r="A11871" s="6"/>
      <c r="B11871" s="6"/>
      <c r="C11871" s="6"/>
    </row>
    <row r="11872" s="1" customFormat="1" spans="1:3">
      <c r="A11872" s="6"/>
      <c r="B11872" s="6"/>
      <c r="C11872" s="6"/>
    </row>
    <row r="11873" s="1" customFormat="1" spans="1:3">
      <c r="A11873" s="6"/>
      <c r="B11873" s="6"/>
      <c r="C11873" s="6"/>
    </row>
    <row r="11874" s="1" customFormat="1" spans="1:3">
      <c r="A11874" s="6"/>
      <c r="B11874" s="6"/>
      <c r="C11874" s="6"/>
    </row>
    <row r="11875" s="1" customFormat="1" spans="1:3">
      <c r="A11875" s="6"/>
      <c r="B11875" s="6"/>
      <c r="C11875" s="6"/>
    </row>
    <row r="11876" s="1" customFormat="1" spans="1:3">
      <c r="A11876" s="6"/>
      <c r="B11876" s="6"/>
      <c r="C11876" s="6"/>
    </row>
    <row r="11877" s="1" customFormat="1" spans="1:3">
      <c r="A11877" s="6"/>
      <c r="B11877" s="6"/>
      <c r="C11877" s="6"/>
    </row>
    <row r="11878" s="1" customFormat="1" spans="1:3">
      <c r="A11878" s="6"/>
      <c r="B11878" s="6"/>
      <c r="C11878" s="6"/>
    </row>
    <row r="11879" s="1" customFormat="1" spans="1:3">
      <c r="A11879" s="6"/>
      <c r="B11879" s="6"/>
      <c r="C11879" s="6"/>
    </row>
    <row r="11880" s="1" customFormat="1" spans="1:3">
      <c r="A11880" s="6"/>
      <c r="B11880" s="6"/>
      <c r="C11880" s="6"/>
    </row>
    <row r="11881" s="1" customFormat="1" spans="1:3">
      <c r="A11881" s="6"/>
      <c r="B11881" s="6"/>
      <c r="C11881" s="6"/>
    </row>
    <row r="11882" s="1" customFormat="1" spans="1:3">
      <c r="A11882" s="6"/>
      <c r="B11882" s="6"/>
      <c r="C11882" s="6"/>
    </row>
    <row r="11883" s="1" customFormat="1" spans="1:3">
      <c r="A11883" s="6"/>
      <c r="B11883" s="6"/>
      <c r="C11883" s="6"/>
    </row>
    <row r="11884" s="1" customFormat="1" spans="1:3">
      <c r="A11884" s="6"/>
      <c r="B11884" s="6"/>
      <c r="C11884" s="6"/>
    </row>
    <row r="11885" s="1" customFormat="1" spans="1:3">
      <c r="A11885" s="6"/>
      <c r="B11885" s="6"/>
      <c r="C11885" s="6"/>
    </row>
    <row r="11886" s="1" customFormat="1" spans="1:3">
      <c r="A11886" s="6"/>
      <c r="B11886" s="6"/>
      <c r="C11886" s="6"/>
    </row>
    <row r="11887" s="1" customFormat="1" spans="1:3">
      <c r="A11887" s="6"/>
      <c r="B11887" s="6"/>
      <c r="C11887" s="6"/>
    </row>
    <row r="11888" s="1" customFormat="1" spans="1:3">
      <c r="A11888" s="6"/>
      <c r="B11888" s="6"/>
      <c r="C11888" s="6"/>
    </row>
    <row r="11889" s="1" customFormat="1" spans="1:3">
      <c r="A11889" s="6"/>
      <c r="B11889" s="6"/>
      <c r="C11889" s="6"/>
    </row>
    <row r="11890" s="1" customFormat="1" spans="1:3">
      <c r="A11890" s="6"/>
      <c r="B11890" s="6"/>
      <c r="C11890" s="6"/>
    </row>
    <row r="11891" s="1" customFormat="1" spans="1:3">
      <c r="A11891" s="6"/>
      <c r="B11891" s="6"/>
      <c r="C11891" s="6"/>
    </row>
    <row r="11892" s="1" customFormat="1" spans="1:3">
      <c r="A11892" s="6"/>
      <c r="B11892" s="6"/>
      <c r="C11892" s="6"/>
    </row>
    <row r="11893" s="1" customFormat="1" spans="1:3">
      <c r="A11893" s="6"/>
      <c r="B11893" s="6"/>
      <c r="C11893" s="6"/>
    </row>
    <row r="11894" s="1" customFormat="1" spans="1:3">
      <c r="A11894" s="6"/>
      <c r="B11894" s="6"/>
      <c r="C11894" s="6"/>
    </row>
    <row r="11895" s="1" customFormat="1" spans="1:3">
      <c r="A11895" s="6"/>
      <c r="B11895" s="6"/>
      <c r="C11895" s="6"/>
    </row>
    <row r="11896" s="1" customFormat="1" spans="1:3">
      <c r="A11896" s="6"/>
      <c r="B11896" s="6"/>
      <c r="C11896" s="6"/>
    </row>
    <row r="11897" s="1" customFormat="1" spans="1:3">
      <c r="A11897" s="6"/>
      <c r="B11897" s="6"/>
      <c r="C11897" s="6"/>
    </row>
    <row r="11898" s="1" customFormat="1" spans="1:3">
      <c r="A11898" s="6"/>
      <c r="B11898" s="6"/>
      <c r="C11898" s="6"/>
    </row>
    <row r="11899" s="1" customFormat="1" spans="1:3">
      <c r="A11899" s="6"/>
      <c r="B11899" s="6"/>
      <c r="C11899" s="6"/>
    </row>
    <row r="11900" s="1" customFormat="1" spans="1:3">
      <c r="A11900" s="6"/>
      <c r="B11900" s="6"/>
      <c r="C11900" s="6"/>
    </row>
    <row r="11901" s="1" customFormat="1" spans="1:3">
      <c r="A11901" s="6"/>
      <c r="B11901" s="6"/>
      <c r="C11901" s="6"/>
    </row>
    <row r="11902" s="1" customFormat="1" spans="1:3">
      <c r="A11902" s="6"/>
      <c r="B11902" s="6"/>
      <c r="C11902" s="6"/>
    </row>
    <row r="11903" s="1" customFormat="1" spans="1:3">
      <c r="A11903" s="6"/>
      <c r="B11903" s="6"/>
      <c r="C11903" s="6"/>
    </row>
    <row r="11904" s="1" customFormat="1" spans="1:3">
      <c r="A11904" s="6"/>
      <c r="B11904" s="6"/>
      <c r="C11904" s="6"/>
    </row>
    <row r="11905" s="1" customFormat="1" spans="1:3">
      <c r="A11905" s="6"/>
      <c r="B11905" s="6"/>
      <c r="C11905" s="6"/>
    </row>
    <row r="11906" s="1" customFormat="1" spans="1:3">
      <c r="A11906" s="6"/>
      <c r="B11906" s="6"/>
      <c r="C11906" s="6"/>
    </row>
    <row r="11907" s="1" customFormat="1" spans="1:3">
      <c r="A11907" s="6"/>
      <c r="B11907" s="6"/>
      <c r="C11907" s="6"/>
    </row>
    <row r="11908" s="1" customFormat="1" spans="1:3">
      <c r="A11908" s="6"/>
      <c r="B11908" s="6"/>
      <c r="C11908" s="6"/>
    </row>
    <row r="11909" s="1" customFormat="1" spans="1:3">
      <c r="A11909" s="6"/>
      <c r="B11909" s="6"/>
      <c r="C11909" s="6"/>
    </row>
    <row r="11910" s="1" customFormat="1" spans="1:3">
      <c r="A11910" s="6"/>
      <c r="B11910" s="6"/>
      <c r="C11910" s="6"/>
    </row>
    <row r="11911" s="1" customFormat="1" spans="1:3">
      <c r="A11911" s="6"/>
      <c r="B11911" s="6"/>
      <c r="C11911" s="6"/>
    </row>
    <row r="11912" s="1" customFormat="1" spans="1:3">
      <c r="A11912" s="6"/>
      <c r="B11912" s="6"/>
      <c r="C11912" s="6"/>
    </row>
    <row r="11913" s="1" customFormat="1" spans="1:3">
      <c r="A11913" s="6"/>
      <c r="B11913" s="6"/>
      <c r="C11913" s="6"/>
    </row>
    <row r="11914" s="1" customFormat="1" spans="1:3">
      <c r="A11914" s="6"/>
      <c r="B11914" s="6"/>
      <c r="C11914" s="6"/>
    </row>
    <row r="11915" s="1" customFormat="1" spans="1:3">
      <c r="A11915" s="6"/>
      <c r="B11915" s="6"/>
      <c r="C11915" s="6"/>
    </row>
    <row r="11916" s="1" customFormat="1" spans="1:3">
      <c r="A11916" s="6"/>
      <c r="B11916" s="6"/>
      <c r="C11916" s="6"/>
    </row>
    <row r="11917" s="1" customFormat="1" spans="1:3">
      <c r="A11917" s="6"/>
      <c r="B11917" s="6"/>
      <c r="C11917" s="6"/>
    </row>
    <row r="11918" s="1" customFormat="1" spans="1:3">
      <c r="A11918" s="6"/>
      <c r="B11918" s="6"/>
      <c r="C11918" s="6"/>
    </row>
    <row r="11919" s="1" customFormat="1" spans="1:3">
      <c r="A11919" s="6"/>
      <c r="B11919" s="6"/>
      <c r="C11919" s="6"/>
    </row>
    <row r="11920" s="1" customFormat="1" spans="1:3">
      <c r="A11920" s="6"/>
      <c r="B11920" s="6"/>
      <c r="C11920" s="6"/>
    </row>
    <row r="11921" s="1" customFormat="1" spans="1:3">
      <c r="A11921" s="6"/>
      <c r="B11921" s="6"/>
      <c r="C11921" s="6"/>
    </row>
    <row r="11922" s="1" customFormat="1" spans="1:3">
      <c r="A11922" s="6"/>
      <c r="B11922" s="6"/>
      <c r="C11922" s="6"/>
    </row>
    <row r="11923" s="1" customFormat="1" spans="1:3">
      <c r="A11923" s="6"/>
      <c r="B11923" s="6"/>
      <c r="C11923" s="6"/>
    </row>
    <row r="11924" s="1" customFormat="1" spans="1:3">
      <c r="A11924" s="6"/>
      <c r="B11924" s="6"/>
      <c r="C11924" s="6"/>
    </row>
    <row r="11925" s="1" customFormat="1" spans="1:3">
      <c r="A11925" s="6"/>
      <c r="B11925" s="6"/>
      <c r="C11925" s="6"/>
    </row>
    <row r="11926" s="1" customFormat="1" spans="1:3">
      <c r="A11926" s="6"/>
      <c r="B11926" s="6"/>
      <c r="C11926" s="6"/>
    </row>
    <row r="11927" s="1" customFormat="1" spans="1:3">
      <c r="A11927" s="6"/>
      <c r="B11927" s="6"/>
      <c r="C11927" s="6"/>
    </row>
    <row r="11928" s="1" customFormat="1" spans="1:3">
      <c r="A11928" s="6"/>
      <c r="B11928" s="6"/>
      <c r="C11928" s="6"/>
    </row>
    <row r="11929" s="1" customFormat="1" spans="1:3">
      <c r="A11929" s="6"/>
      <c r="B11929" s="6"/>
      <c r="C11929" s="6"/>
    </row>
    <row r="11930" s="1" customFormat="1" spans="1:3">
      <c r="A11930" s="6"/>
      <c r="B11930" s="6"/>
      <c r="C11930" s="6"/>
    </row>
    <row r="11931" s="1" customFormat="1" spans="1:3">
      <c r="A11931" s="6"/>
      <c r="B11931" s="6"/>
      <c r="C11931" s="6"/>
    </row>
    <row r="11932" s="1" customFormat="1" spans="1:3">
      <c r="A11932" s="6"/>
      <c r="B11932" s="6"/>
      <c r="C11932" s="6"/>
    </row>
    <row r="11933" s="1" customFormat="1" spans="1:3">
      <c r="A11933" s="6"/>
      <c r="B11933" s="6"/>
      <c r="C11933" s="6"/>
    </row>
    <row r="11934" s="1" customFormat="1" spans="1:3">
      <c r="A11934" s="6"/>
      <c r="B11934" s="6"/>
      <c r="C11934" s="6"/>
    </row>
    <row r="11935" s="1" customFormat="1" spans="1:3">
      <c r="A11935" s="6"/>
      <c r="B11935" s="6"/>
      <c r="C11935" s="6"/>
    </row>
    <row r="11936" s="1" customFormat="1" spans="1:3">
      <c r="A11936" s="6"/>
      <c r="B11936" s="6"/>
      <c r="C11936" s="6"/>
    </row>
    <row r="11937" s="1" customFormat="1" spans="1:3">
      <c r="A11937" s="6"/>
      <c r="B11937" s="6"/>
      <c r="C11937" s="6"/>
    </row>
    <row r="11938" s="1" customFormat="1" spans="1:3">
      <c r="A11938" s="6"/>
      <c r="B11938" s="6"/>
      <c r="C11938" s="6"/>
    </row>
    <row r="11939" s="1" customFormat="1" spans="1:3">
      <c r="A11939" s="6"/>
      <c r="B11939" s="6"/>
      <c r="C11939" s="6"/>
    </row>
    <row r="11940" s="1" customFormat="1" spans="1:3">
      <c r="A11940" s="6"/>
      <c r="B11940" s="6"/>
      <c r="C11940" s="6"/>
    </row>
    <row r="11941" s="1" customFormat="1" spans="1:3">
      <c r="A11941" s="6"/>
      <c r="B11941" s="6"/>
      <c r="C11941" s="6"/>
    </row>
    <row r="11942" s="1" customFormat="1" spans="1:3">
      <c r="A11942" s="6"/>
      <c r="B11942" s="6"/>
      <c r="C11942" s="6"/>
    </row>
    <row r="11943" s="1" customFormat="1" spans="1:3">
      <c r="A11943" s="6"/>
      <c r="B11943" s="6"/>
      <c r="C11943" s="6"/>
    </row>
    <row r="11944" s="1" customFormat="1" spans="1:3">
      <c r="A11944" s="6"/>
      <c r="B11944" s="6"/>
      <c r="C11944" s="6"/>
    </row>
    <row r="11945" s="1" customFormat="1" spans="1:3">
      <c r="A11945" s="6"/>
      <c r="B11945" s="6"/>
      <c r="C11945" s="6"/>
    </row>
    <row r="11946" s="1" customFormat="1" spans="1:3">
      <c r="A11946" s="6"/>
      <c r="B11946" s="6"/>
      <c r="C11946" s="6"/>
    </row>
    <row r="11947" s="1" customFormat="1" spans="1:3">
      <c r="A11947" s="6"/>
      <c r="B11947" s="6"/>
      <c r="C11947" s="6"/>
    </row>
    <row r="11948" s="1" customFormat="1" spans="1:3">
      <c r="A11948" s="6"/>
      <c r="B11948" s="6"/>
      <c r="C11948" s="6"/>
    </row>
    <row r="11949" s="1" customFormat="1" spans="1:3">
      <c r="A11949" s="6"/>
      <c r="B11949" s="6"/>
      <c r="C11949" s="6"/>
    </row>
    <row r="11950" s="1" customFormat="1" spans="1:3">
      <c r="A11950" s="6"/>
      <c r="B11950" s="6"/>
      <c r="C11950" s="6"/>
    </row>
    <row r="11951" s="1" customFormat="1" spans="1:3">
      <c r="A11951" s="6"/>
      <c r="B11951" s="6"/>
      <c r="C11951" s="6"/>
    </row>
    <row r="11952" s="1" customFormat="1" spans="1:3">
      <c r="A11952" s="6"/>
      <c r="B11952" s="6"/>
      <c r="C11952" s="6"/>
    </row>
    <row r="11953" s="1" customFormat="1" spans="1:3">
      <c r="A11953" s="6"/>
      <c r="B11953" s="6"/>
      <c r="C11953" s="6"/>
    </row>
    <row r="11954" s="1" customFormat="1" spans="1:3">
      <c r="A11954" s="6"/>
      <c r="B11954" s="6"/>
      <c r="C11954" s="6"/>
    </row>
    <row r="11955" s="1" customFormat="1" spans="1:3">
      <c r="A11955" s="6"/>
      <c r="B11955" s="6"/>
      <c r="C11955" s="6"/>
    </row>
    <row r="11956" s="1" customFormat="1" spans="1:3">
      <c r="A11956" s="6"/>
      <c r="B11956" s="6"/>
      <c r="C11956" s="6"/>
    </row>
    <row r="11957" s="1" customFormat="1" spans="1:3">
      <c r="A11957" s="6"/>
      <c r="B11957" s="6"/>
      <c r="C11957" s="6"/>
    </row>
    <row r="11958" s="1" customFormat="1" spans="1:3">
      <c r="A11958" s="6"/>
      <c r="B11958" s="6"/>
      <c r="C11958" s="6"/>
    </row>
    <row r="11959" s="1" customFormat="1" spans="1:3">
      <c r="A11959" s="6"/>
      <c r="B11959" s="6"/>
      <c r="C11959" s="6"/>
    </row>
    <row r="11960" s="1" customFormat="1" spans="1:3">
      <c r="A11960" s="6"/>
      <c r="B11960" s="6"/>
      <c r="C11960" s="6"/>
    </row>
    <row r="11961" s="1" customFormat="1" spans="1:3">
      <c r="A11961" s="6"/>
      <c r="B11961" s="6"/>
      <c r="C11961" s="6"/>
    </row>
    <row r="11962" s="1" customFormat="1" spans="1:3">
      <c r="A11962" s="6"/>
      <c r="B11962" s="6"/>
      <c r="C11962" s="6"/>
    </row>
    <row r="11963" s="1" customFormat="1" spans="1:3">
      <c r="A11963" s="6"/>
      <c r="B11963" s="6"/>
      <c r="C11963" s="6"/>
    </row>
    <row r="11964" s="1" customFormat="1" spans="1:3">
      <c r="A11964" s="6"/>
      <c r="B11964" s="6"/>
      <c r="C11964" s="6"/>
    </row>
    <row r="11965" s="1" customFormat="1" spans="1:3">
      <c r="A11965" s="6"/>
      <c r="B11965" s="6"/>
      <c r="C11965" s="6"/>
    </row>
    <row r="11966" s="1" customFormat="1" spans="1:3">
      <c r="A11966" s="6"/>
      <c r="B11966" s="6"/>
      <c r="C11966" s="6"/>
    </row>
    <row r="11967" s="1" customFormat="1" spans="1:3">
      <c r="A11967" s="6"/>
      <c r="B11967" s="6"/>
      <c r="C11967" s="6"/>
    </row>
    <row r="11968" s="1" customFormat="1" spans="1:3">
      <c r="A11968" s="6"/>
      <c r="B11968" s="6"/>
      <c r="C11968" s="6"/>
    </row>
    <row r="11969" s="1" customFormat="1" spans="1:3">
      <c r="A11969" s="6"/>
      <c r="B11969" s="6"/>
      <c r="C11969" s="6"/>
    </row>
    <row r="11970" s="1" customFormat="1" spans="1:3">
      <c r="A11970" s="6"/>
      <c r="B11970" s="6"/>
      <c r="C11970" s="6"/>
    </row>
    <row r="11971" s="1" customFormat="1" spans="1:3">
      <c r="A11971" s="6"/>
      <c r="B11971" s="6"/>
      <c r="C11971" s="6"/>
    </row>
    <row r="11972" s="1" customFormat="1" spans="1:3">
      <c r="A11972" s="6"/>
      <c r="B11972" s="6"/>
      <c r="C11972" s="6"/>
    </row>
    <row r="11973" s="1" customFormat="1" spans="1:3">
      <c r="A11973" s="6"/>
      <c r="B11973" s="6"/>
      <c r="C11973" s="6"/>
    </row>
    <row r="11974" s="1" customFormat="1" spans="1:3">
      <c r="A11974" s="6"/>
      <c r="B11974" s="6"/>
      <c r="C11974" s="6"/>
    </row>
    <row r="11975" s="1" customFormat="1" spans="1:3">
      <c r="A11975" s="6"/>
      <c r="B11975" s="6"/>
      <c r="C11975" s="6"/>
    </row>
    <row r="11976" s="1" customFormat="1" spans="1:3">
      <c r="A11976" s="6"/>
      <c r="B11976" s="6"/>
      <c r="C11976" s="6"/>
    </row>
    <row r="11977" s="1" customFormat="1" spans="1:3">
      <c r="A11977" s="6"/>
      <c r="B11977" s="6"/>
      <c r="C11977" s="6"/>
    </row>
    <row r="11978" s="1" customFormat="1" spans="1:3">
      <c r="A11978" s="6"/>
      <c r="B11978" s="6"/>
      <c r="C11978" s="6"/>
    </row>
    <row r="11979" s="1" customFormat="1" spans="1:3">
      <c r="A11979" s="6"/>
      <c r="B11979" s="6"/>
      <c r="C11979" s="6"/>
    </row>
    <row r="11980" s="1" customFormat="1" spans="1:3">
      <c r="A11980" s="6"/>
      <c r="B11980" s="6"/>
      <c r="C11980" s="6"/>
    </row>
    <row r="11981" s="1" customFormat="1" spans="1:3">
      <c r="A11981" s="6"/>
      <c r="B11981" s="6"/>
      <c r="C11981" s="6"/>
    </row>
    <row r="11982" s="1" customFormat="1" spans="1:3">
      <c r="A11982" s="6"/>
      <c r="B11982" s="6"/>
      <c r="C11982" s="6"/>
    </row>
    <row r="11983" s="1" customFormat="1" spans="1:3">
      <c r="A11983" s="6"/>
      <c r="B11983" s="6"/>
      <c r="C11983" s="6"/>
    </row>
    <row r="11984" s="1" customFormat="1" spans="1:3">
      <c r="A11984" s="6"/>
      <c r="B11984" s="6"/>
      <c r="C11984" s="6"/>
    </row>
    <row r="11985" s="1" customFormat="1" spans="1:3">
      <c r="A11985" s="6"/>
      <c r="B11985" s="6"/>
      <c r="C11985" s="6"/>
    </row>
    <row r="11986" s="1" customFormat="1" spans="1:3">
      <c r="A11986" s="6"/>
      <c r="B11986" s="6"/>
      <c r="C11986" s="6"/>
    </row>
    <row r="11987" s="1" customFormat="1" spans="1:3">
      <c r="A11987" s="6"/>
      <c r="B11987" s="6"/>
      <c r="C11987" s="6"/>
    </row>
    <row r="11988" s="1" customFormat="1" spans="1:3">
      <c r="A11988" s="6"/>
      <c r="B11988" s="6"/>
      <c r="C11988" s="6"/>
    </row>
    <row r="11989" s="1" customFormat="1" spans="1:3">
      <c r="A11989" s="6"/>
      <c r="B11989" s="6"/>
      <c r="C11989" s="6"/>
    </row>
    <row r="11990" s="1" customFormat="1" spans="1:3">
      <c r="A11990" s="6"/>
      <c r="B11990" s="6"/>
      <c r="C11990" s="6"/>
    </row>
    <row r="11991" s="1" customFormat="1" spans="1:3">
      <c r="A11991" s="6"/>
      <c r="B11991" s="6"/>
      <c r="C11991" s="6"/>
    </row>
    <row r="11992" s="1" customFormat="1" spans="1:3">
      <c r="A11992" s="6"/>
      <c r="B11992" s="6"/>
      <c r="C11992" s="6"/>
    </row>
    <row r="11993" s="1" customFormat="1" spans="1:3">
      <c r="A11993" s="6"/>
      <c r="B11993" s="6"/>
      <c r="C11993" s="6"/>
    </row>
    <row r="11994" s="1" customFormat="1" spans="1:3">
      <c r="A11994" s="6"/>
      <c r="B11994" s="6"/>
      <c r="C11994" s="6"/>
    </row>
    <row r="11995" s="1" customFormat="1" spans="1:3">
      <c r="A11995" s="6"/>
      <c r="B11995" s="6"/>
      <c r="C11995" s="6"/>
    </row>
    <row r="11996" s="1" customFormat="1" spans="1:3">
      <c r="A11996" s="6"/>
      <c r="B11996" s="6"/>
      <c r="C11996" s="6"/>
    </row>
    <row r="11997" s="1" customFormat="1" spans="1:3">
      <c r="A11997" s="6"/>
      <c r="B11997" s="6"/>
      <c r="C11997" s="6"/>
    </row>
    <row r="11998" s="1" customFormat="1" spans="1:3">
      <c r="A11998" s="6"/>
      <c r="B11998" s="6"/>
      <c r="C11998" s="6"/>
    </row>
    <row r="11999" s="1" customFormat="1" spans="1:3">
      <c r="A11999" s="6"/>
      <c r="B11999" s="6"/>
      <c r="C11999" s="6"/>
    </row>
    <row r="12000" s="1" customFormat="1" spans="1:3">
      <c r="A12000" s="6"/>
      <c r="B12000" s="6"/>
      <c r="C12000" s="6"/>
    </row>
    <row r="12001" s="1" customFormat="1" spans="1:3">
      <c r="A12001" s="6"/>
      <c r="B12001" s="6"/>
      <c r="C12001" s="6"/>
    </row>
    <row r="12002" s="1" customFormat="1" spans="1:3">
      <c r="A12002" s="6"/>
      <c r="B12002" s="6"/>
      <c r="C12002" s="6"/>
    </row>
    <row r="12003" s="1" customFormat="1" spans="1:3">
      <c r="A12003" s="6"/>
      <c r="B12003" s="6"/>
      <c r="C12003" s="6"/>
    </row>
    <row r="12004" s="1" customFormat="1" spans="1:3">
      <c r="A12004" s="6"/>
      <c r="B12004" s="6"/>
      <c r="C12004" s="6"/>
    </row>
    <row r="12005" s="1" customFormat="1" spans="1:3">
      <c r="A12005" s="6"/>
      <c r="B12005" s="6"/>
      <c r="C12005" s="6"/>
    </row>
    <row r="12006" s="1" customFormat="1" spans="1:3">
      <c r="A12006" s="6"/>
      <c r="B12006" s="6"/>
      <c r="C12006" s="6"/>
    </row>
    <row r="12007" s="1" customFormat="1" spans="1:3">
      <c r="A12007" s="6"/>
      <c r="B12007" s="6"/>
      <c r="C12007" s="6"/>
    </row>
    <row r="12008" s="1" customFormat="1" spans="1:3">
      <c r="A12008" s="6"/>
      <c r="B12008" s="6"/>
      <c r="C12008" s="6"/>
    </row>
    <row r="12009" s="1" customFormat="1" spans="1:3">
      <c r="A12009" s="6"/>
      <c r="B12009" s="6"/>
      <c r="C12009" s="6"/>
    </row>
    <row r="12010" s="1" customFormat="1" spans="1:3">
      <c r="A12010" s="6"/>
      <c r="B12010" s="6"/>
      <c r="C12010" s="6"/>
    </row>
    <row r="12011" s="1" customFormat="1" spans="1:3">
      <c r="A12011" s="6"/>
      <c r="B12011" s="6"/>
      <c r="C12011" s="6"/>
    </row>
    <row r="12012" s="1" customFormat="1" spans="1:3">
      <c r="A12012" s="6"/>
      <c r="B12012" s="6"/>
      <c r="C12012" s="6"/>
    </row>
    <row r="12013" s="1" customFormat="1" spans="1:3">
      <c r="A12013" s="6"/>
      <c r="B12013" s="6"/>
      <c r="C12013" s="6"/>
    </row>
    <row r="12014" s="1" customFormat="1" spans="1:3">
      <c r="A12014" s="6"/>
      <c r="B12014" s="6"/>
      <c r="C12014" s="6"/>
    </row>
    <row r="12015" s="1" customFormat="1" spans="1:3">
      <c r="A12015" s="6"/>
      <c r="B12015" s="6"/>
      <c r="C12015" s="6"/>
    </row>
    <row r="12016" s="1" customFormat="1" spans="1:3">
      <c r="A12016" s="6"/>
      <c r="B12016" s="6"/>
      <c r="C12016" s="6"/>
    </row>
    <row r="12017" s="1" customFormat="1" spans="1:3">
      <c r="A12017" s="6"/>
      <c r="B12017" s="6"/>
      <c r="C12017" s="6"/>
    </row>
    <row r="12018" s="1" customFormat="1" spans="1:3">
      <c r="A12018" s="6"/>
      <c r="B12018" s="6"/>
      <c r="C12018" s="6"/>
    </row>
    <row r="12019" s="1" customFormat="1" spans="1:3">
      <c r="A12019" s="6"/>
      <c r="B12019" s="6"/>
      <c r="C12019" s="6"/>
    </row>
    <row r="12020" s="1" customFormat="1" spans="1:3">
      <c r="A12020" s="6"/>
      <c r="B12020" s="6"/>
      <c r="C12020" s="6"/>
    </row>
    <row r="12021" s="1" customFormat="1" spans="1:3">
      <c r="A12021" s="6"/>
      <c r="B12021" s="6"/>
      <c r="C12021" s="6"/>
    </row>
    <row r="12022" s="1" customFormat="1" spans="1:3">
      <c r="A12022" s="6"/>
      <c r="B12022" s="6"/>
      <c r="C12022" s="6"/>
    </row>
    <row r="12023" s="1" customFormat="1" spans="1:3">
      <c r="A12023" s="6"/>
      <c r="B12023" s="6"/>
      <c r="C12023" s="6"/>
    </row>
    <row r="12024" s="1" customFormat="1" spans="1:3">
      <c r="A12024" s="6"/>
      <c r="B12024" s="6"/>
      <c r="C12024" s="6"/>
    </row>
    <row r="12025" s="1" customFormat="1" spans="1:3">
      <c r="A12025" s="6"/>
      <c r="B12025" s="6"/>
      <c r="C12025" s="6"/>
    </row>
    <row r="12026" s="1" customFormat="1" spans="1:3">
      <c r="A12026" s="6"/>
      <c r="B12026" s="6"/>
      <c r="C12026" s="6"/>
    </row>
    <row r="12027" s="1" customFormat="1" spans="1:3">
      <c r="A12027" s="6"/>
      <c r="B12027" s="6"/>
      <c r="C12027" s="6"/>
    </row>
    <row r="12028" s="1" customFormat="1" spans="1:3">
      <c r="A12028" s="6"/>
      <c r="B12028" s="6"/>
      <c r="C12028" s="6"/>
    </row>
    <row r="12029" s="1" customFormat="1" spans="1:3">
      <c r="A12029" s="6"/>
      <c r="B12029" s="6"/>
      <c r="C12029" s="6"/>
    </row>
    <row r="12030" s="1" customFormat="1" spans="1:3">
      <c r="A12030" s="6"/>
      <c r="B12030" s="6"/>
      <c r="C12030" s="6"/>
    </row>
    <row r="12031" s="1" customFormat="1" spans="1:3">
      <c r="A12031" s="6"/>
      <c r="B12031" s="6"/>
      <c r="C12031" s="6"/>
    </row>
    <row r="12032" s="1" customFormat="1" spans="1:3">
      <c r="A12032" s="6"/>
      <c r="B12032" s="6"/>
      <c r="C12032" s="6"/>
    </row>
    <row r="12033" s="1" customFormat="1" spans="1:3">
      <c r="A12033" s="6"/>
      <c r="B12033" s="6"/>
      <c r="C12033" s="6"/>
    </row>
    <row r="12034" s="1" customFormat="1" spans="1:3">
      <c r="A12034" s="6"/>
      <c r="B12034" s="6"/>
      <c r="C12034" s="6"/>
    </row>
    <row r="12035" s="1" customFormat="1" spans="1:3">
      <c r="A12035" s="6"/>
      <c r="B12035" s="6"/>
      <c r="C12035" s="6"/>
    </row>
    <row r="12036" s="1" customFormat="1" spans="1:3">
      <c r="A12036" s="6"/>
      <c r="B12036" s="6"/>
      <c r="C12036" s="6"/>
    </row>
    <row r="12037" s="1" customFormat="1" spans="1:3">
      <c r="A12037" s="6"/>
      <c r="B12037" s="6"/>
      <c r="C12037" s="6"/>
    </row>
    <row r="12038" s="1" customFormat="1" spans="1:3">
      <c r="A12038" s="6"/>
      <c r="B12038" s="6"/>
      <c r="C12038" s="6"/>
    </row>
    <row r="12039" s="1" customFormat="1" spans="1:3">
      <c r="A12039" s="6"/>
      <c r="B12039" s="6"/>
      <c r="C12039" s="6"/>
    </row>
    <row r="12040" s="1" customFormat="1" spans="1:3">
      <c r="A12040" s="6"/>
      <c r="B12040" s="6"/>
      <c r="C12040" s="6"/>
    </row>
    <row r="12041" s="1" customFormat="1" spans="1:3">
      <c r="A12041" s="6"/>
      <c r="B12041" s="6"/>
      <c r="C12041" s="6"/>
    </row>
    <row r="12042" s="1" customFormat="1" spans="1:3">
      <c r="A12042" s="6"/>
      <c r="B12042" s="6"/>
      <c r="C12042" s="6"/>
    </row>
    <row r="12043" s="1" customFormat="1" spans="1:3">
      <c r="A12043" s="6"/>
      <c r="B12043" s="6"/>
      <c r="C12043" s="6"/>
    </row>
    <row r="12044" s="1" customFormat="1" spans="1:3">
      <c r="A12044" s="6"/>
      <c r="B12044" s="6"/>
      <c r="C12044" s="6"/>
    </row>
    <row r="12045" s="1" customFormat="1" spans="1:3">
      <c r="A12045" s="6"/>
      <c r="B12045" s="6"/>
      <c r="C12045" s="6"/>
    </row>
    <row r="12046" s="1" customFormat="1" spans="1:3">
      <c r="A12046" s="6"/>
      <c r="B12046" s="6"/>
      <c r="C12046" s="6"/>
    </row>
    <row r="12047" s="1" customFormat="1" spans="1:3">
      <c r="A12047" s="6"/>
      <c r="B12047" s="6"/>
      <c r="C12047" s="6"/>
    </row>
    <row r="12048" s="1" customFormat="1" spans="1:3">
      <c r="A12048" s="6"/>
      <c r="B12048" s="6"/>
      <c r="C12048" s="6"/>
    </row>
    <row r="12049" s="1" customFormat="1" spans="1:3">
      <c r="A12049" s="6"/>
      <c r="B12049" s="6"/>
      <c r="C12049" s="6"/>
    </row>
    <row r="12050" s="1" customFormat="1" spans="1:3">
      <c r="A12050" s="6"/>
      <c r="B12050" s="6"/>
      <c r="C12050" s="6"/>
    </row>
    <row r="12051" s="1" customFormat="1" spans="1:3">
      <c r="A12051" s="6"/>
      <c r="B12051" s="6"/>
      <c r="C12051" s="6"/>
    </row>
    <row r="12052" s="1" customFormat="1" spans="1:3">
      <c r="A12052" s="6"/>
      <c r="B12052" s="6"/>
      <c r="C12052" s="6"/>
    </row>
    <row r="12053" s="1" customFormat="1" spans="1:3">
      <c r="A12053" s="6"/>
      <c r="B12053" s="6"/>
      <c r="C12053" s="6"/>
    </row>
    <row r="12054" s="1" customFormat="1" spans="1:3">
      <c r="A12054" s="6"/>
      <c r="B12054" s="6"/>
      <c r="C12054" s="6"/>
    </row>
    <row r="12055" s="1" customFormat="1" spans="1:3">
      <c r="A12055" s="6"/>
      <c r="B12055" s="6"/>
      <c r="C12055" s="6"/>
    </row>
    <row r="12056" s="1" customFormat="1" spans="1:3">
      <c r="A12056" s="6"/>
      <c r="B12056" s="6"/>
      <c r="C12056" s="6"/>
    </row>
    <row r="12057" s="1" customFormat="1" spans="1:3">
      <c r="A12057" s="6"/>
      <c r="B12057" s="6"/>
      <c r="C12057" s="6"/>
    </row>
    <row r="12058" s="1" customFormat="1" spans="1:3">
      <c r="A12058" s="6"/>
      <c r="B12058" s="6"/>
      <c r="C12058" s="6"/>
    </row>
    <row r="12059" s="1" customFormat="1" spans="1:3">
      <c r="A12059" s="6"/>
      <c r="B12059" s="6"/>
      <c r="C12059" s="6"/>
    </row>
    <row r="12060" s="1" customFormat="1" spans="1:3">
      <c r="A12060" s="6"/>
      <c r="B12060" s="6"/>
      <c r="C12060" s="6"/>
    </row>
    <row r="12061" s="1" customFormat="1" spans="1:3">
      <c r="A12061" s="6"/>
      <c r="B12061" s="6"/>
      <c r="C12061" s="6"/>
    </row>
    <row r="12062" s="1" customFormat="1" spans="1:3">
      <c r="A12062" s="6"/>
      <c r="B12062" s="6"/>
      <c r="C12062" s="6"/>
    </row>
    <row r="12063" s="1" customFormat="1" spans="1:3">
      <c r="A12063" s="6"/>
      <c r="B12063" s="6"/>
      <c r="C12063" s="6"/>
    </row>
    <row r="12064" s="1" customFormat="1" spans="1:3">
      <c r="A12064" s="6"/>
      <c r="B12064" s="6"/>
      <c r="C12064" s="6"/>
    </row>
    <row r="12065" s="1" customFormat="1" spans="1:3">
      <c r="A12065" s="6"/>
      <c r="B12065" s="6"/>
      <c r="C12065" s="6"/>
    </row>
    <row r="12066" s="1" customFormat="1" spans="1:3">
      <c r="A12066" s="6"/>
      <c r="B12066" s="6"/>
      <c r="C12066" s="6"/>
    </row>
    <row r="12067" s="1" customFormat="1" spans="1:3">
      <c r="A12067" s="6"/>
      <c r="B12067" s="6"/>
      <c r="C12067" s="6"/>
    </row>
    <row r="12068" s="1" customFormat="1" spans="1:3">
      <c r="A12068" s="6"/>
      <c r="B12068" s="6"/>
      <c r="C12068" s="6"/>
    </row>
    <row r="12069" s="1" customFormat="1" spans="1:3">
      <c r="A12069" s="6"/>
      <c r="B12069" s="6"/>
      <c r="C12069" s="6"/>
    </row>
    <row r="12070" s="1" customFormat="1" spans="1:3">
      <c r="A12070" s="6"/>
      <c r="B12070" s="6"/>
      <c r="C12070" s="6"/>
    </row>
    <row r="12071" s="1" customFormat="1" spans="1:3">
      <c r="A12071" s="6"/>
      <c r="B12071" s="6"/>
      <c r="C12071" s="6"/>
    </row>
    <row r="12072" s="1" customFormat="1" spans="1:3">
      <c r="A12072" s="6"/>
      <c r="B12072" s="6"/>
      <c r="C12072" s="6"/>
    </row>
    <row r="12073" s="1" customFormat="1" spans="1:3">
      <c r="A12073" s="6"/>
      <c r="B12073" s="6"/>
      <c r="C12073" s="6"/>
    </row>
    <row r="12074" s="1" customFormat="1" spans="1:3">
      <c r="A12074" s="6"/>
      <c r="B12074" s="6"/>
      <c r="C12074" s="6"/>
    </row>
    <row r="12075" s="1" customFormat="1" spans="1:3">
      <c r="A12075" s="6"/>
      <c r="B12075" s="6"/>
      <c r="C12075" s="6"/>
    </row>
    <row r="12076" s="1" customFormat="1" spans="1:3">
      <c r="A12076" s="6"/>
      <c r="B12076" s="6"/>
      <c r="C12076" s="6"/>
    </row>
    <row r="12077" s="1" customFormat="1" spans="1:3">
      <c r="A12077" s="6"/>
      <c r="B12077" s="6"/>
      <c r="C12077" s="6"/>
    </row>
    <row r="12078" s="1" customFormat="1" spans="1:3">
      <c r="A12078" s="6"/>
      <c r="B12078" s="6"/>
      <c r="C12078" s="6"/>
    </row>
    <row r="12079" s="1" customFormat="1" spans="1:3">
      <c r="A12079" s="6"/>
      <c r="B12079" s="6"/>
      <c r="C12079" s="6"/>
    </row>
    <row r="12080" s="1" customFormat="1" spans="1:3">
      <c r="A12080" s="6"/>
      <c r="B12080" s="6"/>
      <c r="C12080" s="6"/>
    </row>
    <row r="12081" s="1" customFormat="1" spans="1:3">
      <c r="A12081" s="6"/>
      <c r="B12081" s="6"/>
      <c r="C12081" s="6"/>
    </row>
    <row r="12082" s="1" customFormat="1" spans="1:3">
      <c r="A12082" s="6"/>
      <c r="B12082" s="6"/>
      <c r="C12082" s="6"/>
    </row>
    <row r="12083" s="1" customFormat="1" spans="1:3">
      <c r="A12083" s="6"/>
      <c r="B12083" s="6"/>
      <c r="C12083" s="6"/>
    </row>
    <row r="12084" s="1" customFormat="1" spans="1:3">
      <c r="A12084" s="6"/>
      <c r="B12084" s="6"/>
      <c r="C12084" s="6"/>
    </row>
    <row r="12085" s="1" customFormat="1" spans="1:3">
      <c r="A12085" s="6"/>
      <c r="B12085" s="6"/>
      <c r="C12085" s="6"/>
    </row>
    <row r="12086" s="1" customFormat="1" spans="1:3">
      <c r="A12086" s="6"/>
      <c r="B12086" s="6"/>
      <c r="C12086" s="6"/>
    </row>
    <row r="12087" s="1" customFormat="1" spans="1:3">
      <c r="A12087" s="6"/>
      <c r="B12087" s="6"/>
      <c r="C12087" s="6"/>
    </row>
    <row r="12088" s="1" customFormat="1" spans="1:3">
      <c r="A12088" s="6"/>
      <c r="B12088" s="6"/>
      <c r="C12088" s="6"/>
    </row>
    <row r="12089" s="1" customFormat="1" spans="1:3">
      <c r="A12089" s="6"/>
      <c r="B12089" s="6"/>
      <c r="C12089" s="6"/>
    </row>
    <row r="12090" s="1" customFormat="1" spans="1:3">
      <c r="A12090" s="6"/>
      <c r="B12090" s="6"/>
      <c r="C12090" s="6"/>
    </row>
    <row r="12091" s="1" customFormat="1" spans="1:3">
      <c r="A12091" s="6"/>
      <c r="B12091" s="6"/>
      <c r="C12091" s="6"/>
    </row>
    <row r="12092" s="1" customFormat="1" spans="1:3">
      <c r="A12092" s="6"/>
      <c r="B12092" s="6"/>
      <c r="C12092" s="6"/>
    </row>
    <row r="12093" s="1" customFormat="1" spans="1:3">
      <c r="A12093" s="6"/>
      <c r="B12093" s="6"/>
      <c r="C12093" s="6"/>
    </row>
    <row r="12094" s="1" customFormat="1" spans="1:3">
      <c r="A12094" s="6"/>
      <c r="B12094" s="6"/>
      <c r="C12094" s="6"/>
    </row>
    <row r="12095" s="1" customFormat="1" spans="1:3">
      <c r="A12095" s="6"/>
      <c r="B12095" s="6"/>
      <c r="C12095" s="6"/>
    </row>
    <row r="12096" s="1" customFormat="1" spans="1:3">
      <c r="A12096" s="6"/>
      <c r="B12096" s="6"/>
      <c r="C12096" s="6"/>
    </row>
    <row r="12097" s="1" customFormat="1" spans="1:3">
      <c r="A12097" s="6"/>
      <c r="B12097" s="6"/>
      <c r="C12097" s="6"/>
    </row>
    <row r="12098" s="1" customFormat="1" spans="1:3">
      <c r="A12098" s="6"/>
      <c r="B12098" s="6"/>
      <c r="C12098" s="6"/>
    </row>
    <row r="12099" s="1" customFormat="1" spans="1:3">
      <c r="A12099" s="6"/>
      <c r="B12099" s="6"/>
      <c r="C12099" s="6"/>
    </row>
    <row r="12100" s="1" customFormat="1" spans="1:3">
      <c r="A12100" s="6"/>
      <c r="B12100" s="6"/>
      <c r="C12100" s="6"/>
    </row>
    <row r="12101" s="1" customFormat="1" spans="1:3">
      <c r="A12101" s="6"/>
      <c r="B12101" s="6"/>
      <c r="C12101" s="6"/>
    </row>
    <row r="12102" s="1" customFormat="1" spans="1:3">
      <c r="A12102" s="6"/>
      <c r="B12102" s="6"/>
      <c r="C12102" s="6"/>
    </row>
    <row r="12103" s="1" customFormat="1" spans="1:3">
      <c r="A12103" s="6"/>
      <c r="B12103" s="6"/>
      <c r="C12103" s="6"/>
    </row>
    <row r="12104" s="1" customFormat="1" spans="1:3">
      <c r="A12104" s="6"/>
      <c r="B12104" s="6"/>
      <c r="C12104" s="6"/>
    </row>
    <row r="12105" s="1" customFormat="1" spans="1:3">
      <c r="A12105" s="6"/>
      <c r="B12105" s="6"/>
      <c r="C12105" s="6"/>
    </row>
    <row r="12106" s="1" customFormat="1" spans="1:3">
      <c r="A12106" s="6"/>
      <c r="B12106" s="6"/>
      <c r="C12106" s="6"/>
    </row>
    <row r="12107" s="1" customFormat="1" spans="1:3">
      <c r="A12107" s="6"/>
      <c r="B12107" s="6"/>
      <c r="C12107" s="6"/>
    </row>
    <row r="12108" s="1" customFormat="1" spans="1:3">
      <c r="A12108" s="6"/>
      <c r="B12108" s="6"/>
      <c r="C12108" s="6"/>
    </row>
    <row r="12109" s="1" customFormat="1" spans="1:3">
      <c r="A12109" s="6"/>
      <c r="B12109" s="6"/>
      <c r="C12109" s="6"/>
    </row>
    <row r="12110" s="1" customFormat="1" spans="1:3">
      <c r="A12110" s="6"/>
      <c r="B12110" s="6"/>
      <c r="C12110" s="6"/>
    </row>
    <row r="12111" s="1" customFormat="1" spans="1:3">
      <c r="A12111" s="6"/>
      <c r="B12111" s="6"/>
      <c r="C12111" s="6"/>
    </row>
    <row r="12112" s="1" customFormat="1" spans="1:3">
      <c r="A12112" s="6"/>
      <c r="B12112" s="6"/>
      <c r="C12112" s="6"/>
    </row>
    <row r="12113" s="1" customFormat="1" spans="1:3">
      <c r="A12113" s="6"/>
      <c r="B12113" s="6"/>
      <c r="C12113" s="6"/>
    </row>
    <row r="12114" s="1" customFormat="1" spans="1:3">
      <c r="A12114" s="6"/>
      <c r="B12114" s="6"/>
      <c r="C12114" s="6"/>
    </row>
    <row r="12115" s="1" customFormat="1" spans="1:3">
      <c r="A12115" s="6"/>
      <c r="B12115" s="6"/>
      <c r="C12115" s="6"/>
    </row>
    <row r="12116" s="1" customFormat="1" spans="1:3">
      <c r="A12116" s="6"/>
      <c r="B12116" s="6"/>
      <c r="C12116" s="6"/>
    </row>
    <row r="12117" s="1" customFormat="1" spans="1:3">
      <c r="A12117" s="6"/>
      <c r="B12117" s="6"/>
      <c r="C12117" s="6"/>
    </row>
    <row r="12118" s="1" customFormat="1" spans="1:3">
      <c r="A12118" s="6"/>
      <c r="B12118" s="6"/>
      <c r="C12118" s="6"/>
    </row>
    <row r="12119" s="1" customFormat="1" spans="1:3">
      <c r="A12119" s="6"/>
      <c r="B12119" s="6"/>
      <c r="C12119" s="6"/>
    </row>
    <row r="12120" s="1" customFormat="1" spans="1:3">
      <c r="A12120" s="6"/>
      <c r="B12120" s="6"/>
      <c r="C12120" s="6"/>
    </row>
    <row r="12121" s="1" customFormat="1" spans="1:3">
      <c r="A12121" s="6"/>
      <c r="B12121" s="6"/>
      <c r="C12121" s="6"/>
    </row>
    <row r="12122" s="1" customFormat="1" spans="1:3">
      <c r="A12122" s="6"/>
      <c r="B12122" s="6"/>
      <c r="C12122" s="6"/>
    </row>
    <row r="12123" s="1" customFormat="1" spans="1:3">
      <c r="A12123" s="6"/>
      <c r="B12123" s="6"/>
      <c r="C12123" s="6"/>
    </row>
    <row r="12124" s="1" customFormat="1" spans="1:3">
      <c r="A12124" s="6"/>
      <c r="B12124" s="6"/>
      <c r="C12124" s="6"/>
    </row>
    <row r="12125" s="1" customFormat="1" spans="1:3">
      <c r="A12125" s="6"/>
      <c r="B12125" s="6"/>
      <c r="C12125" s="6"/>
    </row>
    <row r="12126" s="1" customFormat="1" spans="1:3">
      <c r="A12126" s="6"/>
      <c r="B12126" s="6"/>
      <c r="C12126" s="6"/>
    </row>
    <row r="12127" s="1" customFormat="1" spans="1:3">
      <c r="A12127" s="6"/>
      <c r="B12127" s="6"/>
      <c r="C12127" s="6"/>
    </row>
    <row r="12128" s="1" customFormat="1" spans="1:3">
      <c r="A12128" s="6"/>
      <c r="B12128" s="6"/>
      <c r="C12128" s="6"/>
    </row>
    <row r="12129" s="1" customFormat="1" spans="1:3">
      <c r="A12129" s="6"/>
      <c r="B12129" s="6"/>
      <c r="C12129" s="6"/>
    </row>
    <row r="12130" s="1" customFormat="1" spans="1:3">
      <c r="A12130" s="6"/>
      <c r="B12130" s="6"/>
      <c r="C12130" s="6"/>
    </row>
    <row r="12131" s="1" customFormat="1" spans="1:3">
      <c r="A12131" s="6"/>
      <c r="B12131" s="6"/>
      <c r="C12131" s="6"/>
    </row>
    <row r="12132" s="1" customFormat="1" spans="1:3">
      <c r="A12132" s="6"/>
      <c r="B12132" s="6"/>
      <c r="C12132" s="6"/>
    </row>
    <row r="12133" s="1" customFormat="1" spans="1:3">
      <c r="A12133" s="6"/>
      <c r="B12133" s="6"/>
      <c r="C12133" s="6"/>
    </row>
    <row r="12134" s="1" customFormat="1" spans="1:3">
      <c r="A12134" s="6"/>
      <c r="B12134" s="6"/>
      <c r="C12134" s="6"/>
    </row>
    <row r="12135" s="1" customFormat="1" spans="1:3">
      <c r="A12135" s="6"/>
      <c r="B12135" s="6"/>
      <c r="C12135" s="6"/>
    </row>
    <row r="12136" s="1" customFormat="1" spans="1:3">
      <c r="A12136" s="6"/>
      <c r="B12136" s="6"/>
      <c r="C12136" s="6"/>
    </row>
    <row r="12137" s="1" customFormat="1" spans="1:3">
      <c r="A12137" s="6"/>
      <c r="B12137" s="6"/>
      <c r="C12137" s="6"/>
    </row>
    <row r="12138" s="1" customFormat="1" spans="1:3">
      <c r="A12138" s="6"/>
      <c r="B12138" s="6"/>
      <c r="C12138" s="6"/>
    </row>
    <row r="12139" s="1" customFormat="1" spans="1:3">
      <c r="A12139" s="6"/>
      <c r="B12139" s="6"/>
      <c r="C12139" s="6"/>
    </row>
    <row r="12140" s="1" customFormat="1" spans="1:3">
      <c r="A12140" s="6"/>
      <c r="B12140" s="6"/>
      <c r="C12140" s="6"/>
    </row>
    <row r="12141" s="1" customFormat="1" spans="1:3">
      <c r="A12141" s="6"/>
      <c r="B12141" s="6"/>
      <c r="C12141" s="6"/>
    </row>
    <row r="12142" s="1" customFormat="1" spans="1:3">
      <c r="A12142" s="6"/>
      <c r="B12142" s="6"/>
      <c r="C12142" s="6"/>
    </row>
    <row r="12143" s="1" customFormat="1" spans="1:3">
      <c r="A12143" s="6"/>
      <c r="B12143" s="6"/>
      <c r="C12143" s="6"/>
    </row>
    <row r="12144" s="1" customFormat="1" spans="1:3">
      <c r="A12144" s="6"/>
      <c r="B12144" s="6"/>
      <c r="C12144" s="6"/>
    </row>
    <row r="12145" s="1" customFormat="1" spans="1:3">
      <c r="A12145" s="6"/>
      <c r="B12145" s="6"/>
      <c r="C12145" s="6"/>
    </row>
    <row r="12146" s="1" customFormat="1" spans="1:3">
      <c r="A12146" s="6"/>
      <c r="B12146" s="6"/>
      <c r="C12146" s="6"/>
    </row>
    <row r="12147" s="1" customFormat="1" spans="1:3">
      <c r="A12147" s="6"/>
      <c r="B12147" s="6"/>
      <c r="C12147" s="6"/>
    </row>
    <row r="12148" s="1" customFormat="1" spans="1:3">
      <c r="A12148" s="6"/>
      <c r="B12148" s="6"/>
      <c r="C12148" s="6"/>
    </row>
    <row r="12149" s="1" customFormat="1" spans="1:3">
      <c r="A12149" s="6"/>
      <c r="B12149" s="6"/>
      <c r="C12149" s="6"/>
    </row>
    <row r="12150" s="1" customFormat="1" spans="1:3">
      <c r="A12150" s="6"/>
      <c r="B12150" s="6"/>
      <c r="C12150" s="6"/>
    </row>
    <row r="12151" s="1" customFormat="1" spans="1:3">
      <c r="A12151" s="6"/>
      <c r="B12151" s="6"/>
      <c r="C12151" s="6"/>
    </row>
    <row r="12152" s="1" customFormat="1" spans="1:3">
      <c r="A12152" s="6"/>
      <c r="B12152" s="6"/>
      <c r="C12152" s="6"/>
    </row>
    <row r="12153" s="1" customFormat="1" spans="1:3">
      <c r="A12153" s="6"/>
      <c r="B12153" s="6"/>
      <c r="C12153" s="6"/>
    </row>
    <row r="12154" s="1" customFormat="1" spans="1:3">
      <c r="A12154" s="6"/>
      <c r="B12154" s="6"/>
      <c r="C12154" s="6"/>
    </row>
    <row r="12155" s="1" customFormat="1" spans="1:3">
      <c r="A12155" s="6"/>
      <c r="B12155" s="6"/>
      <c r="C12155" s="6"/>
    </row>
    <row r="12156" s="1" customFormat="1" spans="1:3">
      <c r="A12156" s="6"/>
      <c r="B12156" s="6"/>
      <c r="C12156" s="6"/>
    </row>
    <row r="12157" s="1" customFormat="1" spans="1:3">
      <c r="A12157" s="6"/>
      <c r="B12157" s="6"/>
      <c r="C12157" s="6"/>
    </row>
    <row r="12158" s="1" customFormat="1" spans="1:3">
      <c r="A12158" s="6"/>
      <c r="B12158" s="6"/>
      <c r="C12158" s="6"/>
    </row>
    <row r="12159" s="1" customFormat="1" spans="1:3">
      <c r="A12159" s="6"/>
      <c r="B12159" s="6"/>
      <c r="C12159" s="6"/>
    </row>
    <row r="12160" s="1" customFormat="1" spans="1:3">
      <c r="A12160" s="6"/>
      <c r="B12160" s="6"/>
      <c r="C12160" s="6"/>
    </row>
    <row r="12161" s="1" customFormat="1" spans="1:3">
      <c r="A12161" s="6"/>
      <c r="B12161" s="6"/>
      <c r="C12161" s="6"/>
    </row>
    <row r="12162" s="1" customFormat="1" spans="1:3">
      <c r="A12162" s="6"/>
      <c r="B12162" s="6"/>
      <c r="C12162" s="6"/>
    </row>
    <row r="12163" s="1" customFormat="1" spans="1:3">
      <c r="A12163" s="6"/>
      <c r="B12163" s="6"/>
      <c r="C12163" s="6"/>
    </row>
    <row r="12164" s="1" customFormat="1" spans="1:3">
      <c r="A12164" s="6"/>
      <c r="B12164" s="6"/>
      <c r="C12164" s="6"/>
    </row>
    <row r="12165" s="1" customFormat="1" spans="1:3">
      <c r="A12165" s="6"/>
      <c r="B12165" s="6"/>
      <c r="C12165" s="6"/>
    </row>
    <row r="12166" s="1" customFormat="1" spans="1:3">
      <c r="A12166" s="6"/>
      <c r="B12166" s="6"/>
      <c r="C12166" s="6"/>
    </row>
    <row r="12167" s="1" customFormat="1" spans="1:3">
      <c r="A12167" s="6"/>
      <c r="B12167" s="6"/>
      <c r="C12167" s="6"/>
    </row>
    <row r="12168" s="1" customFormat="1" spans="1:3">
      <c r="A12168" s="6"/>
      <c r="B12168" s="6"/>
      <c r="C12168" s="6"/>
    </row>
    <row r="12169" s="1" customFormat="1" spans="1:3">
      <c r="A12169" s="6"/>
      <c r="B12169" s="6"/>
      <c r="C12169" s="6"/>
    </row>
    <row r="12170" s="1" customFormat="1" spans="1:3">
      <c r="A12170" s="6"/>
      <c r="B12170" s="6"/>
      <c r="C12170" s="6"/>
    </row>
    <row r="12171" s="1" customFormat="1" spans="1:3">
      <c r="A12171" s="6"/>
      <c r="B12171" s="6"/>
      <c r="C12171" s="6"/>
    </row>
    <row r="12172" s="1" customFormat="1" spans="1:3">
      <c r="A12172" s="6"/>
      <c r="B12172" s="6"/>
      <c r="C12172" s="6"/>
    </row>
    <row r="12173" s="1" customFormat="1" spans="1:3">
      <c r="A12173" s="6"/>
      <c r="B12173" s="6"/>
      <c r="C12173" s="6"/>
    </row>
    <row r="12174" s="1" customFormat="1" spans="1:3">
      <c r="A12174" s="6"/>
      <c r="B12174" s="6"/>
      <c r="C12174" s="6"/>
    </row>
    <row r="12175" s="1" customFormat="1" spans="1:3">
      <c r="A12175" s="6"/>
      <c r="B12175" s="6"/>
      <c r="C12175" s="6"/>
    </row>
    <row r="12176" s="1" customFormat="1" spans="1:3">
      <c r="A12176" s="6"/>
      <c r="B12176" s="6"/>
      <c r="C12176" s="6"/>
    </row>
    <row r="12177" s="1" customFormat="1" spans="1:3">
      <c r="A12177" s="6"/>
      <c r="B12177" s="6"/>
      <c r="C12177" s="6"/>
    </row>
    <row r="12178" s="1" customFormat="1" spans="1:3">
      <c r="A12178" s="6"/>
      <c r="B12178" s="6"/>
      <c r="C12178" s="6"/>
    </row>
    <row r="12179" s="1" customFormat="1" spans="1:3">
      <c r="A12179" s="6"/>
      <c r="B12179" s="6"/>
      <c r="C12179" s="6"/>
    </row>
    <row r="12180" s="1" customFormat="1" spans="1:3">
      <c r="A12180" s="6"/>
      <c r="B12180" s="6"/>
      <c r="C12180" s="6"/>
    </row>
    <row r="12181" s="1" customFormat="1" spans="1:3">
      <c r="A12181" s="6"/>
      <c r="B12181" s="6"/>
      <c r="C12181" s="6"/>
    </row>
    <row r="12182" s="1" customFormat="1" spans="1:3">
      <c r="A12182" s="6"/>
      <c r="B12182" s="6"/>
      <c r="C12182" s="6"/>
    </row>
    <row r="12183" s="1" customFormat="1" spans="1:3">
      <c r="A12183" s="6"/>
      <c r="B12183" s="6"/>
      <c r="C12183" s="6"/>
    </row>
    <row r="12184" s="1" customFormat="1" spans="1:3">
      <c r="A12184" s="6"/>
      <c r="B12184" s="6"/>
      <c r="C12184" s="6"/>
    </row>
    <row r="12185" s="1" customFormat="1" spans="1:3">
      <c r="A12185" s="6"/>
      <c r="B12185" s="6"/>
      <c r="C12185" s="6"/>
    </row>
    <row r="12186" s="1" customFormat="1" spans="1:3">
      <c r="A12186" s="6"/>
      <c r="B12186" s="6"/>
      <c r="C12186" s="6"/>
    </row>
    <row r="12187" s="1" customFormat="1" spans="1:3">
      <c r="A12187" s="6"/>
      <c r="B12187" s="6"/>
      <c r="C12187" s="6"/>
    </row>
    <row r="12188" s="1" customFormat="1" spans="1:3">
      <c r="A12188" s="6"/>
      <c r="B12188" s="6"/>
      <c r="C12188" s="6"/>
    </row>
    <row r="12189" s="1" customFormat="1" spans="1:3">
      <c r="A12189" s="6"/>
      <c r="B12189" s="6"/>
      <c r="C12189" s="6"/>
    </row>
    <row r="12190" s="1" customFormat="1" spans="1:3">
      <c r="A12190" s="6"/>
      <c r="B12190" s="6"/>
      <c r="C12190" s="6"/>
    </row>
    <row r="12191" s="1" customFormat="1" spans="1:3">
      <c r="A12191" s="6"/>
      <c r="B12191" s="6"/>
      <c r="C12191" s="6"/>
    </row>
    <row r="12192" s="1" customFormat="1" spans="1:3">
      <c r="A12192" s="6"/>
      <c r="B12192" s="6"/>
      <c r="C12192" s="6"/>
    </row>
    <row r="12193" s="1" customFormat="1" spans="1:3">
      <c r="A12193" s="6"/>
      <c r="B12193" s="6"/>
      <c r="C12193" s="6"/>
    </row>
    <row r="12194" s="1" customFormat="1" spans="1:3">
      <c r="A12194" s="6"/>
      <c r="B12194" s="6"/>
      <c r="C12194" s="6"/>
    </row>
    <row r="12195" s="1" customFormat="1" spans="1:3">
      <c r="A12195" s="6"/>
      <c r="B12195" s="6"/>
      <c r="C12195" s="6"/>
    </row>
    <row r="12196" s="1" customFormat="1" spans="1:3">
      <c r="A12196" s="6"/>
      <c r="B12196" s="6"/>
      <c r="C12196" s="6"/>
    </row>
    <row r="12197" s="1" customFormat="1" spans="1:3">
      <c r="A12197" s="6"/>
      <c r="B12197" s="6"/>
      <c r="C12197" s="6"/>
    </row>
    <row r="12198" s="1" customFormat="1" spans="1:3">
      <c r="A12198" s="6"/>
      <c r="B12198" s="6"/>
      <c r="C12198" s="6"/>
    </row>
    <row r="12199" s="1" customFormat="1" spans="1:3">
      <c r="A12199" s="6"/>
      <c r="B12199" s="6"/>
      <c r="C12199" s="6"/>
    </row>
    <row r="12200" s="1" customFormat="1" spans="1:3">
      <c r="A12200" s="6"/>
      <c r="B12200" s="6"/>
      <c r="C12200" s="6"/>
    </row>
    <row r="12201" s="1" customFormat="1" spans="1:3">
      <c r="A12201" s="6"/>
      <c r="B12201" s="6"/>
      <c r="C12201" s="6"/>
    </row>
    <row r="12202" s="1" customFormat="1" spans="1:3">
      <c r="A12202" s="6"/>
      <c r="B12202" s="6"/>
      <c r="C12202" s="6"/>
    </row>
    <row r="12203" s="1" customFormat="1" spans="1:3">
      <c r="A12203" s="6"/>
      <c r="B12203" s="6"/>
      <c r="C12203" s="6"/>
    </row>
    <row r="12204" s="1" customFormat="1" spans="1:3">
      <c r="A12204" s="6"/>
      <c r="B12204" s="6"/>
      <c r="C12204" s="6"/>
    </row>
    <row r="12205" s="1" customFormat="1" spans="1:3">
      <c r="A12205" s="6"/>
      <c r="B12205" s="6"/>
      <c r="C12205" s="6"/>
    </row>
    <row r="12206" s="1" customFormat="1" spans="1:3">
      <c r="A12206" s="6"/>
      <c r="B12206" s="6"/>
      <c r="C12206" s="6"/>
    </row>
    <row r="12207" s="1" customFormat="1" spans="1:3">
      <c r="A12207" s="6"/>
      <c r="B12207" s="6"/>
      <c r="C12207" s="6"/>
    </row>
    <row r="12208" s="1" customFormat="1" spans="1:3">
      <c r="A12208" s="6"/>
      <c r="B12208" s="6"/>
      <c r="C12208" s="6"/>
    </row>
    <row r="12209" s="1" customFormat="1" spans="1:3">
      <c r="A12209" s="6"/>
      <c r="B12209" s="6"/>
      <c r="C12209" s="6"/>
    </row>
    <row r="12210" s="1" customFormat="1" spans="1:3">
      <c r="A12210" s="6"/>
      <c r="B12210" s="6"/>
      <c r="C12210" s="6"/>
    </row>
    <row r="12211" s="1" customFormat="1" spans="1:3">
      <c r="A12211" s="6"/>
      <c r="B12211" s="6"/>
      <c r="C12211" s="6"/>
    </row>
    <row r="12212" s="1" customFormat="1" spans="1:3">
      <c r="A12212" s="6"/>
      <c r="B12212" s="6"/>
      <c r="C12212" s="6"/>
    </row>
    <row r="12213" s="1" customFormat="1" spans="1:3">
      <c r="A12213" s="6"/>
      <c r="B12213" s="6"/>
      <c r="C12213" s="6"/>
    </row>
    <row r="12214" s="1" customFormat="1" spans="1:3">
      <c r="A12214" s="6"/>
      <c r="B12214" s="6"/>
      <c r="C12214" s="6"/>
    </row>
    <row r="12215" s="1" customFormat="1" spans="1:3">
      <c r="A12215" s="6"/>
      <c r="B12215" s="6"/>
      <c r="C12215" s="6"/>
    </row>
    <row r="12216" s="1" customFormat="1" spans="1:3">
      <c r="A12216" s="6"/>
      <c r="B12216" s="6"/>
      <c r="C12216" s="6"/>
    </row>
    <row r="12217" s="1" customFormat="1" spans="1:3">
      <c r="A12217" s="6"/>
      <c r="B12217" s="6"/>
      <c r="C12217" s="6"/>
    </row>
    <row r="12218" s="1" customFormat="1" spans="1:3">
      <c r="A12218" s="6"/>
      <c r="B12218" s="6"/>
      <c r="C12218" s="6"/>
    </row>
    <row r="12219" s="1" customFormat="1" spans="1:3">
      <c r="A12219" s="6"/>
      <c r="B12219" s="6"/>
      <c r="C12219" s="6"/>
    </row>
    <row r="12220" s="1" customFormat="1" spans="1:3">
      <c r="A12220" s="6"/>
      <c r="B12220" s="6"/>
      <c r="C12220" s="6"/>
    </row>
    <row r="12221" s="1" customFormat="1" spans="1:3">
      <c r="A12221" s="6"/>
      <c r="B12221" s="6"/>
      <c r="C12221" s="6"/>
    </row>
    <row r="12222" s="1" customFormat="1" spans="1:3">
      <c r="A12222" s="6"/>
      <c r="B12222" s="6"/>
      <c r="C12222" s="6"/>
    </row>
    <row r="12223" s="1" customFormat="1" spans="1:3">
      <c r="A12223" s="6"/>
      <c r="B12223" s="6"/>
      <c r="C12223" s="6"/>
    </row>
    <row r="12224" s="1" customFormat="1" spans="1:3">
      <c r="A12224" s="6"/>
      <c r="B12224" s="6"/>
      <c r="C12224" s="6"/>
    </row>
    <row r="12225" s="1" customFormat="1" spans="1:3">
      <c r="A12225" s="6"/>
      <c r="B12225" s="6"/>
      <c r="C12225" s="6"/>
    </row>
    <row r="12226" s="1" customFormat="1" spans="1:3">
      <c r="A12226" s="6"/>
      <c r="B12226" s="6"/>
      <c r="C12226" s="6"/>
    </row>
    <row r="12227" s="1" customFormat="1" spans="1:3">
      <c r="A12227" s="6"/>
      <c r="B12227" s="6"/>
      <c r="C12227" s="6"/>
    </row>
    <row r="12228" s="1" customFormat="1" spans="1:3">
      <c r="A12228" s="6"/>
      <c r="B12228" s="6"/>
      <c r="C12228" s="6"/>
    </row>
    <row r="12229" s="1" customFormat="1" spans="1:3">
      <c r="A12229" s="6"/>
      <c r="B12229" s="6"/>
      <c r="C12229" s="6"/>
    </row>
    <row r="12230" s="1" customFormat="1" spans="1:3">
      <c r="A12230" s="6"/>
      <c r="B12230" s="6"/>
      <c r="C12230" s="6"/>
    </row>
    <row r="12231" s="1" customFormat="1" spans="1:3">
      <c r="A12231" s="6"/>
      <c r="B12231" s="6"/>
      <c r="C12231" s="6"/>
    </row>
    <row r="12232" s="1" customFormat="1" spans="1:3">
      <c r="A12232" s="6"/>
      <c r="B12232" s="6"/>
      <c r="C12232" s="6"/>
    </row>
    <row r="12233" s="1" customFormat="1" spans="1:3">
      <c r="A12233" s="6"/>
      <c r="B12233" s="6"/>
      <c r="C12233" s="6"/>
    </row>
    <row r="12234" s="1" customFormat="1" spans="1:3">
      <c r="A12234" s="6"/>
      <c r="B12234" s="6"/>
      <c r="C12234" s="6"/>
    </row>
    <row r="12235" s="1" customFormat="1" spans="1:3">
      <c r="A12235" s="6"/>
      <c r="B12235" s="6"/>
      <c r="C12235" s="6"/>
    </row>
    <row r="12236" s="1" customFormat="1" spans="1:3">
      <c r="A12236" s="6"/>
      <c r="B12236" s="6"/>
      <c r="C12236" s="6"/>
    </row>
    <row r="12237" s="1" customFormat="1" spans="1:3">
      <c r="A12237" s="6"/>
      <c r="B12237" s="6"/>
      <c r="C12237" s="6"/>
    </row>
    <row r="12238" s="1" customFormat="1" spans="1:3">
      <c r="A12238" s="6"/>
      <c r="B12238" s="6"/>
      <c r="C12238" s="6"/>
    </row>
    <row r="12239" s="1" customFormat="1" spans="1:3">
      <c r="A12239" s="6"/>
      <c r="B12239" s="6"/>
      <c r="C12239" s="6"/>
    </row>
    <row r="12240" s="1" customFormat="1" spans="1:3">
      <c r="A12240" s="6"/>
      <c r="B12240" s="6"/>
      <c r="C12240" s="6"/>
    </row>
    <row r="12241" s="1" customFormat="1" spans="1:3">
      <c r="A12241" s="6"/>
      <c r="B12241" s="6"/>
      <c r="C12241" s="6"/>
    </row>
    <row r="12242" s="1" customFormat="1" spans="1:3">
      <c r="A12242" s="6"/>
      <c r="B12242" s="6"/>
      <c r="C12242" s="6"/>
    </row>
    <row r="12243" s="1" customFormat="1" spans="1:3">
      <c r="A12243" s="6"/>
      <c r="B12243" s="6"/>
      <c r="C12243" s="6"/>
    </row>
    <row r="12244" s="1" customFormat="1" spans="1:3">
      <c r="A12244" s="6"/>
      <c r="B12244" s="6"/>
      <c r="C12244" s="6"/>
    </row>
    <row r="12245" s="1" customFormat="1" spans="1:3">
      <c r="A12245" s="6"/>
      <c r="B12245" s="6"/>
      <c r="C12245" s="6"/>
    </row>
    <row r="12246" s="1" customFormat="1" spans="1:3">
      <c r="A12246" s="6"/>
      <c r="B12246" s="6"/>
      <c r="C12246" s="6"/>
    </row>
    <row r="12247" s="1" customFormat="1" spans="1:3">
      <c r="A12247" s="6"/>
      <c r="B12247" s="6"/>
      <c r="C12247" s="6"/>
    </row>
    <row r="12248" s="1" customFormat="1" spans="1:3">
      <c r="A12248" s="6"/>
      <c r="B12248" s="6"/>
      <c r="C12248" s="6"/>
    </row>
    <row r="12249" s="1" customFormat="1" spans="1:3">
      <c r="A12249" s="6"/>
      <c r="B12249" s="6"/>
      <c r="C12249" s="6"/>
    </row>
    <row r="12250" s="1" customFormat="1" spans="1:3">
      <c r="A12250" s="6"/>
      <c r="B12250" s="6"/>
      <c r="C12250" s="6"/>
    </row>
    <row r="12251" s="1" customFormat="1" spans="1:3">
      <c r="A12251" s="6"/>
      <c r="B12251" s="6"/>
      <c r="C12251" s="6"/>
    </row>
    <row r="12252" s="1" customFormat="1" spans="1:3">
      <c r="A12252" s="6"/>
      <c r="B12252" s="6"/>
      <c r="C12252" s="6"/>
    </row>
    <row r="12253" s="1" customFormat="1" spans="1:3">
      <c r="A12253" s="6"/>
      <c r="B12253" s="6"/>
      <c r="C12253" s="6"/>
    </row>
    <row r="12254" s="1" customFormat="1" spans="1:3">
      <c r="A12254" s="6"/>
      <c r="B12254" s="6"/>
      <c r="C12254" s="6"/>
    </row>
    <row r="12255" s="1" customFormat="1" spans="1:3">
      <c r="A12255" s="6"/>
      <c r="B12255" s="6"/>
      <c r="C12255" s="6"/>
    </row>
    <row r="12256" s="1" customFormat="1" spans="1:3">
      <c r="A12256" s="6"/>
      <c r="B12256" s="6"/>
      <c r="C12256" s="6"/>
    </row>
    <row r="12257" s="1" customFormat="1" spans="1:3">
      <c r="A12257" s="6"/>
      <c r="B12257" s="6"/>
      <c r="C12257" s="6"/>
    </row>
    <row r="12258" s="1" customFormat="1" spans="1:3">
      <c r="A12258" s="6"/>
      <c r="B12258" s="6"/>
      <c r="C12258" s="6"/>
    </row>
    <row r="12259" s="1" customFormat="1" spans="1:3">
      <c r="A12259" s="6"/>
      <c r="B12259" s="6"/>
      <c r="C12259" s="6"/>
    </row>
    <row r="12260" s="1" customFormat="1" spans="1:3">
      <c r="A12260" s="6"/>
      <c r="B12260" s="6"/>
      <c r="C12260" s="6"/>
    </row>
    <row r="12261" s="1" customFormat="1" spans="1:3">
      <c r="A12261" s="6"/>
      <c r="B12261" s="6"/>
      <c r="C12261" s="6"/>
    </row>
    <row r="12262" s="1" customFormat="1" spans="1:3">
      <c r="A12262" s="6"/>
      <c r="B12262" s="6"/>
      <c r="C12262" s="6"/>
    </row>
    <row r="12263" s="1" customFormat="1" spans="1:3">
      <c r="A12263" s="6"/>
      <c r="B12263" s="6"/>
      <c r="C12263" s="6"/>
    </row>
    <row r="12264" s="1" customFormat="1" spans="1:3">
      <c r="A12264" s="6"/>
      <c r="B12264" s="6"/>
      <c r="C12264" s="6"/>
    </row>
    <row r="12265" s="1" customFormat="1" spans="1:3">
      <c r="A12265" s="6"/>
      <c r="B12265" s="6"/>
      <c r="C12265" s="6"/>
    </row>
    <row r="12266" s="1" customFormat="1" spans="1:3">
      <c r="A12266" s="6"/>
      <c r="B12266" s="6"/>
      <c r="C12266" s="6"/>
    </row>
    <row r="12267" s="1" customFormat="1" spans="1:3">
      <c r="A12267" s="6"/>
      <c r="B12267" s="6"/>
      <c r="C12267" s="6"/>
    </row>
    <row r="12268" s="1" customFormat="1" spans="1:3">
      <c r="A12268" s="6"/>
      <c r="B12268" s="6"/>
      <c r="C12268" s="6"/>
    </row>
    <row r="12269" s="1" customFormat="1" spans="1:3">
      <c r="A12269" s="6"/>
      <c r="B12269" s="6"/>
      <c r="C12269" s="6"/>
    </row>
    <row r="12270" s="1" customFormat="1" spans="1:3">
      <c r="A12270" s="6"/>
      <c r="B12270" s="6"/>
      <c r="C12270" s="6"/>
    </row>
    <row r="12271" s="1" customFormat="1" spans="1:3">
      <c r="A12271" s="6"/>
      <c r="B12271" s="6"/>
      <c r="C12271" s="6"/>
    </row>
    <row r="12272" s="1" customFormat="1" spans="1:3">
      <c r="A12272" s="6"/>
      <c r="B12272" s="6"/>
      <c r="C12272" s="6"/>
    </row>
    <row r="12273" s="1" customFormat="1" spans="1:3">
      <c r="A12273" s="6"/>
      <c r="B12273" s="6"/>
      <c r="C12273" s="6"/>
    </row>
    <row r="12274" s="1" customFormat="1" spans="1:3">
      <c r="A12274" s="6"/>
      <c r="B12274" s="6"/>
      <c r="C12274" s="6"/>
    </row>
    <row r="12275" s="1" customFormat="1" spans="1:3">
      <c r="A12275" s="6"/>
      <c r="B12275" s="6"/>
      <c r="C12275" s="6"/>
    </row>
    <row r="12276" s="1" customFormat="1" spans="1:3">
      <c r="A12276" s="6"/>
      <c r="B12276" s="6"/>
      <c r="C12276" s="6"/>
    </row>
    <row r="12277" s="1" customFormat="1" spans="1:3">
      <c r="A12277" s="6"/>
      <c r="B12277" s="6"/>
      <c r="C12277" s="6"/>
    </row>
    <row r="12278" s="1" customFormat="1" spans="1:3">
      <c r="A12278" s="6"/>
      <c r="B12278" s="6"/>
      <c r="C12278" s="6"/>
    </row>
    <row r="12279" s="1" customFormat="1" spans="1:3">
      <c r="A12279" s="6"/>
      <c r="B12279" s="6"/>
      <c r="C12279" s="6"/>
    </row>
    <row r="12280" s="1" customFormat="1" spans="1:3">
      <c r="A12280" s="6"/>
      <c r="B12280" s="6"/>
      <c r="C12280" s="6"/>
    </row>
    <row r="12281" s="1" customFormat="1" spans="1:3">
      <c r="A12281" s="6"/>
      <c r="B12281" s="6"/>
      <c r="C12281" s="6"/>
    </row>
    <row r="12282" s="1" customFormat="1" spans="1:3">
      <c r="A12282" s="6"/>
      <c r="B12282" s="6"/>
      <c r="C12282" s="6"/>
    </row>
    <row r="12283" s="1" customFormat="1" spans="1:3">
      <c r="A12283" s="6"/>
      <c r="B12283" s="6"/>
      <c r="C12283" s="6"/>
    </row>
    <row r="12284" s="1" customFormat="1" spans="1:3">
      <c r="A12284" s="6"/>
      <c r="B12284" s="6"/>
      <c r="C12284" s="6"/>
    </row>
    <row r="12285" s="1" customFormat="1" spans="1:3">
      <c r="A12285" s="6"/>
      <c r="B12285" s="6"/>
      <c r="C12285" s="6"/>
    </row>
    <row r="12286" s="1" customFormat="1" spans="1:3">
      <c r="A12286" s="6"/>
      <c r="B12286" s="6"/>
      <c r="C12286" s="6"/>
    </row>
    <row r="12287" s="1" customFormat="1" spans="1:3">
      <c r="A12287" s="6"/>
      <c r="B12287" s="6"/>
      <c r="C12287" s="6"/>
    </row>
    <row r="12288" s="1" customFormat="1" spans="1:3">
      <c r="A12288" s="6"/>
      <c r="B12288" s="6"/>
      <c r="C12288" s="6"/>
    </row>
    <row r="12289" s="1" customFormat="1" spans="1:3">
      <c r="A12289" s="6"/>
      <c r="B12289" s="6"/>
      <c r="C12289" s="6"/>
    </row>
    <row r="12290" s="1" customFormat="1" spans="1:3">
      <c r="A12290" s="6"/>
      <c r="B12290" s="6"/>
      <c r="C12290" s="6"/>
    </row>
    <row r="12291" s="1" customFormat="1" spans="1:3">
      <c r="A12291" s="6"/>
      <c r="B12291" s="6"/>
      <c r="C12291" s="6"/>
    </row>
    <row r="12292" s="1" customFormat="1" spans="1:3">
      <c r="A12292" s="6"/>
      <c r="B12292" s="6"/>
      <c r="C12292" s="6"/>
    </row>
    <row r="12293" s="1" customFormat="1" spans="1:3">
      <c r="A12293" s="6"/>
      <c r="B12293" s="6"/>
      <c r="C12293" s="6"/>
    </row>
    <row r="12294" s="1" customFormat="1" spans="1:3">
      <c r="A12294" s="6"/>
      <c r="B12294" s="6"/>
      <c r="C12294" s="6"/>
    </row>
    <row r="12295" s="1" customFormat="1" spans="1:3">
      <c r="A12295" s="6"/>
      <c r="B12295" s="6"/>
      <c r="C12295" s="6"/>
    </row>
    <row r="12296" s="1" customFormat="1" spans="1:3">
      <c r="A12296" s="6"/>
      <c r="B12296" s="6"/>
      <c r="C12296" s="6"/>
    </row>
    <row r="12297" s="1" customFormat="1" spans="1:3">
      <c r="A12297" s="6"/>
      <c r="B12297" s="6"/>
      <c r="C12297" s="6"/>
    </row>
    <row r="12298" s="1" customFormat="1" spans="1:3">
      <c r="A12298" s="6"/>
      <c r="B12298" s="6"/>
      <c r="C12298" s="6"/>
    </row>
    <row r="12299" s="1" customFormat="1" spans="1:3">
      <c r="A12299" s="6"/>
      <c r="B12299" s="6"/>
      <c r="C12299" s="6"/>
    </row>
    <row r="12300" s="1" customFormat="1" spans="1:3">
      <c r="A12300" s="6"/>
      <c r="B12300" s="6"/>
      <c r="C12300" s="6"/>
    </row>
    <row r="12301" s="1" customFormat="1" spans="1:3">
      <c r="A12301" s="6"/>
      <c r="B12301" s="6"/>
      <c r="C12301" s="6"/>
    </row>
    <row r="12302" s="1" customFormat="1" spans="1:3">
      <c r="A12302" s="6"/>
      <c r="B12302" s="6"/>
      <c r="C12302" s="6"/>
    </row>
    <row r="12303" s="1" customFormat="1" spans="1:3">
      <c r="A12303" s="6"/>
      <c r="B12303" s="6"/>
      <c r="C12303" s="6"/>
    </row>
    <row r="12304" s="1" customFormat="1" spans="1:3">
      <c r="A12304" s="6"/>
      <c r="B12304" s="6"/>
      <c r="C12304" s="6"/>
    </row>
    <row r="12305" s="1" customFormat="1" spans="1:3">
      <c r="A12305" s="6"/>
      <c r="B12305" s="6"/>
      <c r="C12305" s="6"/>
    </row>
    <row r="12306" s="1" customFormat="1" spans="1:3">
      <c r="A12306" s="6"/>
      <c r="B12306" s="6"/>
      <c r="C12306" s="6"/>
    </row>
    <row r="12307" s="1" customFormat="1" spans="1:3">
      <c r="A12307" s="6"/>
      <c r="B12307" s="6"/>
      <c r="C12307" s="6"/>
    </row>
    <row r="12308" s="1" customFormat="1" spans="1:3">
      <c r="A12308" s="6"/>
      <c r="B12308" s="6"/>
      <c r="C12308" s="6"/>
    </row>
    <row r="12309" s="1" customFormat="1" spans="1:3">
      <c r="A12309" s="6"/>
      <c r="B12309" s="6"/>
      <c r="C12309" s="6"/>
    </row>
    <row r="12310" s="1" customFormat="1" spans="1:3">
      <c r="A12310" s="6"/>
      <c r="B12310" s="6"/>
      <c r="C12310" s="6"/>
    </row>
    <row r="12311" s="1" customFormat="1" spans="1:3">
      <c r="A12311" s="6"/>
      <c r="B12311" s="6"/>
      <c r="C12311" s="6"/>
    </row>
    <row r="12312" s="1" customFormat="1" spans="1:3">
      <c r="A12312" s="6"/>
      <c r="B12312" s="6"/>
      <c r="C12312" s="6"/>
    </row>
    <row r="12313" s="1" customFormat="1" spans="1:3">
      <c r="A12313" s="6"/>
      <c r="B12313" s="6"/>
      <c r="C12313" s="6"/>
    </row>
    <row r="12314" s="1" customFormat="1" spans="1:3">
      <c r="A12314" s="6"/>
      <c r="B12314" s="6"/>
      <c r="C12314" s="6"/>
    </row>
    <row r="12315" s="1" customFormat="1" spans="1:3">
      <c r="A12315" s="6"/>
      <c r="B12315" s="6"/>
      <c r="C12315" s="6"/>
    </row>
    <row r="12316" s="1" customFormat="1" spans="1:3">
      <c r="A12316" s="6"/>
      <c r="B12316" s="6"/>
      <c r="C12316" s="6"/>
    </row>
    <row r="12317" s="1" customFormat="1" spans="1:3">
      <c r="A12317" s="6"/>
      <c r="B12317" s="6"/>
      <c r="C12317" s="6"/>
    </row>
    <row r="12318" s="1" customFormat="1" spans="1:3">
      <c r="A12318" s="6"/>
      <c r="B12318" s="6"/>
      <c r="C12318" s="6"/>
    </row>
    <row r="12319" s="1" customFormat="1" spans="1:3">
      <c r="A12319" s="6"/>
      <c r="B12319" s="6"/>
      <c r="C12319" s="6"/>
    </row>
    <row r="12320" s="1" customFormat="1" spans="1:3">
      <c r="A12320" s="6"/>
      <c r="B12320" s="6"/>
      <c r="C12320" s="6"/>
    </row>
    <row r="12321" s="1" customFormat="1" spans="1:3">
      <c r="A12321" s="6"/>
      <c r="B12321" s="6"/>
      <c r="C12321" s="6"/>
    </row>
    <row r="12322" s="1" customFormat="1" spans="1:3">
      <c r="A12322" s="6"/>
      <c r="B12322" s="6"/>
      <c r="C12322" s="6"/>
    </row>
    <row r="12323" s="1" customFormat="1" spans="1:3">
      <c r="A12323" s="6"/>
      <c r="B12323" s="6"/>
      <c r="C12323" s="6"/>
    </row>
    <row r="12324" s="1" customFormat="1" spans="1:3">
      <c r="A12324" s="6"/>
      <c r="B12324" s="6"/>
      <c r="C12324" s="6"/>
    </row>
    <row r="12325" s="1" customFormat="1" spans="1:3">
      <c r="A12325" s="6"/>
      <c r="B12325" s="6"/>
      <c r="C12325" s="6"/>
    </row>
    <row r="12326" s="1" customFormat="1" spans="1:3">
      <c r="A12326" s="6"/>
      <c r="B12326" s="6"/>
      <c r="C12326" s="6"/>
    </row>
    <row r="12327" s="1" customFormat="1" spans="1:3">
      <c r="A12327" s="6"/>
      <c r="B12327" s="6"/>
      <c r="C12327" s="6"/>
    </row>
    <row r="12328" s="1" customFormat="1" spans="1:3">
      <c r="A12328" s="6"/>
      <c r="B12328" s="6"/>
      <c r="C12328" s="6"/>
    </row>
    <row r="12329" s="1" customFormat="1" spans="1:3">
      <c r="A12329" s="6"/>
      <c r="B12329" s="6"/>
      <c r="C12329" s="6"/>
    </row>
    <row r="12330" s="1" customFormat="1" spans="1:3">
      <c r="A12330" s="6"/>
      <c r="B12330" s="6"/>
      <c r="C12330" s="6"/>
    </row>
    <row r="12331" s="1" customFormat="1" spans="1:3">
      <c r="A12331" s="6"/>
      <c r="B12331" s="6"/>
      <c r="C12331" s="6"/>
    </row>
    <row r="12332" s="1" customFormat="1" spans="1:3">
      <c r="A12332" s="6"/>
      <c r="B12332" s="6"/>
      <c r="C12332" s="6"/>
    </row>
    <row r="12333" s="1" customFormat="1" spans="1:3">
      <c r="A12333" s="6"/>
      <c r="B12333" s="6"/>
      <c r="C12333" s="6"/>
    </row>
    <row r="12334" s="1" customFormat="1" spans="1:3">
      <c r="A12334" s="6"/>
      <c r="B12334" s="6"/>
      <c r="C12334" s="6"/>
    </row>
    <row r="12335" s="1" customFormat="1" spans="1:3">
      <c r="A12335" s="6"/>
      <c r="B12335" s="6"/>
      <c r="C12335" s="6"/>
    </row>
    <row r="12336" s="1" customFormat="1" spans="1:3">
      <c r="A12336" s="6"/>
      <c r="B12336" s="6"/>
      <c r="C12336" s="6"/>
    </row>
    <row r="12337" s="1" customFormat="1" spans="1:3">
      <c r="A12337" s="6"/>
      <c r="B12337" s="6"/>
      <c r="C12337" s="6"/>
    </row>
    <row r="12338" s="1" customFormat="1" spans="1:3">
      <c r="A12338" s="6"/>
      <c r="B12338" s="6"/>
      <c r="C12338" s="6"/>
    </row>
    <row r="12339" s="1" customFormat="1" spans="1:3">
      <c r="A12339" s="6"/>
      <c r="B12339" s="6"/>
      <c r="C12339" s="6"/>
    </row>
    <row r="12340" s="1" customFormat="1" spans="1:3">
      <c r="A12340" s="6"/>
      <c r="B12340" s="6"/>
      <c r="C12340" s="6"/>
    </row>
    <row r="12341" s="1" customFormat="1" spans="1:3">
      <c r="A12341" s="6"/>
      <c r="B12341" s="6"/>
      <c r="C12341" s="6"/>
    </row>
    <row r="12342" s="1" customFormat="1" spans="1:3">
      <c r="A12342" s="6"/>
      <c r="B12342" s="6"/>
      <c r="C12342" s="6"/>
    </row>
    <row r="12343" s="1" customFormat="1" spans="1:3">
      <c r="A12343" s="6"/>
      <c r="B12343" s="6"/>
      <c r="C12343" s="6"/>
    </row>
    <row r="12344" s="1" customFormat="1" spans="1:3">
      <c r="A12344" s="6"/>
      <c r="B12344" s="6"/>
      <c r="C12344" s="6"/>
    </row>
    <row r="12345" s="1" customFormat="1" spans="1:3">
      <c r="A12345" s="6"/>
      <c r="B12345" s="6"/>
      <c r="C12345" s="6"/>
    </row>
    <row r="12346" s="1" customFormat="1" spans="1:3">
      <c r="A12346" s="6"/>
      <c r="B12346" s="6"/>
      <c r="C12346" s="6"/>
    </row>
    <row r="12347" s="1" customFormat="1" spans="1:3">
      <c r="A12347" s="6"/>
      <c r="B12347" s="6"/>
      <c r="C12347" s="6"/>
    </row>
    <row r="12348" s="1" customFormat="1" spans="1:3">
      <c r="A12348" s="6"/>
      <c r="B12348" s="6"/>
      <c r="C12348" s="6"/>
    </row>
    <row r="12349" s="1" customFormat="1" spans="1:3">
      <c r="A12349" s="6"/>
      <c r="B12349" s="6"/>
      <c r="C12349" s="6"/>
    </row>
    <row r="12350" s="1" customFormat="1" spans="1:3">
      <c r="A12350" s="6"/>
      <c r="B12350" s="6"/>
      <c r="C12350" s="6"/>
    </row>
    <row r="12351" s="1" customFormat="1" spans="1:3">
      <c r="A12351" s="6"/>
      <c r="B12351" s="6"/>
      <c r="C12351" s="6"/>
    </row>
    <row r="12352" s="1" customFormat="1" spans="1:3">
      <c r="A12352" s="6"/>
      <c r="B12352" s="6"/>
      <c r="C12352" s="6"/>
    </row>
    <row r="12353" s="1" customFormat="1" spans="1:3">
      <c r="A12353" s="6"/>
      <c r="B12353" s="6"/>
      <c r="C12353" s="6"/>
    </row>
    <row r="12354" s="1" customFormat="1" spans="1:3">
      <c r="A12354" s="6"/>
      <c r="B12354" s="6"/>
      <c r="C12354" s="6"/>
    </row>
    <row r="12355" s="1" customFormat="1" spans="1:3">
      <c r="A12355" s="6"/>
      <c r="B12355" s="6"/>
      <c r="C12355" s="6"/>
    </row>
    <row r="12356" s="1" customFormat="1" spans="1:3">
      <c r="A12356" s="6"/>
      <c r="B12356" s="6"/>
      <c r="C12356" s="6"/>
    </row>
    <row r="12357" s="1" customFormat="1" spans="1:3">
      <c r="A12357" s="6"/>
      <c r="B12357" s="6"/>
      <c r="C12357" s="6"/>
    </row>
    <row r="12358" s="1" customFormat="1" spans="1:3">
      <c r="A12358" s="6"/>
      <c r="B12358" s="6"/>
      <c r="C12358" s="6"/>
    </row>
    <row r="12359" s="1" customFormat="1" spans="1:3">
      <c r="A12359" s="6"/>
      <c r="B12359" s="6"/>
      <c r="C12359" s="6"/>
    </row>
    <row r="12360" s="1" customFormat="1" spans="1:3">
      <c r="A12360" s="6"/>
      <c r="B12360" s="6"/>
      <c r="C12360" s="6"/>
    </row>
    <row r="12361" s="1" customFormat="1" spans="1:3">
      <c r="A12361" s="6"/>
      <c r="B12361" s="6"/>
      <c r="C12361" s="6"/>
    </row>
    <row r="12362" s="1" customFormat="1" spans="1:3">
      <c r="A12362" s="6"/>
      <c r="B12362" s="6"/>
      <c r="C12362" s="6"/>
    </row>
    <row r="12363" s="1" customFormat="1" spans="1:3">
      <c r="A12363" s="6"/>
      <c r="B12363" s="6"/>
      <c r="C12363" s="6"/>
    </row>
    <row r="12364" s="1" customFormat="1" spans="1:3">
      <c r="A12364" s="6"/>
      <c r="B12364" s="6"/>
      <c r="C12364" s="6"/>
    </row>
    <row r="12365" s="1" customFormat="1" spans="1:3">
      <c r="A12365" s="6"/>
      <c r="B12365" s="6"/>
      <c r="C12365" s="6"/>
    </row>
    <row r="12366" s="1" customFormat="1" spans="1:3">
      <c r="A12366" s="6"/>
      <c r="B12366" s="6"/>
      <c r="C12366" s="6"/>
    </row>
    <row r="12367" s="1" customFormat="1" spans="1:3">
      <c r="A12367" s="6"/>
      <c r="B12367" s="6"/>
      <c r="C12367" s="6"/>
    </row>
    <row r="12368" s="1" customFormat="1" spans="1:3">
      <c r="A12368" s="6"/>
      <c r="B12368" s="6"/>
      <c r="C12368" s="6"/>
    </row>
    <row r="12369" s="1" customFormat="1" spans="1:3">
      <c r="A12369" s="6"/>
      <c r="B12369" s="6"/>
      <c r="C12369" s="6"/>
    </row>
    <row r="12370" s="1" customFormat="1" spans="1:3">
      <c r="A12370" s="6"/>
      <c r="B12370" s="6"/>
      <c r="C12370" s="6"/>
    </row>
    <row r="12371" s="1" customFormat="1" spans="1:3">
      <c r="A12371" s="6"/>
      <c r="B12371" s="6"/>
      <c r="C12371" s="6"/>
    </row>
    <row r="12372" s="1" customFormat="1" spans="1:3">
      <c r="A12372" s="6"/>
      <c r="B12372" s="6"/>
      <c r="C12372" s="6"/>
    </row>
    <row r="12373" s="1" customFormat="1" spans="1:3">
      <c r="A12373" s="6"/>
      <c r="B12373" s="6"/>
      <c r="C12373" s="6"/>
    </row>
    <row r="12374" s="1" customFormat="1" spans="1:3">
      <c r="A12374" s="6"/>
      <c r="B12374" s="6"/>
      <c r="C12374" s="6"/>
    </row>
    <row r="12375" s="1" customFormat="1" spans="1:3">
      <c r="A12375" s="6"/>
      <c r="B12375" s="6"/>
      <c r="C12375" s="6"/>
    </row>
    <row r="12376" s="1" customFormat="1" spans="1:3">
      <c r="A12376" s="6"/>
      <c r="B12376" s="6"/>
      <c r="C12376" s="6"/>
    </row>
    <row r="12377" s="1" customFormat="1" spans="1:3">
      <c r="A12377" s="6"/>
      <c r="B12377" s="6"/>
      <c r="C12377" s="6"/>
    </row>
    <row r="12378" s="1" customFormat="1" spans="1:3">
      <c r="A12378" s="6"/>
      <c r="B12378" s="6"/>
      <c r="C12378" s="6"/>
    </row>
    <row r="12379" s="1" customFormat="1" spans="1:3">
      <c r="A12379" s="6"/>
      <c r="B12379" s="6"/>
      <c r="C12379" s="6"/>
    </row>
    <row r="12380" s="1" customFormat="1" spans="1:3">
      <c r="A12380" s="6"/>
      <c r="B12380" s="6"/>
      <c r="C12380" s="6"/>
    </row>
    <row r="12381" s="1" customFormat="1" spans="1:3">
      <c r="A12381" s="6"/>
      <c r="B12381" s="6"/>
      <c r="C12381" s="6"/>
    </row>
    <row r="12382" s="1" customFormat="1" spans="1:3">
      <c r="A12382" s="6"/>
      <c r="B12382" s="6"/>
      <c r="C12382" s="6"/>
    </row>
    <row r="12383" s="1" customFormat="1" spans="1:3">
      <c r="A12383" s="6"/>
      <c r="B12383" s="6"/>
      <c r="C12383" s="6"/>
    </row>
    <row r="12384" s="1" customFormat="1" spans="1:3">
      <c r="A12384" s="6"/>
      <c r="B12384" s="6"/>
      <c r="C12384" s="6"/>
    </row>
    <row r="12385" s="1" customFormat="1" spans="1:3">
      <c r="A12385" s="6"/>
      <c r="B12385" s="6"/>
      <c r="C12385" s="6"/>
    </row>
    <row r="12386" s="1" customFormat="1" spans="1:3">
      <c r="A12386" s="6"/>
      <c r="B12386" s="6"/>
      <c r="C12386" s="6"/>
    </row>
    <row r="12387" s="1" customFormat="1" spans="1:3">
      <c r="A12387" s="6"/>
      <c r="B12387" s="6"/>
      <c r="C12387" s="6"/>
    </row>
    <row r="12388" s="1" customFormat="1" spans="1:3">
      <c r="A12388" s="6"/>
      <c r="B12388" s="6"/>
      <c r="C12388" s="6"/>
    </row>
    <row r="12389" s="1" customFormat="1" spans="1:3">
      <c r="A12389" s="6"/>
      <c r="B12389" s="6"/>
      <c r="C12389" s="6"/>
    </row>
    <row r="12390" s="1" customFormat="1" spans="1:3">
      <c r="A12390" s="6"/>
      <c r="B12390" s="6"/>
      <c r="C12390" s="6"/>
    </row>
    <row r="12391" s="1" customFormat="1" spans="1:3">
      <c r="A12391" s="6"/>
      <c r="B12391" s="6"/>
      <c r="C12391" s="6"/>
    </row>
    <row r="12392" s="1" customFormat="1" spans="1:3">
      <c r="A12392" s="6"/>
      <c r="B12392" s="6"/>
      <c r="C12392" s="6"/>
    </row>
    <row r="12393" s="1" customFormat="1" spans="1:3">
      <c r="A12393" s="6"/>
      <c r="B12393" s="6"/>
      <c r="C12393" s="6"/>
    </row>
    <row r="12394" s="1" customFormat="1" spans="1:3">
      <c r="A12394" s="6"/>
      <c r="B12394" s="6"/>
      <c r="C12394" s="6"/>
    </row>
    <row r="12395" s="1" customFormat="1" spans="1:3">
      <c r="A12395" s="6"/>
      <c r="B12395" s="6"/>
      <c r="C12395" s="6"/>
    </row>
    <row r="12396" s="1" customFormat="1" spans="1:3">
      <c r="A12396" s="6"/>
      <c r="B12396" s="6"/>
      <c r="C12396" s="6"/>
    </row>
    <row r="12397" s="1" customFormat="1" spans="1:3">
      <c r="A12397" s="6"/>
      <c r="B12397" s="6"/>
      <c r="C12397" s="6"/>
    </row>
    <row r="12398" s="1" customFormat="1" spans="1:3">
      <c r="A12398" s="6"/>
      <c r="B12398" s="6"/>
      <c r="C12398" s="6"/>
    </row>
    <row r="12399" s="1" customFormat="1" spans="1:3">
      <c r="A12399" s="6"/>
      <c r="B12399" s="6"/>
      <c r="C12399" s="6"/>
    </row>
    <row r="12400" s="1" customFormat="1" spans="1:3">
      <c r="A12400" s="6"/>
      <c r="B12400" s="6"/>
      <c r="C12400" s="6"/>
    </row>
    <row r="12401" s="1" customFormat="1" spans="1:3">
      <c r="A12401" s="6"/>
      <c r="B12401" s="6"/>
      <c r="C12401" s="6"/>
    </row>
    <row r="12402" s="1" customFormat="1" spans="1:3">
      <c r="A12402" s="6"/>
      <c r="B12402" s="6"/>
      <c r="C12402" s="6"/>
    </row>
    <row r="12403" s="1" customFormat="1" spans="1:3">
      <c r="A12403" s="6"/>
      <c r="B12403" s="6"/>
      <c r="C12403" s="6"/>
    </row>
    <row r="12404" s="1" customFormat="1" spans="1:3">
      <c r="A12404" s="6"/>
      <c r="B12404" s="6"/>
      <c r="C12404" s="6"/>
    </row>
    <row r="12405" s="1" customFormat="1" spans="1:3">
      <c r="A12405" s="6"/>
      <c r="B12405" s="6"/>
      <c r="C12405" s="6"/>
    </row>
    <row r="12406" s="1" customFormat="1" spans="1:3">
      <c r="A12406" s="6"/>
      <c r="B12406" s="6"/>
      <c r="C12406" s="6"/>
    </row>
    <row r="12407" s="1" customFormat="1" spans="1:3">
      <c r="A12407" s="6"/>
      <c r="B12407" s="6"/>
      <c r="C12407" s="6"/>
    </row>
    <row r="12408" s="1" customFormat="1" spans="1:3">
      <c r="A12408" s="6"/>
      <c r="B12408" s="6"/>
      <c r="C12408" s="6"/>
    </row>
    <row r="12409" s="1" customFormat="1" spans="1:3">
      <c r="A12409" s="6"/>
      <c r="B12409" s="6"/>
      <c r="C12409" s="6"/>
    </row>
    <row r="12410" s="1" customFormat="1" spans="1:3">
      <c r="A12410" s="6"/>
      <c r="B12410" s="6"/>
      <c r="C12410" s="6"/>
    </row>
    <row r="12411" s="1" customFormat="1" spans="1:3">
      <c r="A12411" s="6"/>
      <c r="B12411" s="6"/>
      <c r="C12411" s="6"/>
    </row>
    <row r="12412" s="1" customFormat="1" spans="1:3">
      <c r="A12412" s="6"/>
      <c r="B12412" s="6"/>
      <c r="C12412" s="6"/>
    </row>
    <row r="12413" s="1" customFormat="1" spans="1:3">
      <c r="A12413" s="6"/>
      <c r="B12413" s="6"/>
      <c r="C12413" s="6"/>
    </row>
    <row r="12414" s="1" customFormat="1" spans="1:3">
      <c r="A12414" s="6"/>
      <c r="B12414" s="6"/>
      <c r="C12414" s="6"/>
    </row>
    <row r="12415" s="1" customFormat="1" spans="1:3">
      <c r="A12415" s="6"/>
      <c r="B12415" s="6"/>
      <c r="C12415" s="6"/>
    </row>
    <row r="12416" s="1" customFormat="1" spans="1:3">
      <c r="A12416" s="6"/>
      <c r="B12416" s="6"/>
      <c r="C12416" s="6"/>
    </row>
    <row r="12417" s="1" customFormat="1" spans="1:3">
      <c r="A12417" s="6"/>
      <c r="B12417" s="6"/>
      <c r="C12417" s="6"/>
    </row>
    <row r="12418" s="1" customFormat="1" spans="1:3">
      <c r="A12418" s="6"/>
      <c r="B12418" s="6"/>
      <c r="C12418" s="6"/>
    </row>
    <row r="12419" s="1" customFormat="1" spans="1:3">
      <c r="A12419" s="6"/>
      <c r="B12419" s="6"/>
      <c r="C12419" s="6"/>
    </row>
    <row r="12420" s="1" customFormat="1" spans="1:3">
      <c r="A12420" s="6"/>
      <c r="B12420" s="6"/>
      <c r="C12420" s="6"/>
    </row>
    <row r="12421" s="1" customFormat="1" spans="1:3">
      <c r="A12421" s="6"/>
      <c r="B12421" s="6"/>
      <c r="C12421" s="6"/>
    </row>
    <row r="12422" s="1" customFormat="1" spans="1:3">
      <c r="A12422" s="6"/>
      <c r="B12422" s="6"/>
      <c r="C12422" s="6"/>
    </row>
    <row r="12423" s="1" customFormat="1" spans="1:3">
      <c r="A12423" s="6"/>
      <c r="B12423" s="6"/>
      <c r="C12423" s="6"/>
    </row>
    <row r="12424" s="1" customFormat="1" spans="1:3">
      <c r="A12424" s="6"/>
      <c r="B12424" s="6"/>
      <c r="C12424" s="6"/>
    </row>
    <row r="12425" s="1" customFormat="1" spans="1:3">
      <c r="A12425" s="6"/>
      <c r="B12425" s="6"/>
      <c r="C12425" s="6"/>
    </row>
    <row r="12426" s="1" customFormat="1" spans="1:3">
      <c r="A12426" s="6"/>
      <c r="B12426" s="6"/>
      <c r="C12426" s="6"/>
    </row>
    <row r="12427" s="1" customFormat="1" spans="1:3">
      <c r="A12427" s="6"/>
      <c r="B12427" s="6"/>
      <c r="C12427" s="6"/>
    </row>
    <row r="12428" s="1" customFormat="1" spans="1:3">
      <c r="A12428" s="6"/>
      <c r="B12428" s="6"/>
      <c r="C12428" s="6"/>
    </row>
    <row r="12429" s="1" customFormat="1" spans="1:3">
      <c r="A12429" s="6"/>
      <c r="B12429" s="6"/>
      <c r="C12429" s="6"/>
    </row>
    <row r="12430" s="1" customFormat="1" spans="1:3">
      <c r="A12430" s="6"/>
      <c r="B12430" s="6"/>
      <c r="C12430" s="6"/>
    </row>
    <row r="12431" s="1" customFormat="1" spans="1:3">
      <c r="A12431" s="6"/>
      <c r="B12431" s="6"/>
      <c r="C12431" s="6"/>
    </row>
    <row r="12432" s="1" customFormat="1" spans="1:3">
      <c r="A12432" s="6"/>
      <c r="B12432" s="6"/>
      <c r="C12432" s="6"/>
    </row>
    <row r="12433" s="1" customFormat="1" spans="1:3">
      <c r="A12433" s="6"/>
      <c r="B12433" s="6"/>
      <c r="C12433" s="6"/>
    </row>
    <row r="12434" s="1" customFormat="1" spans="1:3">
      <c r="A12434" s="6"/>
      <c r="B12434" s="6"/>
      <c r="C12434" s="6"/>
    </row>
    <row r="12435" s="1" customFormat="1" spans="1:3">
      <c r="A12435" s="6"/>
      <c r="B12435" s="6"/>
      <c r="C12435" s="6"/>
    </row>
    <row r="12436" s="1" customFormat="1" spans="1:3">
      <c r="A12436" s="6"/>
      <c r="B12436" s="6"/>
      <c r="C12436" s="6"/>
    </row>
    <row r="12437" s="1" customFormat="1" spans="1:3">
      <c r="A12437" s="6"/>
      <c r="B12437" s="6"/>
      <c r="C12437" s="6"/>
    </row>
    <row r="12438" s="1" customFormat="1" spans="1:3">
      <c r="A12438" s="6"/>
      <c r="B12438" s="6"/>
      <c r="C12438" s="6"/>
    </row>
    <row r="12439" s="1" customFormat="1" spans="1:3">
      <c r="A12439" s="6"/>
      <c r="B12439" s="6"/>
      <c r="C12439" s="6"/>
    </row>
    <row r="12440" s="1" customFormat="1" spans="1:3">
      <c r="A12440" s="6"/>
      <c r="B12440" s="6"/>
      <c r="C12440" s="6"/>
    </row>
    <row r="12441" s="1" customFormat="1" spans="1:3">
      <c r="A12441" s="6"/>
      <c r="B12441" s="6"/>
      <c r="C12441" s="6"/>
    </row>
    <row r="12442" s="1" customFormat="1" spans="1:3">
      <c r="A12442" s="6"/>
      <c r="B12442" s="6"/>
      <c r="C12442" s="6"/>
    </row>
    <row r="12443" s="1" customFormat="1" spans="1:3">
      <c r="A12443" s="6"/>
      <c r="B12443" s="6"/>
      <c r="C12443" s="6"/>
    </row>
    <row r="12444" s="1" customFormat="1" spans="1:3">
      <c r="A12444" s="6"/>
      <c r="B12444" s="6"/>
      <c r="C12444" s="6"/>
    </row>
    <row r="12445" s="1" customFormat="1" spans="1:3">
      <c r="A12445" s="6"/>
      <c r="B12445" s="6"/>
      <c r="C12445" s="6"/>
    </row>
    <row r="12446" s="1" customFormat="1" spans="1:3">
      <c r="A12446" s="6"/>
      <c r="B12446" s="6"/>
      <c r="C12446" s="6"/>
    </row>
    <row r="12447" s="1" customFormat="1" spans="1:3">
      <c r="A12447" s="6"/>
      <c r="B12447" s="6"/>
      <c r="C12447" s="6"/>
    </row>
    <row r="12448" s="1" customFormat="1" spans="1:3">
      <c r="A12448" s="6"/>
      <c r="B12448" s="6"/>
      <c r="C12448" s="6"/>
    </row>
    <row r="12449" s="1" customFormat="1" spans="1:3">
      <c r="A12449" s="6"/>
      <c r="B12449" s="6"/>
      <c r="C12449" s="6"/>
    </row>
    <row r="12450" s="1" customFormat="1" spans="1:3">
      <c r="A12450" s="6"/>
      <c r="B12450" s="6"/>
      <c r="C12450" s="6"/>
    </row>
    <row r="12451" s="1" customFormat="1" spans="1:3">
      <c r="A12451" s="6"/>
      <c r="B12451" s="6"/>
      <c r="C12451" s="6"/>
    </row>
    <row r="12452" s="1" customFormat="1" spans="1:3">
      <c r="A12452" s="6"/>
      <c r="B12452" s="6"/>
      <c r="C12452" s="6"/>
    </row>
    <row r="12453" s="1" customFormat="1" spans="1:3">
      <c r="A12453" s="6"/>
      <c r="B12453" s="6"/>
      <c r="C12453" s="6"/>
    </row>
    <row r="12454" s="1" customFormat="1" spans="1:3">
      <c r="A12454" s="6"/>
      <c r="B12454" s="6"/>
      <c r="C12454" s="6"/>
    </row>
    <row r="12455" s="1" customFormat="1" spans="1:3">
      <c r="A12455" s="6"/>
      <c r="B12455" s="6"/>
      <c r="C12455" s="6"/>
    </row>
    <row r="12456" s="1" customFormat="1" spans="1:3">
      <c r="A12456" s="6"/>
      <c r="B12456" s="6"/>
      <c r="C12456" s="6"/>
    </row>
    <row r="12457" s="1" customFormat="1" spans="1:3">
      <c r="A12457" s="6"/>
      <c r="B12457" s="6"/>
      <c r="C12457" s="6"/>
    </row>
    <row r="12458" s="1" customFormat="1" spans="1:3">
      <c r="A12458" s="6"/>
      <c r="B12458" s="6"/>
      <c r="C12458" s="6"/>
    </row>
    <row r="12459" s="1" customFormat="1" spans="1:3">
      <c r="A12459" s="6"/>
      <c r="B12459" s="6"/>
      <c r="C12459" s="6"/>
    </row>
    <row r="12460" s="1" customFormat="1" spans="1:3">
      <c r="A12460" s="6"/>
      <c r="B12460" s="6"/>
      <c r="C12460" s="6"/>
    </row>
    <row r="12461" s="1" customFormat="1" spans="1:3">
      <c r="A12461" s="6"/>
      <c r="B12461" s="6"/>
      <c r="C12461" s="6"/>
    </row>
    <row r="12462" s="1" customFormat="1" spans="1:3">
      <c r="A12462" s="6"/>
      <c r="B12462" s="6"/>
      <c r="C12462" s="6"/>
    </row>
    <row r="12463" s="1" customFormat="1" spans="1:3">
      <c r="A12463" s="6"/>
      <c r="B12463" s="6"/>
      <c r="C12463" s="6"/>
    </row>
    <row r="12464" s="1" customFormat="1" spans="1:3">
      <c r="A12464" s="6"/>
      <c r="B12464" s="6"/>
      <c r="C12464" s="6"/>
    </row>
    <row r="12465" s="1" customFormat="1" spans="1:3">
      <c r="A12465" s="6"/>
      <c r="B12465" s="6"/>
      <c r="C12465" s="6"/>
    </row>
    <row r="12466" s="1" customFormat="1" spans="1:3">
      <c r="A12466" s="6"/>
      <c r="B12466" s="6"/>
      <c r="C12466" s="6"/>
    </row>
    <row r="12467" s="1" customFormat="1" spans="1:3">
      <c r="A12467" s="6"/>
      <c r="B12467" s="6"/>
      <c r="C12467" s="6"/>
    </row>
    <row r="12468" s="1" customFormat="1" spans="1:3">
      <c r="A12468" s="6"/>
      <c r="B12468" s="6"/>
      <c r="C12468" s="6"/>
    </row>
    <row r="12469" s="1" customFormat="1" spans="1:3">
      <c r="A12469" s="6"/>
      <c r="B12469" s="6"/>
      <c r="C12469" s="6"/>
    </row>
    <row r="12470" s="1" customFormat="1" spans="1:3">
      <c r="A12470" s="6"/>
      <c r="B12470" s="6"/>
      <c r="C12470" s="6"/>
    </row>
    <row r="12471" s="1" customFormat="1" spans="1:3">
      <c r="A12471" s="6"/>
      <c r="B12471" s="6"/>
      <c r="C12471" s="6"/>
    </row>
    <row r="12472" s="1" customFormat="1" spans="1:3">
      <c r="A12472" s="6"/>
      <c r="B12472" s="6"/>
      <c r="C12472" s="6"/>
    </row>
    <row r="12473" s="1" customFormat="1" spans="1:3">
      <c r="A12473" s="6"/>
      <c r="B12473" s="6"/>
      <c r="C12473" s="6"/>
    </row>
    <row r="12474" s="1" customFormat="1" spans="1:3">
      <c r="A12474" s="6"/>
      <c r="B12474" s="6"/>
      <c r="C12474" s="6"/>
    </row>
    <row r="12475" s="1" customFormat="1" spans="1:3">
      <c r="A12475" s="6"/>
      <c r="B12475" s="6"/>
      <c r="C12475" s="6"/>
    </row>
    <row r="12476" s="1" customFormat="1" spans="1:3">
      <c r="A12476" s="6"/>
      <c r="B12476" s="6"/>
      <c r="C12476" s="6"/>
    </row>
    <row r="12477" s="1" customFormat="1" spans="1:3">
      <c r="A12477" s="6"/>
      <c r="B12477" s="6"/>
      <c r="C12477" s="6"/>
    </row>
    <row r="12478" s="1" customFormat="1" spans="1:3">
      <c r="A12478" s="6"/>
      <c r="B12478" s="6"/>
      <c r="C12478" s="6"/>
    </row>
    <row r="12479" s="1" customFormat="1" spans="1:3">
      <c r="A12479" s="6"/>
      <c r="B12479" s="6"/>
      <c r="C12479" s="6"/>
    </row>
    <row r="12480" s="1" customFormat="1" spans="1:3">
      <c r="A12480" s="6"/>
      <c r="B12480" s="6"/>
      <c r="C12480" s="6"/>
    </row>
    <row r="12481" s="1" customFormat="1" spans="1:3">
      <c r="A12481" s="6"/>
      <c r="B12481" s="6"/>
      <c r="C12481" s="6"/>
    </row>
    <row r="12482" s="1" customFormat="1" spans="1:3">
      <c r="A12482" s="6"/>
      <c r="B12482" s="6"/>
      <c r="C12482" s="6"/>
    </row>
    <row r="12483" s="1" customFormat="1" spans="1:3">
      <c r="A12483" s="6"/>
      <c r="B12483" s="6"/>
      <c r="C12483" s="6"/>
    </row>
    <row r="12484" s="1" customFormat="1" spans="1:3">
      <c r="A12484" s="6"/>
      <c r="B12484" s="6"/>
      <c r="C12484" s="6"/>
    </row>
    <row r="12485" s="1" customFormat="1" spans="1:3">
      <c r="A12485" s="6"/>
      <c r="B12485" s="6"/>
      <c r="C12485" s="6"/>
    </row>
    <row r="12486" s="1" customFormat="1" spans="1:3">
      <c r="A12486" s="6"/>
      <c r="B12486" s="6"/>
      <c r="C12486" s="6"/>
    </row>
    <row r="12487" s="1" customFormat="1" spans="1:3">
      <c r="A12487" s="6"/>
      <c r="B12487" s="6"/>
      <c r="C12487" s="6"/>
    </row>
    <row r="12488" s="1" customFormat="1" spans="1:3">
      <c r="A12488" s="6"/>
      <c r="B12488" s="6"/>
      <c r="C12488" s="6"/>
    </row>
    <row r="12489" s="1" customFormat="1" spans="1:3">
      <c r="A12489" s="6"/>
      <c r="B12489" s="6"/>
      <c r="C12489" s="6"/>
    </row>
    <row r="12490" s="1" customFormat="1" spans="1:3">
      <c r="A12490" s="6"/>
      <c r="B12490" s="6"/>
      <c r="C12490" s="6"/>
    </row>
    <row r="12491" s="1" customFormat="1" spans="1:3">
      <c r="A12491" s="6"/>
      <c r="B12491" s="6"/>
      <c r="C12491" s="6"/>
    </row>
    <row r="12492" s="1" customFormat="1" spans="1:3">
      <c r="A12492" s="6"/>
      <c r="B12492" s="6"/>
      <c r="C12492" s="6"/>
    </row>
    <row r="12493" s="1" customFormat="1" spans="1:3">
      <c r="A12493" s="6"/>
      <c r="B12493" s="6"/>
      <c r="C12493" s="6"/>
    </row>
    <row r="12494" s="1" customFormat="1" spans="1:3">
      <c r="A12494" s="6"/>
      <c r="B12494" s="6"/>
      <c r="C12494" s="6"/>
    </row>
    <row r="12495" s="1" customFormat="1" spans="1:3">
      <c r="A12495" s="6"/>
      <c r="B12495" s="6"/>
      <c r="C12495" s="6"/>
    </row>
    <row r="12496" s="1" customFormat="1" spans="1:3">
      <c r="A12496" s="6"/>
      <c r="B12496" s="6"/>
      <c r="C12496" s="6"/>
    </row>
    <row r="12497" s="1" customFormat="1" spans="1:3">
      <c r="A12497" s="6"/>
      <c r="B12497" s="6"/>
      <c r="C12497" s="6"/>
    </row>
    <row r="12498" s="1" customFormat="1" spans="1:3">
      <c r="A12498" s="6"/>
      <c r="B12498" s="6"/>
      <c r="C12498" s="6"/>
    </row>
    <row r="12499" s="1" customFormat="1" spans="1:3">
      <c r="A12499" s="6"/>
      <c r="B12499" s="6"/>
      <c r="C12499" s="6"/>
    </row>
    <row r="12500" s="1" customFormat="1" spans="1:3">
      <c r="A12500" s="6"/>
      <c r="B12500" s="6"/>
      <c r="C12500" s="6"/>
    </row>
    <row r="12501" s="1" customFormat="1" spans="1:3">
      <c r="A12501" s="6"/>
      <c r="B12501" s="6"/>
      <c r="C12501" s="6"/>
    </row>
    <row r="12502" s="1" customFormat="1" spans="1:3">
      <c r="A12502" s="6"/>
      <c r="B12502" s="6"/>
      <c r="C12502" s="6"/>
    </row>
    <row r="12503" s="1" customFormat="1" spans="1:3">
      <c r="A12503" s="6"/>
      <c r="B12503" s="6"/>
      <c r="C12503" s="6"/>
    </row>
    <row r="12504" s="1" customFormat="1" spans="1:3">
      <c r="A12504" s="6"/>
      <c r="B12504" s="6"/>
      <c r="C12504" s="6"/>
    </row>
    <row r="12505" s="1" customFormat="1" spans="1:3">
      <c r="A12505" s="6"/>
      <c r="B12505" s="6"/>
      <c r="C12505" s="6"/>
    </row>
    <row r="12506" s="1" customFormat="1" spans="1:3">
      <c r="A12506" s="6"/>
      <c r="B12506" s="6"/>
      <c r="C12506" s="6"/>
    </row>
    <row r="12507" s="1" customFormat="1" spans="1:3">
      <c r="A12507" s="6"/>
      <c r="B12507" s="6"/>
      <c r="C12507" s="6"/>
    </row>
    <row r="12508" s="1" customFormat="1" spans="1:3">
      <c r="A12508" s="6"/>
      <c r="B12508" s="6"/>
      <c r="C12508" s="6"/>
    </row>
    <row r="12509" s="1" customFormat="1" spans="1:3">
      <c r="A12509" s="6"/>
      <c r="B12509" s="6"/>
      <c r="C12509" s="6"/>
    </row>
    <row r="12510" s="1" customFormat="1" spans="1:3">
      <c r="A12510" s="6"/>
      <c r="B12510" s="6"/>
      <c r="C12510" s="6"/>
    </row>
    <row r="12511" s="1" customFormat="1" spans="1:3">
      <c r="A12511" s="6"/>
      <c r="B12511" s="6"/>
      <c r="C12511" s="6"/>
    </row>
    <row r="12512" s="1" customFormat="1" spans="1:3">
      <c r="A12512" s="6"/>
      <c r="B12512" s="6"/>
      <c r="C12512" s="6"/>
    </row>
    <row r="12513" s="1" customFormat="1" spans="1:3">
      <c r="A12513" s="6"/>
      <c r="B12513" s="6"/>
      <c r="C12513" s="6"/>
    </row>
    <row r="12514" s="1" customFormat="1" spans="1:3">
      <c r="A12514" s="6"/>
      <c r="B12514" s="6"/>
      <c r="C12514" s="6"/>
    </row>
    <row r="12515" s="1" customFormat="1" spans="1:3">
      <c r="A12515" s="6"/>
      <c r="B12515" s="6"/>
      <c r="C12515" s="6"/>
    </row>
    <row r="12516" s="1" customFormat="1" spans="1:3">
      <c r="A12516" s="6"/>
      <c r="B12516" s="6"/>
      <c r="C12516" s="6"/>
    </row>
    <row r="12517" s="1" customFormat="1" spans="1:3">
      <c r="A12517" s="6"/>
      <c r="B12517" s="6"/>
      <c r="C12517" s="6"/>
    </row>
    <row r="12518" s="1" customFormat="1" spans="1:3">
      <c r="A12518" s="6"/>
      <c r="B12518" s="6"/>
      <c r="C12518" s="6"/>
    </row>
    <row r="12519" s="1" customFormat="1" spans="1:3">
      <c r="A12519" s="6"/>
      <c r="B12519" s="6"/>
      <c r="C12519" s="6"/>
    </row>
    <row r="12520" s="1" customFormat="1" spans="1:3">
      <c r="A12520" s="6"/>
      <c r="B12520" s="6"/>
      <c r="C12520" s="6"/>
    </row>
    <row r="12521" s="1" customFormat="1" spans="1:3">
      <c r="A12521" s="6"/>
      <c r="B12521" s="6"/>
      <c r="C12521" s="6"/>
    </row>
    <row r="12522" s="1" customFormat="1" spans="1:3">
      <c r="A12522" s="6"/>
      <c r="B12522" s="6"/>
      <c r="C12522" s="6"/>
    </row>
    <row r="12523" s="1" customFormat="1" spans="1:3">
      <c r="A12523" s="6"/>
      <c r="B12523" s="6"/>
      <c r="C12523" s="6"/>
    </row>
    <row r="12524" s="1" customFormat="1" spans="1:3">
      <c r="A12524" s="6"/>
      <c r="B12524" s="6"/>
      <c r="C12524" s="6"/>
    </row>
    <row r="12525" s="1" customFormat="1" spans="1:3">
      <c r="A12525" s="6"/>
      <c r="B12525" s="6"/>
      <c r="C12525" s="6"/>
    </row>
    <row r="12526" s="1" customFormat="1" spans="1:3">
      <c r="A12526" s="6"/>
      <c r="B12526" s="6"/>
      <c r="C12526" s="6"/>
    </row>
    <row r="12527" s="1" customFormat="1" spans="1:3">
      <c r="A12527" s="6"/>
      <c r="B12527" s="6"/>
      <c r="C12527" s="6"/>
    </row>
    <row r="12528" s="1" customFormat="1" spans="1:3">
      <c r="A12528" s="6"/>
      <c r="B12528" s="6"/>
      <c r="C12528" s="6"/>
    </row>
    <row r="12529" s="1" customFormat="1" spans="1:3">
      <c r="A12529" s="6"/>
      <c r="B12529" s="6"/>
      <c r="C12529" s="6"/>
    </row>
    <row r="12530" s="1" customFormat="1" spans="1:3">
      <c r="A12530" s="6"/>
      <c r="B12530" s="6"/>
      <c r="C12530" s="6"/>
    </row>
    <row r="12531" s="1" customFormat="1" spans="1:3">
      <c r="A12531" s="6"/>
      <c r="B12531" s="6"/>
      <c r="C12531" s="6"/>
    </row>
    <row r="12532" s="1" customFormat="1" spans="1:3">
      <c r="A12532" s="6"/>
      <c r="B12532" s="6"/>
      <c r="C12532" s="6"/>
    </row>
    <row r="12533" s="1" customFormat="1" spans="1:3">
      <c r="A12533" s="6"/>
      <c r="B12533" s="6"/>
      <c r="C12533" s="6"/>
    </row>
    <row r="12534" s="1" customFormat="1" spans="1:3">
      <c r="A12534" s="6"/>
      <c r="B12534" s="6"/>
      <c r="C12534" s="6"/>
    </row>
    <row r="12535" s="1" customFormat="1" spans="1:3">
      <c r="A12535" s="6"/>
      <c r="B12535" s="6"/>
      <c r="C12535" s="6"/>
    </row>
    <row r="12536" s="1" customFormat="1" spans="1:3">
      <c r="A12536" s="6"/>
      <c r="B12536" s="6"/>
      <c r="C12536" s="6"/>
    </row>
    <row r="12537" s="1" customFormat="1" spans="1:3">
      <c r="A12537" s="6"/>
      <c r="B12537" s="6"/>
      <c r="C12537" s="6"/>
    </row>
    <row r="12538" s="1" customFormat="1" spans="1:3">
      <c r="A12538" s="6"/>
      <c r="B12538" s="6"/>
      <c r="C12538" s="6"/>
    </row>
    <row r="12539" s="1" customFormat="1" spans="1:3">
      <c r="A12539" s="6"/>
      <c r="B12539" s="6"/>
      <c r="C12539" s="6"/>
    </row>
    <row r="12540" s="1" customFormat="1" spans="1:3">
      <c r="A12540" s="6"/>
      <c r="B12540" s="6"/>
      <c r="C12540" s="6"/>
    </row>
    <row r="12541" s="1" customFormat="1" spans="1:3">
      <c r="A12541" s="6"/>
      <c r="B12541" s="6"/>
      <c r="C12541" s="6"/>
    </row>
    <row r="12542" s="1" customFormat="1" spans="1:3">
      <c r="A12542" s="6"/>
      <c r="B12542" s="6"/>
      <c r="C12542" s="6"/>
    </row>
    <row r="12543" s="1" customFormat="1" spans="1:3">
      <c r="A12543" s="6"/>
      <c r="B12543" s="6"/>
      <c r="C12543" s="6"/>
    </row>
    <row r="12544" s="1" customFormat="1" spans="1:3">
      <c r="A12544" s="6"/>
      <c r="B12544" s="6"/>
      <c r="C12544" s="6"/>
    </row>
    <row r="12545" s="1" customFormat="1" spans="1:3">
      <c r="A12545" s="6"/>
      <c r="B12545" s="6"/>
      <c r="C12545" s="6"/>
    </row>
    <row r="12546" s="1" customFormat="1" spans="1:3">
      <c r="A12546" s="6"/>
      <c r="B12546" s="6"/>
      <c r="C12546" s="6"/>
    </row>
    <row r="12547" s="1" customFormat="1" spans="1:3">
      <c r="A12547" s="6"/>
      <c r="B12547" s="6"/>
      <c r="C12547" s="6"/>
    </row>
    <row r="12548" s="1" customFormat="1" spans="1:3">
      <c r="A12548" s="6"/>
      <c r="B12548" s="6"/>
      <c r="C12548" s="6"/>
    </row>
    <row r="12549" s="1" customFormat="1" spans="1:3">
      <c r="A12549" s="6"/>
      <c r="B12549" s="6"/>
      <c r="C12549" s="6"/>
    </row>
    <row r="12550" s="1" customFormat="1" spans="1:3">
      <c r="A12550" s="6"/>
      <c r="B12550" s="6"/>
      <c r="C12550" s="6"/>
    </row>
    <row r="12551" s="1" customFormat="1" spans="1:3">
      <c r="A12551" s="6"/>
      <c r="B12551" s="6"/>
      <c r="C12551" s="6"/>
    </row>
    <row r="12552" s="1" customFormat="1" spans="1:3">
      <c r="A12552" s="6"/>
      <c r="B12552" s="6"/>
      <c r="C12552" s="6"/>
    </row>
    <row r="12553" s="1" customFormat="1" spans="1:3">
      <c r="A12553" s="6"/>
      <c r="B12553" s="6"/>
      <c r="C12553" s="6"/>
    </row>
    <row r="12554" s="1" customFormat="1" spans="1:3">
      <c r="A12554" s="6"/>
      <c r="B12554" s="6"/>
      <c r="C12554" s="6"/>
    </row>
    <row r="12555" s="1" customFormat="1" spans="1:3">
      <c r="A12555" s="6"/>
      <c r="B12555" s="6"/>
      <c r="C12555" s="6"/>
    </row>
    <row r="12556" s="1" customFormat="1" spans="1:3">
      <c r="A12556" s="6"/>
      <c r="B12556" s="6"/>
      <c r="C12556" s="6"/>
    </row>
    <row r="12557" s="1" customFormat="1" spans="1:3">
      <c r="A12557" s="6"/>
      <c r="B12557" s="6"/>
      <c r="C12557" s="6"/>
    </row>
    <row r="12558" s="1" customFormat="1" spans="1:3">
      <c r="A12558" s="6"/>
      <c r="B12558" s="6"/>
      <c r="C12558" s="6"/>
    </row>
    <row r="12559" s="1" customFormat="1" spans="1:3">
      <c r="A12559" s="6"/>
      <c r="B12559" s="6"/>
      <c r="C12559" s="6"/>
    </row>
    <row r="12560" s="1" customFormat="1" spans="1:3">
      <c r="A12560" s="6"/>
      <c r="B12560" s="6"/>
      <c r="C12560" s="6"/>
    </row>
    <row r="12561" s="1" customFormat="1" spans="1:3">
      <c r="A12561" s="6"/>
      <c r="B12561" s="6"/>
      <c r="C12561" s="6"/>
    </row>
    <row r="12562" s="1" customFormat="1" spans="1:3">
      <c r="A12562" s="6"/>
      <c r="B12562" s="6"/>
      <c r="C12562" s="6"/>
    </row>
    <row r="12563" s="1" customFormat="1" spans="1:3">
      <c r="A12563" s="6"/>
      <c r="B12563" s="6"/>
      <c r="C12563" s="6"/>
    </row>
    <row r="12564" s="1" customFormat="1" spans="1:3">
      <c r="A12564" s="6"/>
      <c r="B12564" s="6"/>
      <c r="C12564" s="6"/>
    </row>
    <row r="12565" s="1" customFormat="1" spans="1:3">
      <c r="A12565" s="6"/>
      <c r="B12565" s="6"/>
      <c r="C12565" s="6"/>
    </row>
    <row r="12566" s="1" customFormat="1" spans="1:3">
      <c r="A12566" s="6"/>
      <c r="B12566" s="6"/>
      <c r="C12566" s="6"/>
    </row>
    <row r="12567" s="1" customFormat="1" spans="1:3">
      <c r="A12567" s="6"/>
      <c r="B12567" s="6"/>
      <c r="C12567" s="6"/>
    </row>
    <row r="12568" s="1" customFormat="1" spans="1:3">
      <c r="A12568" s="6"/>
      <c r="B12568" s="6"/>
      <c r="C12568" s="6"/>
    </row>
    <row r="12569" s="1" customFormat="1" spans="1:3">
      <c r="A12569" s="6"/>
      <c r="B12569" s="6"/>
      <c r="C12569" s="6"/>
    </row>
    <row r="12570" s="1" customFormat="1" spans="1:3">
      <c r="A12570" s="6"/>
      <c r="B12570" s="6"/>
      <c r="C12570" s="6"/>
    </row>
    <row r="12571" s="1" customFormat="1" spans="1:3">
      <c r="A12571" s="6"/>
      <c r="B12571" s="6"/>
      <c r="C12571" s="6"/>
    </row>
    <row r="12572" s="1" customFormat="1" spans="1:3">
      <c r="A12572" s="6"/>
      <c r="B12572" s="6"/>
      <c r="C12572" s="6"/>
    </row>
    <row r="12573" s="1" customFormat="1" spans="1:3">
      <c r="A12573" s="6"/>
      <c r="B12573" s="6"/>
      <c r="C12573" s="6"/>
    </row>
    <row r="12574" s="1" customFormat="1" spans="1:3">
      <c r="A12574" s="6"/>
      <c r="B12574" s="6"/>
      <c r="C12574" s="6"/>
    </row>
    <row r="12575" s="1" customFormat="1" spans="1:3">
      <c r="A12575" s="6"/>
      <c r="B12575" s="6"/>
      <c r="C12575" s="6"/>
    </row>
    <row r="12576" s="1" customFormat="1" spans="1:3">
      <c r="A12576" s="6"/>
      <c r="B12576" s="6"/>
      <c r="C12576" s="6"/>
    </row>
    <row r="12577" s="1" customFormat="1" spans="1:3">
      <c r="A12577" s="6"/>
      <c r="B12577" s="6"/>
      <c r="C12577" s="6"/>
    </row>
    <row r="12578" s="1" customFormat="1" spans="1:3">
      <c r="A12578" s="6"/>
      <c r="B12578" s="6"/>
      <c r="C12578" s="6"/>
    </row>
    <row r="12579" s="1" customFormat="1" spans="1:3">
      <c r="A12579" s="6"/>
      <c r="B12579" s="6"/>
      <c r="C12579" s="6"/>
    </row>
    <row r="12580" s="1" customFormat="1" spans="1:3">
      <c r="A12580" s="6"/>
      <c r="B12580" s="6"/>
      <c r="C12580" s="6"/>
    </row>
    <row r="12581" s="1" customFormat="1" spans="1:3">
      <c r="A12581" s="6"/>
      <c r="B12581" s="6"/>
      <c r="C12581" s="6"/>
    </row>
    <row r="12582" s="1" customFormat="1" spans="1:3">
      <c r="A12582" s="6"/>
      <c r="B12582" s="6"/>
      <c r="C12582" s="6"/>
    </row>
    <row r="12583" s="1" customFormat="1" spans="1:3">
      <c r="A12583" s="6"/>
      <c r="B12583" s="6"/>
      <c r="C12583" s="6"/>
    </row>
    <row r="12584" s="1" customFormat="1" spans="1:3">
      <c r="A12584" s="6"/>
      <c r="B12584" s="6"/>
      <c r="C12584" s="6"/>
    </row>
    <row r="12585" s="1" customFormat="1" spans="1:3">
      <c r="A12585" s="6"/>
      <c r="B12585" s="6"/>
      <c r="C12585" s="6"/>
    </row>
    <row r="12586" s="1" customFormat="1" spans="1:3">
      <c r="A12586" s="6"/>
      <c r="B12586" s="6"/>
      <c r="C12586" s="6"/>
    </row>
    <row r="12587" s="1" customFormat="1" spans="1:3">
      <c r="A12587" s="6"/>
      <c r="B12587" s="6"/>
      <c r="C12587" s="6"/>
    </row>
    <row r="12588" s="1" customFormat="1" spans="1:3">
      <c r="A12588" s="6"/>
      <c r="B12588" s="6"/>
      <c r="C12588" s="6"/>
    </row>
    <row r="12589" s="1" customFormat="1" spans="1:3">
      <c r="A12589" s="6"/>
      <c r="B12589" s="6"/>
      <c r="C12589" s="6"/>
    </row>
    <row r="12590" s="1" customFormat="1" spans="1:3">
      <c r="A12590" s="6"/>
      <c r="B12590" s="6"/>
      <c r="C12590" s="6"/>
    </row>
    <row r="12591" s="1" customFormat="1" spans="1:3">
      <c r="A12591" s="6"/>
      <c r="B12591" s="6"/>
      <c r="C12591" s="6"/>
    </row>
    <row r="12592" s="1" customFormat="1" spans="1:3">
      <c r="A12592" s="6"/>
      <c r="B12592" s="6"/>
      <c r="C12592" s="6"/>
    </row>
    <row r="12593" s="1" customFormat="1" spans="1:3">
      <c r="A12593" s="6"/>
      <c r="B12593" s="6"/>
      <c r="C12593" s="6"/>
    </row>
    <row r="12594" s="1" customFormat="1" spans="1:3">
      <c r="A12594" s="6"/>
      <c r="B12594" s="6"/>
      <c r="C12594" s="6"/>
    </row>
    <row r="12595" s="1" customFormat="1" spans="1:3">
      <c r="A12595" s="6"/>
      <c r="B12595" s="6"/>
      <c r="C12595" s="6"/>
    </row>
    <row r="12596" s="1" customFormat="1" spans="1:3">
      <c r="A12596" s="6"/>
      <c r="B12596" s="6"/>
      <c r="C12596" s="6"/>
    </row>
    <row r="12597" s="1" customFormat="1" spans="1:3">
      <c r="A12597" s="6"/>
      <c r="B12597" s="6"/>
      <c r="C12597" s="6"/>
    </row>
    <row r="12598" s="1" customFormat="1" spans="1:3">
      <c r="A12598" s="6"/>
      <c r="B12598" s="6"/>
      <c r="C12598" s="6"/>
    </row>
    <row r="12599" s="1" customFormat="1" spans="1:3">
      <c r="A12599" s="6"/>
      <c r="B12599" s="6"/>
      <c r="C12599" s="6"/>
    </row>
    <row r="12600" s="1" customFormat="1" spans="1:3">
      <c r="A12600" s="6"/>
      <c r="B12600" s="6"/>
      <c r="C12600" s="6"/>
    </row>
    <row r="12601" s="1" customFormat="1" spans="1:3">
      <c r="A12601" s="6"/>
      <c r="B12601" s="6"/>
      <c r="C12601" s="6"/>
    </row>
    <row r="12602" s="1" customFormat="1" spans="1:3">
      <c r="A12602" s="6"/>
      <c r="B12602" s="6"/>
      <c r="C12602" s="6"/>
    </row>
    <row r="12603" s="1" customFormat="1" spans="1:3">
      <c r="A12603" s="6"/>
      <c r="B12603" s="6"/>
      <c r="C12603" s="6"/>
    </row>
    <row r="12604" s="1" customFormat="1" spans="1:3">
      <c r="A12604" s="6"/>
      <c r="B12604" s="6"/>
      <c r="C12604" s="6"/>
    </row>
    <row r="12605" s="1" customFormat="1" spans="1:3">
      <c r="A12605" s="6"/>
      <c r="B12605" s="6"/>
      <c r="C12605" s="6"/>
    </row>
    <row r="12606" s="1" customFormat="1" spans="1:3">
      <c r="A12606" s="6"/>
      <c r="B12606" s="6"/>
      <c r="C12606" s="6"/>
    </row>
    <row r="12607" s="1" customFormat="1" spans="1:3">
      <c r="A12607" s="6"/>
      <c r="B12607" s="6"/>
      <c r="C12607" s="6"/>
    </row>
    <row r="12608" s="1" customFormat="1" spans="1:3">
      <c r="A12608" s="6"/>
      <c r="B12608" s="6"/>
      <c r="C12608" s="6"/>
    </row>
    <row r="12609" s="1" customFormat="1" spans="1:3">
      <c r="A12609" s="6"/>
      <c r="B12609" s="6"/>
      <c r="C12609" s="6"/>
    </row>
    <row r="12610" s="1" customFormat="1" spans="1:3">
      <c r="A12610" s="6"/>
      <c r="B12610" s="6"/>
      <c r="C12610" s="6"/>
    </row>
    <row r="12611" s="1" customFormat="1" spans="1:3">
      <c r="A12611" s="6"/>
      <c r="B12611" s="6"/>
      <c r="C12611" s="6"/>
    </row>
    <row r="12612" s="1" customFormat="1" spans="1:3">
      <c r="A12612" s="6"/>
      <c r="B12612" s="6"/>
      <c r="C12612" s="6"/>
    </row>
    <row r="12613" s="1" customFormat="1" spans="1:3">
      <c r="A12613" s="6"/>
      <c r="B12613" s="6"/>
      <c r="C12613" s="6"/>
    </row>
    <row r="12614" s="1" customFormat="1" spans="1:3">
      <c r="A12614" s="6"/>
      <c r="B12614" s="6"/>
      <c r="C12614" s="6"/>
    </row>
    <row r="12615" s="1" customFormat="1" spans="1:3">
      <c r="A12615" s="6"/>
      <c r="B12615" s="6"/>
      <c r="C12615" s="6"/>
    </row>
    <row r="12616" s="1" customFormat="1" spans="1:3">
      <c r="A12616" s="6"/>
      <c r="B12616" s="6"/>
      <c r="C12616" s="6"/>
    </row>
    <row r="12617" s="1" customFormat="1" spans="1:3">
      <c r="A12617" s="6"/>
      <c r="B12617" s="6"/>
      <c r="C12617" s="6"/>
    </row>
    <row r="12618" s="1" customFormat="1" spans="1:3">
      <c r="A12618" s="6"/>
      <c r="B12618" s="6"/>
      <c r="C12618" s="6"/>
    </row>
    <row r="12619" s="1" customFormat="1" spans="1:3">
      <c r="A12619" s="6"/>
      <c r="B12619" s="6"/>
      <c r="C12619" s="6"/>
    </row>
    <row r="12620" s="1" customFormat="1" spans="1:3">
      <c r="A12620" s="6"/>
      <c r="B12620" s="6"/>
      <c r="C12620" s="6"/>
    </row>
    <row r="12621" s="1" customFormat="1" spans="1:3">
      <c r="A12621" s="6"/>
      <c r="B12621" s="6"/>
      <c r="C12621" s="6"/>
    </row>
    <row r="12622" s="1" customFormat="1" spans="1:3">
      <c r="A12622" s="6"/>
      <c r="B12622" s="6"/>
      <c r="C12622" s="6"/>
    </row>
    <row r="12623" s="1" customFormat="1" spans="1:3">
      <c r="A12623" s="6"/>
      <c r="B12623" s="6"/>
      <c r="C12623" s="6"/>
    </row>
    <row r="12624" s="1" customFormat="1" spans="1:3">
      <c r="A12624" s="6"/>
      <c r="B12624" s="6"/>
      <c r="C12624" s="6"/>
    </row>
    <row r="12625" s="1" customFormat="1" spans="1:3">
      <c r="A12625" s="6"/>
      <c r="B12625" s="6"/>
      <c r="C12625" s="6"/>
    </row>
    <row r="12626" s="1" customFormat="1" spans="1:3">
      <c r="A12626" s="6"/>
      <c r="B12626" s="6"/>
      <c r="C12626" s="6"/>
    </row>
    <row r="12627" s="1" customFormat="1" spans="1:3">
      <c r="A12627" s="6"/>
      <c r="B12627" s="6"/>
      <c r="C12627" s="6"/>
    </row>
    <row r="12628" s="1" customFormat="1" spans="1:3">
      <c r="A12628" s="6"/>
      <c r="B12628" s="6"/>
      <c r="C12628" s="6"/>
    </row>
    <row r="12629" s="1" customFormat="1" spans="1:3">
      <c r="A12629" s="6"/>
      <c r="B12629" s="6"/>
      <c r="C12629" s="6"/>
    </row>
    <row r="12630" s="1" customFormat="1" spans="1:3">
      <c r="A12630" s="6"/>
      <c r="B12630" s="6"/>
      <c r="C12630" s="6"/>
    </row>
    <row r="12631" s="1" customFormat="1" spans="1:3">
      <c r="A12631" s="6"/>
      <c r="B12631" s="6"/>
      <c r="C12631" s="6"/>
    </row>
    <row r="12632" s="1" customFormat="1" spans="1:3">
      <c r="A12632" s="6"/>
      <c r="B12632" s="6"/>
      <c r="C12632" s="6"/>
    </row>
    <row r="12633" s="1" customFormat="1" spans="1:3">
      <c r="A12633" s="6"/>
      <c r="B12633" s="6"/>
      <c r="C12633" s="6"/>
    </row>
    <row r="12634" s="1" customFormat="1" spans="1:3">
      <c r="A12634" s="6"/>
      <c r="B12634" s="6"/>
      <c r="C12634" s="6"/>
    </row>
    <row r="12635" s="1" customFormat="1" spans="1:3">
      <c r="A12635" s="6"/>
      <c r="B12635" s="6"/>
      <c r="C12635" s="6"/>
    </row>
    <row r="12636" s="1" customFormat="1" spans="1:3">
      <c r="A12636" s="6"/>
      <c r="B12636" s="6"/>
      <c r="C12636" s="6"/>
    </row>
    <row r="12637" s="1" customFormat="1" spans="1:3">
      <c r="A12637" s="6"/>
      <c r="B12637" s="6"/>
      <c r="C12637" s="6"/>
    </row>
    <row r="12638" s="1" customFormat="1" spans="1:3">
      <c r="A12638" s="6"/>
      <c r="B12638" s="6"/>
      <c r="C12638" s="6"/>
    </row>
    <row r="12639" s="1" customFormat="1" spans="1:3">
      <c r="A12639" s="6"/>
      <c r="B12639" s="6"/>
      <c r="C12639" s="6"/>
    </row>
    <row r="12640" s="1" customFormat="1" spans="1:3">
      <c r="A12640" s="6"/>
      <c r="B12640" s="6"/>
      <c r="C12640" s="6"/>
    </row>
    <row r="12641" s="1" customFormat="1" spans="1:3">
      <c r="A12641" s="6"/>
      <c r="B12641" s="6"/>
      <c r="C12641" s="6"/>
    </row>
    <row r="12642" s="1" customFormat="1" spans="1:3">
      <c r="A12642" s="6"/>
      <c r="B12642" s="6"/>
      <c r="C12642" s="6"/>
    </row>
    <row r="12643" s="1" customFormat="1" spans="1:3">
      <c r="A12643" s="6"/>
      <c r="B12643" s="6"/>
      <c r="C12643" s="6"/>
    </row>
    <row r="12644" s="1" customFormat="1" spans="1:3">
      <c r="A12644" s="6"/>
      <c r="B12644" s="6"/>
      <c r="C12644" s="6"/>
    </row>
    <row r="12645" s="1" customFormat="1" spans="1:3">
      <c r="A12645" s="6"/>
      <c r="B12645" s="6"/>
      <c r="C12645" s="6"/>
    </row>
    <row r="12646" s="1" customFormat="1" spans="1:3">
      <c r="A12646" s="6"/>
      <c r="B12646" s="6"/>
      <c r="C12646" s="6"/>
    </row>
    <row r="12647" s="1" customFormat="1" spans="1:3">
      <c r="A12647" s="6"/>
      <c r="B12647" s="6"/>
      <c r="C12647" s="6"/>
    </row>
    <row r="12648" s="1" customFormat="1" spans="1:3">
      <c r="A12648" s="6"/>
      <c r="B12648" s="6"/>
      <c r="C12648" s="6"/>
    </row>
    <row r="12649" s="1" customFormat="1" spans="1:3">
      <c r="A12649" s="6"/>
      <c r="B12649" s="6"/>
      <c r="C12649" s="6"/>
    </row>
    <row r="12650" s="1" customFormat="1" spans="1:3">
      <c r="A12650" s="6"/>
      <c r="B12650" s="6"/>
      <c r="C12650" s="6"/>
    </row>
    <row r="12651" s="1" customFormat="1" spans="1:3">
      <c r="A12651" s="6"/>
      <c r="B12651" s="6"/>
      <c r="C12651" s="6"/>
    </row>
    <row r="12652" s="1" customFormat="1" spans="1:3">
      <c r="A12652" s="6"/>
      <c r="B12652" s="6"/>
      <c r="C12652" s="6"/>
    </row>
    <row r="12653" s="1" customFormat="1" spans="1:3">
      <c r="A12653" s="6"/>
      <c r="B12653" s="6"/>
      <c r="C12653" s="6"/>
    </row>
    <row r="12654" s="1" customFormat="1" spans="1:3">
      <c r="A12654" s="6"/>
      <c r="B12654" s="6"/>
      <c r="C12654" s="6"/>
    </row>
    <row r="12655" s="1" customFormat="1" spans="1:3">
      <c r="A12655" s="6"/>
      <c r="B12655" s="6"/>
      <c r="C12655" s="6"/>
    </row>
    <row r="12656" s="1" customFormat="1" spans="1:3">
      <c r="A12656" s="6"/>
      <c r="B12656" s="6"/>
      <c r="C12656" s="6"/>
    </row>
    <row r="12657" s="1" customFormat="1" spans="1:3">
      <c r="A12657" s="6"/>
      <c r="B12657" s="6"/>
      <c r="C12657" s="6"/>
    </row>
    <row r="12658" s="1" customFormat="1" spans="1:3">
      <c r="A12658" s="6"/>
      <c r="B12658" s="6"/>
      <c r="C12658" s="6"/>
    </row>
    <row r="12659" s="1" customFormat="1" spans="1:3">
      <c r="A12659" s="6"/>
      <c r="B12659" s="6"/>
      <c r="C12659" s="6"/>
    </row>
    <row r="12660" s="1" customFormat="1" spans="1:3">
      <c r="A12660" s="6"/>
      <c r="B12660" s="6"/>
      <c r="C12660" s="6"/>
    </row>
    <row r="12661" s="1" customFormat="1" spans="1:3">
      <c r="A12661" s="6"/>
      <c r="B12661" s="6"/>
      <c r="C12661" s="6"/>
    </row>
    <row r="12662" s="1" customFormat="1" spans="1:3">
      <c r="A12662" s="6"/>
      <c r="B12662" s="6"/>
      <c r="C12662" s="6"/>
    </row>
    <row r="12663" s="1" customFormat="1" spans="1:3">
      <c r="A12663" s="6"/>
      <c r="B12663" s="6"/>
      <c r="C12663" s="6"/>
    </row>
    <row r="12664" s="1" customFormat="1" spans="1:3">
      <c r="A12664" s="6"/>
      <c r="B12664" s="6"/>
      <c r="C12664" s="6"/>
    </row>
    <row r="12665" s="1" customFormat="1" spans="1:3">
      <c r="A12665" s="6"/>
      <c r="B12665" s="6"/>
      <c r="C12665" s="6"/>
    </row>
    <row r="12666" s="1" customFormat="1" spans="1:3">
      <c r="A12666" s="6"/>
      <c r="B12666" s="6"/>
      <c r="C12666" s="6"/>
    </row>
    <row r="12667" s="1" customFormat="1" spans="1:3">
      <c r="A12667" s="6"/>
      <c r="B12667" s="6"/>
      <c r="C12667" s="6"/>
    </row>
    <row r="12668" s="1" customFormat="1" spans="1:3">
      <c r="A12668" s="6"/>
      <c r="B12668" s="6"/>
      <c r="C12668" s="6"/>
    </row>
    <row r="12669" s="1" customFormat="1" spans="1:3">
      <c r="A12669" s="6"/>
      <c r="B12669" s="6"/>
      <c r="C12669" s="6"/>
    </row>
    <row r="12670" s="1" customFormat="1" spans="1:3">
      <c r="A12670" s="6"/>
      <c r="B12670" s="6"/>
      <c r="C12670" s="6"/>
    </row>
    <row r="12671" s="1" customFormat="1" spans="1:3">
      <c r="A12671" s="6"/>
      <c r="B12671" s="6"/>
      <c r="C12671" s="6"/>
    </row>
    <row r="12672" s="1" customFormat="1" spans="1:3">
      <c r="A12672" s="6"/>
      <c r="B12672" s="6"/>
      <c r="C12672" s="6"/>
    </row>
    <row r="12673" s="1" customFormat="1" spans="1:3">
      <c r="A12673" s="6"/>
      <c r="B12673" s="6"/>
      <c r="C12673" s="6"/>
    </row>
    <row r="12674" s="1" customFormat="1" spans="1:3">
      <c r="A12674" s="6"/>
      <c r="B12674" s="6"/>
      <c r="C12674" s="6"/>
    </row>
    <row r="12675" s="1" customFormat="1" spans="1:3">
      <c r="A12675" s="6"/>
      <c r="B12675" s="6"/>
      <c r="C12675" s="6"/>
    </row>
    <row r="12676" s="1" customFormat="1" spans="1:3">
      <c r="A12676" s="6"/>
      <c r="B12676" s="6"/>
      <c r="C12676" s="6"/>
    </row>
    <row r="12677" s="1" customFormat="1" spans="1:3">
      <c r="A12677" s="6"/>
      <c r="B12677" s="6"/>
      <c r="C12677" s="6"/>
    </row>
    <row r="12678" s="1" customFormat="1" spans="1:3">
      <c r="A12678" s="6"/>
      <c r="B12678" s="6"/>
      <c r="C12678" s="6"/>
    </row>
    <row r="12679" s="1" customFormat="1" spans="1:3">
      <c r="A12679" s="6"/>
      <c r="B12679" s="6"/>
      <c r="C12679" s="6"/>
    </row>
    <row r="12680" s="1" customFormat="1" spans="1:3">
      <c r="A12680" s="6"/>
      <c r="B12680" s="6"/>
      <c r="C12680" s="6"/>
    </row>
    <row r="12681" s="1" customFormat="1" spans="1:3">
      <c r="A12681" s="6"/>
      <c r="B12681" s="6"/>
      <c r="C12681" s="6"/>
    </row>
    <row r="12682" s="1" customFormat="1" spans="1:3">
      <c r="A12682" s="6"/>
      <c r="B12682" s="6"/>
      <c r="C12682" s="6"/>
    </row>
    <row r="12683" s="1" customFormat="1" spans="1:3">
      <c r="A12683" s="6"/>
      <c r="B12683" s="6"/>
      <c r="C12683" s="6"/>
    </row>
    <row r="12684" s="1" customFormat="1" spans="1:3">
      <c r="A12684" s="6"/>
      <c r="B12684" s="6"/>
      <c r="C12684" s="6"/>
    </row>
    <row r="12685" s="1" customFormat="1" spans="1:3">
      <c r="A12685" s="6"/>
      <c r="B12685" s="6"/>
      <c r="C12685" s="6"/>
    </row>
    <row r="12686" s="1" customFormat="1" spans="1:3">
      <c r="A12686" s="6"/>
      <c r="B12686" s="6"/>
      <c r="C12686" s="6"/>
    </row>
    <row r="12687" s="1" customFormat="1" spans="1:3">
      <c r="A12687" s="6"/>
      <c r="B12687" s="6"/>
      <c r="C12687" s="6"/>
    </row>
    <row r="12688" s="1" customFormat="1" spans="1:3">
      <c r="A12688" s="6"/>
      <c r="B12688" s="6"/>
      <c r="C12688" s="6"/>
    </row>
    <row r="12689" s="1" customFormat="1" spans="1:3">
      <c r="A12689" s="6"/>
      <c r="B12689" s="6"/>
      <c r="C12689" s="6"/>
    </row>
    <row r="12690" s="1" customFormat="1" spans="1:3">
      <c r="A12690" s="6"/>
      <c r="B12690" s="6"/>
      <c r="C12690" s="6"/>
    </row>
    <row r="12691" s="1" customFormat="1" spans="1:3">
      <c r="A12691" s="6"/>
      <c r="B12691" s="6"/>
      <c r="C12691" s="6"/>
    </row>
    <row r="12692" s="1" customFormat="1" spans="1:3">
      <c r="A12692" s="6"/>
      <c r="B12692" s="6"/>
      <c r="C12692" s="6"/>
    </row>
    <row r="12693" s="1" customFormat="1" spans="1:3">
      <c r="A12693" s="6"/>
      <c r="B12693" s="6"/>
      <c r="C12693" s="6"/>
    </row>
    <row r="12694" s="1" customFormat="1" spans="1:3">
      <c r="A12694" s="6"/>
      <c r="B12694" s="6"/>
      <c r="C12694" s="6"/>
    </row>
    <row r="12695" s="1" customFormat="1" spans="1:3">
      <c r="A12695" s="6"/>
      <c r="B12695" s="6"/>
      <c r="C12695" s="6"/>
    </row>
    <row r="12696" s="1" customFormat="1" spans="1:3">
      <c r="A12696" s="6"/>
      <c r="B12696" s="6"/>
      <c r="C12696" s="6"/>
    </row>
    <row r="12697" s="1" customFormat="1" spans="1:3">
      <c r="A12697" s="6"/>
      <c r="B12697" s="6"/>
      <c r="C12697" s="6"/>
    </row>
    <row r="12698" s="1" customFormat="1" spans="1:3">
      <c r="A12698" s="6"/>
      <c r="B12698" s="6"/>
      <c r="C12698" s="6"/>
    </row>
    <row r="12699" s="1" customFormat="1" spans="1:3">
      <c r="A12699" s="6"/>
      <c r="B12699" s="6"/>
      <c r="C12699" s="6"/>
    </row>
    <row r="12700" s="1" customFormat="1" spans="1:3">
      <c r="A12700" s="6"/>
      <c r="B12700" s="6"/>
      <c r="C12700" s="6"/>
    </row>
    <row r="12701" s="1" customFormat="1" spans="1:3">
      <c r="A12701" s="6"/>
      <c r="B12701" s="6"/>
      <c r="C12701" s="6"/>
    </row>
    <row r="12702" s="1" customFormat="1" spans="1:3">
      <c r="A12702" s="6"/>
      <c r="B12702" s="6"/>
      <c r="C12702" s="6"/>
    </row>
    <row r="12703" s="1" customFormat="1" spans="1:3">
      <c r="A12703" s="6"/>
      <c r="B12703" s="6"/>
      <c r="C12703" s="6"/>
    </row>
    <row r="12704" s="1" customFormat="1" spans="1:3">
      <c r="A12704" s="6"/>
      <c r="B12704" s="6"/>
      <c r="C12704" s="6"/>
    </row>
    <row r="12705" s="1" customFormat="1" spans="1:3">
      <c r="A12705" s="6"/>
      <c r="B12705" s="6"/>
      <c r="C12705" s="6"/>
    </row>
    <row r="12706" s="1" customFormat="1" spans="1:3">
      <c r="A12706" s="6"/>
      <c r="B12706" s="6"/>
      <c r="C12706" s="6"/>
    </row>
    <row r="12707" s="1" customFormat="1" spans="1:3">
      <c r="A12707" s="6"/>
      <c r="B12707" s="6"/>
      <c r="C12707" s="6"/>
    </row>
    <row r="12708" s="1" customFormat="1" spans="1:3">
      <c r="A12708" s="6"/>
      <c r="B12708" s="6"/>
      <c r="C12708" s="6"/>
    </row>
    <row r="12709" s="1" customFormat="1" spans="1:3">
      <c r="A12709" s="6"/>
      <c r="B12709" s="6"/>
      <c r="C12709" s="6"/>
    </row>
    <row r="12710" s="1" customFormat="1" spans="1:3">
      <c r="A12710" s="6"/>
      <c r="B12710" s="6"/>
      <c r="C12710" s="6"/>
    </row>
    <row r="12711" s="1" customFormat="1" spans="1:3">
      <c r="A12711" s="6"/>
      <c r="B12711" s="6"/>
      <c r="C12711" s="6"/>
    </row>
    <row r="12712" s="1" customFormat="1" spans="1:3">
      <c r="A12712" s="6"/>
      <c r="B12712" s="6"/>
      <c r="C12712" s="6"/>
    </row>
    <row r="12713" s="1" customFormat="1" spans="1:3">
      <c r="A12713" s="6"/>
      <c r="B12713" s="6"/>
      <c r="C12713" s="6"/>
    </row>
    <row r="12714" s="1" customFormat="1" spans="1:3">
      <c r="A12714" s="6"/>
      <c r="B12714" s="6"/>
      <c r="C12714" s="6"/>
    </row>
    <row r="12715" s="1" customFormat="1" spans="1:3">
      <c r="A12715" s="6"/>
      <c r="B12715" s="6"/>
      <c r="C12715" s="6"/>
    </row>
    <row r="12716" s="1" customFormat="1" spans="1:3">
      <c r="A12716" s="6"/>
      <c r="B12716" s="6"/>
      <c r="C12716" s="6"/>
    </row>
    <row r="12717" s="1" customFormat="1" spans="1:3">
      <c r="A12717" s="6"/>
      <c r="B12717" s="6"/>
      <c r="C12717" s="6"/>
    </row>
    <row r="12718" s="1" customFormat="1" spans="1:3">
      <c r="A12718" s="6"/>
      <c r="B12718" s="6"/>
      <c r="C12718" s="6"/>
    </row>
    <row r="12719" s="1" customFormat="1" spans="1:3">
      <c r="A12719" s="6"/>
      <c r="B12719" s="6"/>
      <c r="C12719" s="6"/>
    </row>
    <row r="12720" s="1" customFormat="1" spans="1:3">
      <c r="A12720" s="6"/>
      <c r="B12720" s="6"/>
      <c r="C12720" s="6"/>
    </row>
    <row r="12721" s="1" customFormat="1" spans="1:3">
      <c r="A12721" s="6"/>
      <c r="B12721" s="6"/>
      <c r="C12721" s="6"/>
    </row>
    <row r="12722" s="1" customFormat="1" spans="1:3">
      <c r="A12722" s="6"/>
      <c r="B12722" s="6"/>
      <c r="C12722" s="6"/>
    </row>
    <row r="12723" s="1" customFormat="1" spans="1:3">
      <c r="A12723" s="6"/>
      <c r="B12723" s="6"/>
      <c r="C12723" s="6"/>
    </row>
    <row r="12724" s="1" customFormat="1" spans="1:3">
      <c r="A12724" s="6"/>
      <c r="B12724" s="6"/>
      <c r="C12724" s="6"/>
    </row>
    <row r="12725" s="1" customFormat="1" spans="1:3">
      <c r="A12725" s="6"/>
      <c r="B12725" s="6"/>
      <c r="C12725" s="6"/>
    </row>
    <row r="12726" s="1" customFormat="1" spans="1:3">
      <c r="A12726" s="6"/>
      <c r="B12726" s="6"/>
      <c r="C12726" s="6"/>
    </row>
    <row r="12727" s="1" customFormat="1" spans="1:3">
      <c r="A12727" s="6"/>
      <c r="B12727" s="6"/>
      <c r="C12727" s="6"/>
    </row>
    <row r="12728" s="1" customFormat="1" spans="1:3">
      <c r="A12728" s="6"/>
      <c r="B12728" s="6"/>
      <c r="C12728" s="6"/>
    </row>
    <row r="12729" s="1" customFormat="1" spans="1:3">
      <c r="A12729" s="6"/>
      <c r="B12729" s="6"/>
      <c r="C12729" s="6"/>
    </row>
    <row r="12730" s="1" customFormat="1" spans="1:3">
      <c r="A12730" s="6"/>
      <c r="B12730" s="6"/>
      <c r="C12730" s="6"/>
    </row>
    <row r="12731" s="1" customFormat="1" spans="1:3">
      <c r="A12731" s="6"/>
      <c r="B12731" s="6"/>
      <c r="C12731" s="6"/>
    </row>
    <row r="12732" s="1" customFormat="1" spans="1:3">
      <c r="A12732" s="6"/>
      <c r="B12732" s="6"/>
      <c r="C12732" s="6"/>
    </row>
    <row r="12733" s="1" customFormat="1" spans="1:3">
      <c r="A12733" s="6"/>
      <c r="B12733" s="6"/>
      <c r="C12733" s="6"/>
    </row>
    <row r="12734" s="1" customFormat="1" spans="1:3">
      <c r="A12734" s="6"/>
      <c r="B12734" s="6"/>
      <c r="C12734" s="6"/>
    </row>
    <row r="12735" s="1" customFormat="1" spans="1:3">
      <c r="A12735" s="6"/>
      <c r="B12735" s="6"/>
      <c r="C12735" s="6"/>
    </row>
    <row r="12736" s="1" customFormat="1" spans="1:3">
      <c r="A12736" s="6"/>
      <c r="B12736" s="6"/>
      <c r="C12736" s="6"/>
    </row>
    <row r="12737" s="1" customFormat="1" spans="1:3">
      <c r="A12737" s="6"/>
      <c r="B12737" s="6"/>
      <c r="C12737" s="6"/>
    </row>
    <row r="12738" s="1" customFormat="1" spans="1:3">
      <c r="A12738" s="6"/>
      <c r="B12738" s="6"/>
      <c r="C12738" s="6"/>
    </row>
    <row r="12739" s="1" customFormat="1" spans="1:3">
      <c r="A12739" s="6"/>
      <c r="B12739" s="6"/>
      <c r="C12739" s="6"/>
    </row>
    <row r="12740" s="1" customFormat="1" spans="1:3">
      <c r="A12740" s="6"/>
      <c r="B12740" s="6"/>
      <c r="C12740" s="6"/>
    </row>
    <row r="12741" s="1" customFormat="1" spans="1:3">
      <c r="A12741" s="6"/>
      <c r="B12741" s="6"/>
      <c r="C12741" s="6"/>
    </row>
    <row r="12742" s="1" customFormat="1" spans="1:3">
      <c r="A12742" s="6"/>
      <c r="B12742" s="6"/>
      <c r="C12742" s="6"/>
    </row>
    <row r="12743" s="1" customFormat="1" spans="1:3">
      <c r="A12743" s="6"/>
      <c r="B12743" s="6"/>
      <c r="C12743" s="6"/>
    </row>
    <row r="12744" s="1" customFormat="1" spans="1:3">
      <c r="A12744" s="6"/>
      <c r="B12744" s="6"/>
      <c r="C12744" s="6"/>
    </row>
    <row r="12745" s="1" customFormat="1" spans="1:3">
      <c r="A12745" s="6"/>
      <c r="B12745" s="6"/>
      <c r="C12745" s="6"/>
    </row>
    <row r="12746" s="1" customFormat="1" spans="1:3">
      <c r="A12746" s="6"/>
      <c r="B12746" s="6"/>
      <c r="C12746" s="6"/>
    </row>
    <row r="12747" s="1" customFormat="1" spans="1:3">
      <c r="A12747" s="6"/>
      <c r="B12747" s="6"/>
      <c r="C12747" s="6"/>
    </row>
    <row r="12748" s="1" customFormat="1" spans="1:3">
      <c r="A12748" s="6"/>
      <c r="B12748" s="6"/>
      <c r="C12748" s="6"/>
    </row>
    <row r="12749" s="1" customFormat="1" spans="1:3">
      <c r="A12749" s="6"/>
      <c r="B12749" s="6"/>
      <c r="C12749" s="6"/>
    </row>
    <row r="12750" s="1" customFormat="1" spans="1:3">
      <c r="A12750" s="6"/>
      <c r="B12750" s="6"/>
      <c r="C12750" s="6"/>
    </row>
    <row r="12751" s="1" customFormat="1" spans="1:3">
      <c r="A12751" s="6"/>
      <c r="B12751" s="6"/>
      <c r="C12751" s="6"/>
    </row>
    <row r="12752" s="1" customFormat="1" spans="1:3">
      <c r="A12752" s="6"/>
      <c r="B12752" s="6"/>
      <c r="C12752" s="6"/>
    </row>
    <row r="12753" s="1" customFormat="1" spans="1:3">
      <c r="A12753" s="6"/>
      <c r="B12753" s="6"/>
      <c r="C12753" s="6"/>
    </row>
    <row r="12754" s="1" customFormat="1" spans="1:3">
      <c r="A12754" s="6"/>
      <c r="B12754" s="6"/>
      <c r="C12754" s="6"/>
    </row>
    <row r="12755" s="1" customFormat="1" spans="1:3">
      <c r="A12755" s="6"/>
      <c r="B12755" s="6"/>
      <c r="C12755" s="6"/>
    </row>
    <row r="12756" s="1" customFormat="1" spans="1:3">
      <c r="A12756" s="6"/>
      <c r="B12756" s="6"/>
      <c r="C12756" s="6"/>
    </row>
    <row r="12757" s="1" customFormat="1" spans="1:3">
      <c r="A12757" s="6"/>
      <c r="B12757" s="6"/>
      <c r="C12757" s="6"/>
    </row>
    <row r="12758" s="1" customFormat="1" spans="1:3">
      <c r="A12758" s="6"/>
      <c r="B12758" s="6"/>
      <c r="C12758" s="6"/>
    </row>
    <row r="12759" s="1" customFormat="1" spans="1:3">
      <c r="A12759" s="6"/>
      <c r="B12759" s="6"/>
      <c r="C12759" s="6"/>
    </row>
    <row r="12760" s="1" customFormat="1" spans="1:3">
      <c r="A12760" s="6"/>
      <c r="B12760" s="6"/>
      <c r="C12760" s="6"/>
    </row>
    <row r="12761" s="1" customFormat="1" spans="1:3">
      <c r="A12761" s="6"/>
      <c r="B12761" s="6"/>
      <c r="C12761" s="6"/>
    </row>
    <row r="12762" s="1" customFormat="1" spans="1:3">
      <c r="A12762" s="6"/>
      <c r="B12762" s="6"/>
      <c r="C12762" s="6"/>
    </row>
    <row r="12763" s="1" customFormat="1" spans="1:3">
      <c r="A12763" s="6"/>
      <c r="B12763" s="6"/>
      <c r="C12763" s="6"/>
    </row>
    <row r="12764" s="1" customFormat="1" spans="1:3">
      <c r="A12764" s="6"/>
      <c r="B12764" s="6"/>
      <c r="C12764" s="6"/>
    </row>
    <row r="12765" s="1" customFormat="1" spans="1:3">
      <c r="A12765" s="6"/>
      <c r="B12765" s="6"/>
      <c r="C12765" s="6"/>
    </row>
    <row r="12766" s="1" customFormat="1" spans="1:3">
      <c r="A12766" s="6"/>
      <c r="B12766" s="6"/>
      <c r="C12766" s="6"/>
    </row>
    <row r="12767" s="1" customFormat="1" spans="1:3">
      <c r="A12767" s="6"/>
      <c r="B12767" s="6"/>
      <c r="C12767" s="6"/>
    </row>
    <row r="12768" s="1" customFormat="1" spans="1:3">
      <c r="A12768" s="6"/>
      <c r="B12768" s="6"/>
      <c r="C12768" s="6"/>
    </row>
    <row r="12769" s="1" customFormat="1" spans="1:3">
      <c r="A12769" s="6"/>
      <c r="B12769" s="6"/>
      <c r="C12769" s="6"/>
    </row>
    <row r="12770" s="1" customFormat="1" spans="1:3">
      <c r="A12770" s="6"/>
      <c r="B12770" s="6"/>
      <c r="C12770" s="6"/>
    </row>
    <row r="12771" s="1" customFormat="1" spans="1:3">
      <c r="A12771" s="6"/>
      <c r="B12771" s="6"/>
      <c r="C12771" s="6"/>
    </row>
    <row r="12772" s="1" customFormat="1" spans="1:3">
      <c r="A12772" s="6"/>
      <c r="B12772" s="6"/>
      <c r="C12772" s="6"/>
    </row>
    <row r="12773" s="1" customFormat="1" spans="1:3">
      <c r="A12773" s="6"/>
      <c r="B12773" s="6"/>
      <c r="C12773" s="6"/>
    </row>
    <row r="12774" s="1" customFormat="1" spans="1:3">
      <c r="A12774" s="6"/>
      <c r="B12774" s="6"/>
      <c r="C12774" s="6"/>
    </row>
    <row r="12775" s="1" customFormat="1" spans="1:3">
      <c r="A12775" s="6"/>
      <c r="B12775" s="6"/>
      <c r="C12775" s="6"/>
    </row>
    <row r="12776" s="1" customFormat="1" spans="1:3">
      <c r="A12776" s="6"/>
      <c r="B12776" s="6"/>
      <c r="C12776" s="6"/>
    </row>
    <row r="12777" s="1" customFormat="1" spans="1:3">
      <c r="A12777" s="6"/>
      <c r="B12777" s="6"/>
      <c r="C12777" s="6"/>
    </row>
    <row r="12778" s="1" customFormat="1" spans="1:3">
      <c r="A12778" s="6"/>
      <c r="B12778" s="6"/>
      <c r="C12778" s="6"/>
    </row>
    <row r="12779" s="1" customFormat="1" spans="1:3">
      <c r="A12779" s="6"/>
      <c r="B12779" s="6"/>
      <c r="C12779" s="6"/>
    </row>
    <row r="12780" s="1" customFormat="1" spans="1:3">
      <c r="A12780" s="6"/>
      <c r="B12780" s="6"/>
      <c r="C12780" s="6"/>
    </row>
    <row r="12781" s="1" customFormat="1" spans="1:3">
      <c r="A12781" s="6"/>
      <c r="B12781" s="6"/>
      <c r="C12781" s="6"/>
    </row>
    <row r="12782" s="1" customFormat="1" spans="1:3">
      <c r="A12782" s="6"/>
      <c r="B12782" s="6"/>
      <c r="C12782" s="6"/>
    </row>
    <row r="12783" s="1" customFormat="1" spans="1:3">
      <c r="A12783" s="6"/>
      <c r="B12783" s="6"/>
      <c r="C12783" s="6"/>
    </row>
    <row r="12784" s="1" customFormat="1" spans="1:3">
      <c r="A12784" s="6"/>
      <c r="B12784" s="6"/>
      <c r="C12784" s="6"/>
    </row>
    <row r="12785" s="1" customFormat="1" spans="1:3">
      <c r="A12785" s="6"/>
      <c r="B12785" s="6"/>
      <c r="C12785" s="6"/>
    </row>
    <row r="12786" s="1" customFormat="1" spans="1:3">
      <c r="A12786" s="6"/>
      <c r="B12786" s="6"/>
      <c r="C12786" s="6"/>
    </row>
    <row r="12787" s="1" customFormat="1" spans="1:3">
      <c r="A12787" s="6"/>
      <c r="B12787" s="6"/>
      <c r="C12787" s="6"/>
    </row>
    <row r="12788" s="1" customFormat="1" spans="1:3">
      <c r="A12788" s="6"/>
      <c r="B12788" s="6"/>
      <c r="C12788" s="6"/>
    </row>
    <row r="12789" s="1" customFormat="1" spans="1:3">
      <c r="A12789" s="6"/>
      <c r="B12789" s="6"/>
      <c r="C12789" s="6"/>
    </row>
    <row r="12790" s="1" customFormat="1" spans="1:3">
      <c r="A12790" s="6"/>
      <c r="B12790" s="6"/>
      <c r="C12790" s="6"/>
    </row>
    <row r="12791" s="1" customFormat="1" spans="1:3">
      <c r="A12791" s="6"/>
      <c r="B12791" s="6"/>
      <c r="C12791" s="6"/>
    </row>
    <row r="12792" s="1" customFormat="1" spans="1:3">
      <c r="A12792" s="6"/>
      <c r="B12792" s="6"/>
      <c r="C12792" s="6"/>
    </row>
    <row r="12793" s="1" customFormat="1" spans="1:3">
      <c r="A12793" s="6"/>
      <c r="B12793" s="6"/>
      <c r="C12793" s="6"/>
    </row>
    <row r="12794" s="1" customFormat="1" spans="1:3">
      <c r="A12794" s="6"/>
      <c r="B12794" s="6"/>
      <c r="C12794" s="6"/>
    </row>
    <row r="12795" s="1" customFormat="1" spans="1:3">
      <c r="A12795" s="6"/>
      <c r="B12795" s="6"/>
      <c r="C12795" s="6"/>
    </row>
    <row r="12796" s="1" customFormat="1" spans="1:3">
      <c r="A12796" s="6"/>
      <c r="B12796" s="6"/>
      <c r="C12796" s="6"/>
    </row>
    <row r="12797" s="1" customFormat="1" spans="1:3">
      <c r="A12797" s="6"/>
      <c r="B12797" s="6"/>
      <c r="C12797" s="6"/>
    </row>
    <row r="12798" s="1" customFormat="1" spans="1:3">
      <c r="A12798" s="6"/>
      <c r="B12798" s="6"/>
      <c r="C12798" s="6"/>
    </row>
    <row r="12799" s="1" customFormat="1" spans="1:3">
      <c r="A12799" s="6"/>
      <c r="B12799" s="6"/>
      <c r="C12799" s="6"/>
    </row>
    <row r="12800" s="1" customFormat="1" spans="1:3">
      <c r="A12800" s="6"/>
      <c r="B12800" s="6"/>
      <c r="C12800" s="6"/>
    </row>
    <row r="12801" s="1" customFormat="1" spans="1:3">
      <c r="A12801" s="6"/>
      <c r="B12801" s="6"/>
      <c r="C12801" s="6"/>
    </row>
    <row r="12802" s="1" customFormat="1" spans="1:3">
      <c r="A12802" s="6"/>
      <c r="B12802" s="6"/>
      <c r="C12802" s="6"/>
    </row>
    <row r="12803" s="1" customFormat="1" spans="1:3">
      <c r="A12803" s="6"/>
      <c r="B12803" s="6"/>
      <c r="C12803" s="6"/>
    </row>
    <row r="12804" s="1" customFormat="1" spans="1:3">
      <c r="A12804" s="6"/>
      <c r="B12804" s="6"/>
      <c r="C12804" s="6"/>
    </row>
    <row r="12805" s="1" customFormat="1" spans="1:3">
      <c r="A12805" s="6"/>
      <c r="B12805" s="6"/>
      <c r="C12805" s="6"/>
    </row>
    <row r="12806" s="1" customFormat="1" spans="1:3">
      <c r="A12806" s="6"/>
      <c r="B12806" s="6"/>
      <c r="C12806" s="6"/>
    </row>
    <row r="12807" s="1" customFormat="1" spans="1:3">
      <c r="A12807" s="6"/>
      <c r="B12807" s="6"/>
      <c r="C12807" s="6"/>
    </row>
    <row r="12808" s="1" customFormat="1" spans="1:3">
      <c r="A12808" s="6"/>
      <c r="B12808" s="6"/>
      <c r="C12808" s="6"/>
    </row>
    <row r="12809" s="1" customFormat="1" spans="1:3">
      <c r="A12809" s="6"/>
      <c r="B12809" s="6"/>
      <c r="C12809" s="6"/>
    </row>
    <row r="12810" s="1" customFormat="1" spans="1:3">
      <c r="A12810" s="6"/>
      <c r="B12810" s="6"/>
      <c r="C12810" s="6"/>
    </row>
    <row r="12811" s="1" customFormat="1" spans="1:3">
      <c r="A12811" s="6"/>
      <c r="B12811" s="6"/>
      <c r="C12811" s="6"/>
    </row>
    <row r="12812" s="1" customFormat="1" spans="1:3">
      <c r="A12812" s="6"/>
      <c r="B12812" s="6"/>
      <c r="C12812" s="6"/>
    </row>
    <row r="12813" s="1" customFormat="1" spans="1:3">
      <c r="A12813" s="6"/>
      <c r="B12813" s="6"/>
      <c r="C12813" s="6"/>
    </row>
    <row r="12814" s="1" customFormat="1" spans="1:3">
      <c r="A12814" s="6"/>
      <c r="B12814" s="6"/>
      <c r="C12814" s="6"/>
    </row>
    <row r="12815" s="1" customFormat="1" spans="1:3">
      <c r="A12815" s="6"/>
      <c r="B12815" s="6"/>
      <c r="C12815" s="6"/>
    </row>
    <row r="12816" s="1" customFormat="1" spans="1:3">
      <c r="A12816" s="6"/>
      <c r="B12816" s="6"/>
      <c r="C12816" s="6"/>
    </row>
    <row r="12817" s="1" customFormat="1" spans="1:3">
      <c r="A12817" s="6"/>
      <c r="B12817" s="6"/>
      <c r="C12817" s="6"/>
    </row>
    <row r="12818" s="1" customFormat="1" spans="1:3">
      <c r="A12818" s="6"/>
      <c r="B12818" s="6"/>
      <c r="C12818" s="6"/>
    </row>
    <row r="12819" s="1" customFormat="1" spans="1:3">
      <c r="A12819" s="6"/>
      <c r="B12819" s="6"/>
      <c r="C12819" s="6"/>
    </row>
    <row r="12820" s="1" customFormat="1" spans="1:3">
      <c r="A12820" s="6"/>
      <c r="B12820" s="6"/>
      <c r="C12820" s="6"/>
    </row>
    <row r="12821" s="1" customFormat="1" spans="1:3">
      <c r="A12821" s="6"/>
      <c r="B12821" s="6"/>
      <c r="C12821" s="6"/>
    </row>
    <row r="12822" s="1" customFormat="1" spans="1:3">
      <c r="A12822" s="6"/>
      <c r="B12822" s="6"/>
      <c r="C12822" s="6"/>
    </row>
    <row r="12823" s="1" customFormat="1" spans="1:3">
      <c r="A12823" s="6"/>
      <c r="B12823" s="6"/>
      <c r="C12823" s="6"/>
    </row>
    <row r="12824" s="1" customFormat="1" spans="1:3">
      <c r="A12824" s="6"/>
      <c r="B12824" s="6"/>
      <c r="C12824" s="6"/>
    </row>
    <row r="12825" s="1" customFormat="1" spans="1:3">
      <c r="A12825" s="6"/>
      <c r="B12825" s="6"/>
      <c r="C12825" s="6"/>
    </row>
    <row r="12826" s="1" customFormat="1" spans="1:3">
      <c r="A12826" s="6"/>
      <c r="B12826" s="6"/>
      <c r="C12826" s="6"/>
    </row>
    <row r="12827" s="1" customFormat="1" spans="1:3">
      <c r="A12827" s="6"/>
      <c r="B12827" s="6"/>
      <c r="C12827" s="6"/>
    </row>
    <row r="12828" s="1" customFormat="1" spans="1:3">
      <c r="A12828" s="6"/>
      <c r="B12828" s="6"/>
      <c r="C12828" s="6"/>
    </row>
    <row r="12829" s="1" customFormat="1" spans="1:3">
      <c r="A12829" s="6"/>
      <c r="B12829" s="6"/>
      <c r="C12829" s="6"/>
    </row>
    <row r="12830" s="1" customFormat="1" spans="1:3">
      <c r="A12830" s="6"/>
      <c r="B12830" s="6"/>
      <c r="C12830" s="6"/>
    </row>
    <row r="12831" s="1" customFormat="1" spans="1:3">
      <c r="A12831" s="6"/>
      <c r="B12831" s="6"/>
      <c r="C12831" s="6"/>
    </row>
    <row r="12832" s="1" customFormat="1" spans="1:3">
      <c r="A12832" s="6"/>
      <c r="B12832" s="6"/>
      <c r="C12832" s="6"/>
    </row>
    <row r="12833" s="1" customFormat="1" spans="1:3">
      <c r="A12833" s="6"/>
      <c r="B12833" s="6"/>
      <c r="C12833" s="6"/>
    </row>
    <row r="12834" s="1" customFormat="1" spans="1:3">
      <c r="A12834" s="6"/>
      <c r="B12834" s="6"/>
      <c r="C12834" s="6"/>
    </row>
    <row r="12835" s="1" customFormat="1" spans="1:3">
      <c r="A12835" s="6"/>
      <c r="B12835" s="6"/>
      <c r="C12835" s="6"/>
    </row>
    <row r="12836" s="1" customFormat="1" spans="1:3">
      <c r="A12836" s="6"/>
      <c r="B12836" s="6"/>
      <c r="C12836" s="6"/>
    </row>
    <row r="12837" s="1" customFormat="1" spans="1:3">
      <c r="A12837" s="6"/>
      <c r="B12837" s="6"/>
      <c r="C12837" s="6"/>
    </row>
    <row r="12838" s="1" customFormat="1" spans="1:3">
      <c r="A12838" s="6"/>
      <c r="B12838" s="6"/>
      <c r="C12838" s="6"/>
    </row>
    <row r="12839" s="1" customFormat="1" spans="1:3">
      <c r="A12839" s="6"/>
      <c r="B12839" s="6"/>
      <c r="C12839" s="6"/>
    </row>
    <row r="12840" s="1" customFormat="1" spans="1:3">
      <c r="A12840" s="6"/>
      <c r="B12840" s="6"/>
      <c r="C12840" s="6"/>
    </row>
    <row r="12841" s="1" customFormat="1" spans="1:3">
      <c r="A12841" s="6"/>
      <c r="B12841" s="6"/>
      <c r="C12841" s="6"/>
    </row>
    <row r="12842" s="1" customFormat="1" spans="1:3">
      <c r="A12842" s="6"/>
      <c r="B12842" s="6"/>
      <c r="C12842" s="6"/>
    </row>
    <row r="12843" s="1" customFormat="1" spans="1:3">
      <c r="A12843" s="6"/>
      <c r="B12843" s="6"/>
      <c r="C12843" s="6"/>
    </row>
    <row r="12844" s="1" customFormat="1" spans="1:3">
      <c r="A12844" s="6"/>
      <c r="B12844" s="6"/>
      <c r="C12844" s="6"/>
    </row>
    <row r="12845" s="1" customFormat="1" spans="1:3">
      <c r="A12845" s="6"/>
      <c r="B12845" s="6"/>
      <c r="C12845" s="6"/>
    </row>
    <row r="12846" s="1" customFormat="1" spans="1:3">
      <c r="A12846" s="6"/>
      <c r="B12846" s="6"/>
      <c r="C12846" s="6"/>
    </row>
    <row r="12847" s="1" customFormat="1" spans="1:3">
      <c r="A12847" s="6"/>
      <c r="B12847" s="6"/>
      <c r="C12847" s="6"/>
    </row>
    <row r="12848" s="1" customFormat="1" spans="1:3">
      <c r="A12848" s="6"/>
      <c r="B12848" s="6"/>
      <c r="C12848" s="6"/>
    </row>
    <row r="12849" s="1" customFormat="1" spans="1:3">
      <c r="A12849" s="6"/>
      <c r="B12849" s="6"/>
      <c r="C12849" s="6"/>
    </row>
    <row r="12850" s="1" customFormat="1" spans="1:3">
      <c r="A12850" s="6"/>
      <c r="B12850" s="6"/>
      <c r="C12850" s="6"/>
    </row>
    <row r="12851" s="1" customFormat="1" spans="1:3">
      <c r="A12851" s="6"/>
      <c r="B12851" s="6"/>
      <c r="C12851" s="6"/>
    </row>
    <row r="12852" s="1" customFormat="1" spans="1:3">
      <c r="A12852" s="6"/>
      <c r="B12852" s="6"/>
      <c r="C12852" s="6"/>
    </row>
    <row r="12853" s="1" customFormat="1" spans="1:3">
      <c r="A12853" s="6"/>
      <c r="B12853" s="6"/>
      <c r="C12853" s="6"/>
    </row>
    <row r="12854" s="1" customFormat="1" spans="1:3">
      <c r="A12854" s="6"/>
      <c r="B12854" s="6"/>
      <c r="C12854" s="6"/>
    </row>
    <row r="12855" s="1" customFormat="1" spans="1:3">
      <c r="A12855" s="6"/>
      <c r="B12855" s="6"/>
      <c r="C12855" s="6"/>
    </row>
    <row r="12856" s="1" customFormat="1" spans="1:3">
      <c r="A12856" s="6"/>
      <c r="B12856" s="6"/>
      <c r="C12856" s="6"/>
    </row>
    <row r="12857" s="1" customFormat="1" spans="1:3">
      <c r="A12857" s="6"/>
      <c r="B12857" s="6"/>
      <c r="C12857" s="6"/>
    </row>
    <row r="12858" s="1" customFormat="1" spans="1:3">
      <c r="A12858" s="6"/>
      <c r="B12858" s="6"/>
      <c r="C12858" s="6"/>
    </row>
    <row r="12859" s="1" customFormat="1" spans="1:3">
      <c r="A12859" s="6"/>
      <c r="B12859" s="6"/>
      <c r="C12859" s="6"/>
    </row>
    <row r="12860" s="1" customFormat="1" spans="1:3">
      <c r="A12860" s="6"/>
      <c r="B12860" s="6"/>
      <c r="C12860" s="6"/>
    </row>
    <row r="12861" s="1" customFormat="1" spans="1:3">
      <c r="A12861" s="6"/>
      <c r="B12861" s="6"/>
      <c r="C12861" s="6"/>
    </row>
    <row r="12862" s="1" customFormat="1" spans="1:3">
      <c r="A12862" s="6"/>
      <c r="B12862" s="6"/>
      <c r="C12862" s="6"/>
    </row>
    <row r="12863" s="1" customFormat="1" spans="1:3">
      <c r="A12863" s="6"/>
      <c r="B12863" s="6"/>
      <c r="C12863" s="6"/>
    </row>
    <row r="12864" s="1" customFormat="1" spans="1:3">
      <c r="A12864" s="6"/>
      <c r="B12864" s="6"/>
      <c r="C12864" s="6"/>
    </row>
    <row r="12865" s="1" customFormat="1" spans="1:3">
      <c r="A12865" s="6"/>
      <c r="B12865" s="6"/>
      <c r="C12865" s="6"/>
    </row>
    <row r="12866" s="1" customFormat="1" spans="1:3">
      <c r="A12866" s="6"/>
      <c r="B12866" s="6"/>
      <c r="C12866" s="6"/>
    </row>
    <row r="12867" s="1" customFormat="1" spans="1:3">
      <c r="A12867" s="6"/>
      <c r="B12867" s="6"/>
      <c r="C12867" s="6"/>
    </row>
    <row r="12868" s="1" customFormat="1" spans="1:3">
      <c r="A12868" s="6"/>
      <c r="B12868" s="6"/>
      <c r="C12868" s="6"/>
    </row>
    <row r="12869" s="1" customFormat="1" spans="1:3">
      <c r="A12869" s="6"/>
      <c r="B12869" s="6"/>
      <c r="C12869" s="6"/>
    </row>
    <row r="12870" s="1" customFormat="1" spans="1:3">
      <c r="A12870" s="6"/>
      <c r="B12870" s="6"/>
      <c r="C12870" s="6"/>
    </row>
    <row r="12871" s="1" customFormat="1" spans="1:3">
      <c r="A12871" s="6"/>
      <c r="B12871" s="6"/>
      <c r="C12871" s="6"/>
    </row>
    <row r="12872" s="1" customFormat="1" spans="1:3">
      <c r="A12872" s="6"/>
      <c r="B12872" s="6"/>
      <c r="C12872" s="6"/>
    </row>
    <row r="12873" s="1" customFormat="1" spans="1:3">
      <c r="A12873" s="6"/>
      <c r="B12873" s="6"/>
      <c r="C12873" s="6"/>
    </row>
    <row r="12874" s="1" customFormat="1" spans="1:3">
      <c r="A12874" s="6"/>
      <c r="B12874" s="6"/>
      <c r="C12874" s="6"/>
    </row>
    <row r="12875" s="1" customFormat="1" spans="1:3">
      <c r="A12875" s="6"/>
      <c r="B12875" s="6"/>
      <c r="C12875" s="6"/>
    </row>
    <row r="12876" s="1" customFormat="1" spans="1:3">
      <c r="A12876" s="6"/>
      <c r="B12876" s="6"/>
      <c r="C12876" s="6"/>
    </row>
    <row r="12877" s="1" customFormat="1" spans="1:3">
      <c r="A12877" s="6"/>
      <c r="B12877" s="6"/>
      <c r="C12877" s="6"/>
    </row>
    <row r="12878" s="1" customFormat="1" spans="1:3">
      <c r="A12878" s="6"/>
      <c r="B12878" s="6"/>
      <c r="C12878" s="6"/>
    </row>
    <row r="12879" s="1" customFormat="1" spans="1:3">
      <c r="A12879" s="6"/>
      <c r="B12879" s="6"/>
      <c r="C12879" s="6"/>
    </row>
    <row r="12880" s="1" customFormat="1" spans="1:3">
      <c r="A12880" s="6"/>
      <c r="B12880" s="6"/>
      <c r="C12880" s="6"/>
    </row>
    <row r="12881" s="1" customFormat="1" spans="1:3">
      <c r="A12881" s="6"/>
      <c r="B12881" s="6"/>
      <c r="C12881" s="6"/>
    </row>
    <row r="12882" s="1" customFormat="1" spans="1:3">
      <c r="A12882" s="6"/>
      <c r="B12882" s="6"/>
      <c r="C12882" s="6"/>
    </row>
    <row r="12883" s="1" customFormat="1" spans="1:3">
      <c r="A12883" s="6"/>
      <c r="B12883" s="6"/>
      <c r="C12883" s="6"/>
    </row>
    <row r="12884" s="1" customFormat="1" spans="1:3">
      <c r="A12884" s="6"/>
      <c r="B12884" s="6"/>
      <c r="C12884" s="6"/>
    </row>
    <row r="12885" s="1" customFormat="1" spans="1:3">
      <c r="A12885" s="6"/>
      <c r="B12885" s="6"/>
      <c r="C12885" s="6"/>
    </row>
    <row r="12886" s="1" customFormat="1" spans="1:3">
      <c r="A12886" s="6"/>
      <c r="B12886" s="6"/>
      <c r="C12886" s="6"/>
    </row>
    <row r="12887" s="1" customFormat="1" spans="1:3">
      <c r="A12887" s="6"/>
      <c r="B12887" s="6"/>
      <c r="C12887" s="6"/>
    </row>
    <row r="12888" s="1" customFormat="1" spans="1:3">
      <c r="A12888" s="6"/>
      <c r="B12888" s="6"/>
      <c r="C12888" s="6"/>
    </row>
    <row r="12889" s="1" customFormat="1" spans="1:3">
      <c r="A12889" s="6"/>
      <c r="B12889" s="6"/>
      <c r="C12889" s="6"/>
    </row>
    <row r="12890" s="1" customFormat="1" spans="1:3">
      <c r="A12890" s="6"/>
      <c r="B12890" s="6"/>
      <c r="C12890" s="6"/>
    </row>
    <row r="12891" s="1" customFormat="1" spans="1:3">
      <c r="A12891" s="6"/>
      <c r="B12891" s="6"/>
      <c r="C12891" s="6"/>
    </row>
    <row r="12892" s="1" customFormat="1" spans="1:3">
      <c r="A12892" s="6"/>
      <c r="B12892" s="6"/>
      <c r="C12892" s="6"/>
    </row>
    <row r="12893" s="1" customFormat="1" spans="1:3">
      <c r="A12893" s="6"/>
      <c r="B12893" s="6"/>
      <c r="C12893" s="6"/>
    </row>
    <row r="12894" s="1" customFormat="1" spans="1:3">
      <c r="A12894" s="6"/>
      <c r="B12894" s="6"/>
      <c r="C12894" s="6"/>
    </row>
    <row r="12895" s="1" customFormat="1" spans="1:3">
      <c r="A12895" s="6"/>
      <c r="B12895" s="6"/>
      <c r="C12895" s="6"/>
    </row>
    <row r="12896" s="1" customFormat="1" spans="1:3">
      <c r="A12896" s="6"/>
      <c r="B12896" s="6"/>
      <c r="C12896" s="6"/>
    </row>
    <row r="12897" s="1" customFormat="1" spans="1:3">
      <c r="A12897" s="6"/>
      <c r="B12897" s="6"/>
      <c r="C12897" s="6"/>
    </row>
    <row r="12898" s="1" customFormat="1" spans="1:3">
      <c r="A12898" s="6"/>
      <c r="B12898" s="6"/>
      <c r="C12898" s="6"/>
    </row>
    <row r="12899" s="1" customFormat="1" spans="1:3">
      <c r="A12899" s="6"/>
      <c r="B12899" s="6"/>
      <c r="C12899" s="6"/>
    </row>
    <row r="12900" s="1" customFormat="1" spans="1:3">
      <c r="A12900" s="6"/>
      <c r="B12900" s="6"/>
      <c r="C12900" s="6"/>
    </row>
    <row r="12901" s="1" customFormat="1" spans="1:3">
      <c r="A12901" s="6"/>
      <c r="B12901" s="6"/>
      <c r="C12901" s="6"/>
    </row>
    <row r="12902" s="1" customFormat="1" spans="1:3">
      <c r="A12902" s="6"/>
      <c r="B12902" s="6"/>
      <c r="C12902" s="6"/>
    </row>
    <row r="12903" s="1" customFormat="1" spans="1:3">
      <c r="A12903" s="6"/>
      <c r="B12903" s="6"/>
      <c r="C12903" s="6"/>
    </row>
    <row r="12904" s="1" customFormat="1" spans="1:3">
      <c r="A12904" s="6"/>
      <c r="B12904" s="6"/>
      <c r="C12904" s="6"/>
    </row>
    <row r="12905" s="1" customFormat="1" spans="1:3">
      <c r="A12905" s="6"/>
      <c r="B12905" s="6"/>
      <c r="C12905" s="6"/>
    </row>
    <row r="12906" s="1" customFormat="1" spans="1:3">
      <c r="A12906" s="6"/>
      <c r="B12906" s="6"/>
      <c r="C12906" s="6"/>
    </row>
    <row r="12907" s="1" customFormat="1" spans="1:3">
      <c r="A12907" s="6"/>
      <c r="B12907" s="6"/>
      <c r="C12907" s="6"/>
    </row>
    <row r="12908" s="1" customFormat="1" spans="1:3">
      <c r="A12908" s="6"/>
      <c r="B12908" s="6"/>
      <c r="C12908" s="6"/>
    </row>
    <row r="12909" s="1" customFormat="1" spans="1:3">
      <c r="A12909" s="6"/>
      <c r="B12909" s="6"/>
      <c r="C12909" s="6"/>
    </row>
    <row r="12910" s="1" customFormat="1" spans="1:3">
      <c r="A12910" s="6"/>
      <c r="B12910" s="6"/>
      <c r="C12910" s="6"/>
    </row>
    <row r="12911" s="1" customFormat="1" spans="1:3">
      <c r="A12911" s="6"/>
      <c r="B12911" s="6"/>
      <c r="C12911" s="6"/>
    </row>
    <row r="12912" s="1" customFormat="1" spans="1:3">
      <c r="A12912" s="6"/>
      <c r="B12912" s="6"/>
      <c r="C12912" s="6"/>
    </row>
    <row r="12913" s="1" customFormat="1" spans="1:3">
      <c r="A12913" s="6"/>
      <c r="B12913" s="6"/>
      <c r="C12913" s="6"/>
    </row>
    <row r="12914" s="1" customFormat="1" spans="1:3">
      <c r="A12914" s="6"/>
      <c r="B12914" s="6"/>
      <c r="C12914" s="6"/>
    </row>
    <row r="12915" s="1" customFormat="1" spans="1:3">
      <c r="A12915" s="6"/>
      <c r="B12915" s="6"/>
      <c r="C12915" s="6"/>
    </row>
    <row r="12916" s="1" customFormat="1" spans="1:3">
      <c r="A12916" s="6"/>
      <c r="B12916" s="6"/>
      <c r="C12916" s="6"/>
    </row>
    <row r="12917" s="1" customFormat="1" spans="1:3">
      <c r="A12917" s="6"/>
      <c r="B12917" s="6"/>
      <c r="C12917" s="6"/>
    </row>
    <row r="12918" s="1" customFormat="1" spans="1:3">
      <c r="A12918" s="6"/>
      <c r="B12918" s="6"/>
      <c r="C12918" s="6"/>
    </row>
    <row r="12919" s="1" customFormat="1" spans="1:3">
      <c r="A12919" s="6"/>
      <c r="B12919" s="6"/>
      <c r="C12919" s="6"/>
    </row>
    <row r="12920" s="1" customFormat="1" spans="1:3">
      <c r="A12920" s="6"/>
      <c r="B12920" s="6"/>
      <c r="C12920" s="6"/>
    </row>
    <row r="12921" s="1" customFormat="1" spans="1:3">
      <c r="A12921" s="6"/>
      <c r="B12921" s="6"/>
      <c r="C12921" s="6"/>
    </row>
    <row r="12922" s="1" customFormat="1" spans="1:3">
      <c r="A12922" s="6"/>
      <c r="B12922" s="6"/>
      <c r="C12922" s="6"/>
    </row>
    <row r="12923" s="1" customFormat="1" spans="1:3">
      <c r="A12923" s="6"/>
      <c r="B12923" s="6"/>
      <c r="C12923" s="6"/>
    </row>
    <row r="12924" s="1" customFormat="1" spans="1:3">
      <c r="A12924" s="6"/>
      <c r="B12924" s="6"/>
      <c r="C12924" s="6"/>
    </row>
    <row r="12925" s="1" customFormat="1" spans="1:3">
      <c r="A12925" s="6"/>
      <c r="B12925" s="6"/>
      <c r="C12925" s="6"/>
    </row>
    <row r="12926" s="1" customFormat="1" spans="1:3">
      <c r="A12926" s="6"/>
      <c r="B12926" s="6"/>
      <c r="C12926" s="6"/>
    </row>
    <row r="12927" s="1" customFormat="1" spans="1:3">
      <c r="A12927" s="6"/>
      <c r="B12927" s="6"/>
      <c r="C12927" s="6"/>
    </row>
    <row r="12928" s="1" customFormat="1" spans="1:3">
      <c r="A12928" s="6"/>
      <c r="B12928" s="6"/>
      <c r="C12928" s="6"/>
    </row>
    <row r="12929" s="1" customFormat="1" spans="1:3">
      <c r="A12929" s="6"/>
      <c r="B12929" s="6"/>
      <c r="C12929" s="6"/>
    </row>
    <row r="12930" s="1" customFormat="1" spans="1:3">
      <c r="A12930" s="6"/>
      <c r="B12930" s="6"/>
      <c r="C12930" s="6"/>
    </row>
    <row r="12931" s="1" customFormat="1" spans="1:3">
      <c r="A12931" s="6"/>
      <c r="B12931" s="6"/>
      <c r="C12931" s="6"/>
    </row>
    <row r="12932" s="1" customFormat="1" spans="1:3">
      <c r="A12932" s="6"/>
      <c r="B12932" s="6"/>
      <c r="C12932" s="6"/>
    </row>
    <row r="12933" s="1" customFormat="1" spans="1:3">
      <c r="A12933" s="6"/>
      <c r="B12933" s="6"/>
      <c r="C12933" s="6"/>
    </row>
    <row r="12934" s="1" customFormat="1" spans="1:3">
      <c r="A12934" s="6"/>
      <c r="B12934" s="6"/>
      <c r="C12934" s="6"/>
    </row>
    <row r="12935" s="1" customFormat="1" spans="1:3">
      <c r="A12935" s="6"/>
      <c r="B12935" s="6"/>
      <c r="C12935" s="6"/>
    </row>
    <row r="12936" s="1" customFormat="1" spans="1:3">
      <c r="A12936" s="6"/>
      <c r="B12936" s="6"/>
      <c r="C12936" s="6"/>
    </row>
    <row r="12937" s="1" customFormat="1" spans="1:3">
      <c r="A12937" s="6"/>
      <c r="B12937" s="6"/>
      <c r="C12937" s="6"/>
    </row>
    <row r="12938" s="1" customFormat="1" spans="1:3">
      <c r="A12938" s="6"/>
      <c r="B12938" s="6"/>
      <c r="C12938" s="6"/>
    </row>
    <row r="12939" s="1" customFormat="1" spans="1:3">
      <c r="A12939" s="6"/>
      <c r="B12939" s="6"/>
      <c r="C12939" s="6"/>
    </row>
    <row r="12940" s="1" customFormat="1" spans="1:3">
      <c r="A12940" s="6"/>
      <c r="B12940" s="6"/>
      <c r="C12940" s="6"/>
    </row>
    <row r="12941" s="1" customFormat="1" spans="1:3">
      <c r="A12941" s="6"/>
      <c r="B12941" s="6"/>
      <c r="C12941" s="6"/>
    </row>
    <row r="12942" s="1" customFormat="1" spans="1:3">
      <c r="A12942" s="6"/>
      <c r="B12942" s="6"/>
      <c r="C12942" s="6"/>
    </row>
    <row r="12943" s="1" customFormat="1" spans="1:3">
      <c r="A12943" s="6"/>
      <c r="B12943" s="6"/>
      <c r="C12943" s="6"/>
    </row>
    <row r="12944" s="1" customFormat="1" spans="1:3">
      <c r="A12944" s="6"/>
      <c r="B12944" s="6"/>
      <c r="C12944" s="6"/>
    </row>
    <row r="12945" s="1" customFormat="1" spans="1:3">
      <c r="A12945" s="6"/>
      <c r="B12945" s="6"/>
      <c r="C12945" s="6"/>
    </row>
    <row r="12946" s="1" customFormat="1" spans="1:3">
      <c r="A12946" s="6"/>
      <c r="B12946" s="6"/>
      <c r="C12946" s="6"/>
    </row>
    <row r="12947" s="1" customFormat="1" spans="1:3">
      <c r="A12947" s="6"/>
      <c r="B12947" s="6"/>
      <c r="C12947" s="6"/>
    </row>
    <row r="12948" s="1" customFormat="1" spans="1:3">
      <c r="A12948" s="6"/>
      <c r="B12948" s="6"/>
      <c r="C12948" s="6"/>
    </row>
    <row r="12949" s="1" customFormat="1" spans="1:3">
      <c r="A12949" s="6"/>
      <c r="B12949" s="6"/>
      <c r="C12949" s="6"/>
    </row>
    <row r="12950" s="1" customFormat="1" spans="1:3">
      <c r="A12950" s="6"/>
      <c r="B12950" s="6"/>
      <c r="C12950" s="6"/>
    </row>
    <row r="12951" s="1" customFormat="1" spans="1:3">
      <c r="A12951" s="6"/>
      <c r="B12951" s="6"/>
      <c r="C12951" s="6"/>
    </row>
    <row r="12952" s="1" customFormat="1" spans="1:3">
      <c r="A12952" s="6"/>
      <c r="B12952" s="6"/>
      <c r="C12952" s="6"/>
    </row>
    <row r="12953" s="1" customFormat="1" spans="1:3">
      <c r="A12953" s="6"/>
      <c r="B12953" s="6"/>
      <c r="C12953" s="6"/>
    </row>
    <row r="12954" s="1" customFormat="1" spans="1:3">
      <c r="A12954" s="6"/>
      <c r="B12954" s="6"/>
      <c r="C12954" s="6"/>
    </row>
    <row r="12955" s="1" customFormat="1" spans="1:3">
      <c r="A12955" s="6"/>
      <c r="B12955" s="6"/>
      <c r="C12955" s="6"/>
    </row>
    <row r="12956" s="1" customFormat="1" spans="1:3">
      <c r="A12956" s="6"/>
      <c r="B12956" s="6"/>
      <c r="C12956" s="6"/>
    </row>
    <row r="12957" s="1" customFormat="1" spans="1:3">
      <c r="A12957" s="6"/>
      <c r="B12957" s="6"/>
      <c r="C12957" s="6"/>
    </row>
    <row r="12958" s="1" customFormat="1" spans="1:3">
      <c r="A12958" s="6"/>
      <c r="B12958" s="6"/>
      <c r="C12958" s="6"/>
    </row>
    <row r="12959" s="1" customFormat="1" spans="1:3">
      <c r="A12959" s="6"/>
      <c r="B12959" s="6"/>
      <c r="C12959" s="6"/>
    </row>
    <row r="12960" s="1" customFormat="1" spans="1:3">
      <c r="A12960" s="6"/>
      <c r="B12960" s="6"/>
      <c r="C12960" s="6"/>
    </row>
    <row r="12961" s="1" customFormat="1" spans="1:3">
      <c r="A12961" s="6"/>
      <c r="B12961" s="6"/>
      <c r="C12961" s="6"/>
    </row>
    <row r="12962" s="1" customFormat="1" spans="1:3">
      <c r="A12962" s="6"/>
      <c r="B12962" s="6"/>
      <c r="C12962" s="6"/>
    </row>
    <row r="12963" s="1" customFormat="1" spans="1:3">
      <c r="A12963" s="6"/>
      <c r="B12963" s="6"/>
      <c r="C12963" s="6"/>
    </row>
    <row r="12964" s="1" customFormat="1" spans="1:3">
      <c r="A12964" s="6"/>
      <c r="B12964" s="6"/>
      <c r="C12964" s="6"/>
    </row>
    <row r="12965" s="1" customFormat="1" spans="1:3">
      <c r="A12965" s="6"/>
      <c r="B12965" s="6"/>
      <c r="C12965" s="6"/>
    </row>
    <row r="12966" s="1" customFormat="1" spans="1:3">
      <c r="A12966" s="6"/>
      <c r="B12966" s="6"/>
      <c r="C12966" s="6"/>
    </row>
    <row r="12967" s="1" customFormat="1" spans="1:3">
      <c r="A12967" s="6"/>
      <c r="B12967" s="6"/>
      <c r="C12967" s="6"/>
    </row>
    <row r="12968" s="1" customFormat="1" spans="1:3">
      <c r="A12968" s="6"/>
      <c r="B12968" s="6"/>
      <c r="C12968" s="6"/>
    </row>
    <row r="12969" s="1" customFormat="1" spans="1:3">
      <c r="A12969" s="6"/>
      <c r="B12969" s="6"/>
      <c r="C12969" s="6"/>
    </row>
    <row r="12970" s="1" customFormat="1" spans="1:3">
      <c r="A12970" s="6"/>
      <c r="B12970" s="6"/>
      <c r="C12970" s="6"/>
    </row>
    <row r="12971" s="1" customFormat="1" spans="1:3">
      <c r="A12971" s="6"/>
      <c r="B12971" s="6"/>
      <c r="C12971" s="6"/>
    </row>
    <row r="12972" s="1" customFormat="1" spans="1:3">
      <c r="A12972" s="6"/>
      <c r="B12972" s="6"/>
      <c r="C12972" s="6"/>
    </row>
    <row r="12973" s="1" customFormat="1" spans="1:3">
      <c r="A12973" s="6"/>
      <c r="B12973" s="6"/>
      <c r="C12973" s="6"/>
    </row>
    <row r="12974" s="1" customFormat="1" spans="1:3">
      <c r="A12974" s="6"/>
      <c r="B12974" s="6"/>
      <c r="C12974" s="6"/>
    </row>
    <row r="12975" s="1" customFormat="1" spans="1:3">
      <c r="A12975" s="6"/>
      <c r="B12975" s="6"/>
      <c r="C12975" s="6"/>
    </row>
    <row r="12976" s="1" customFormat="1" spans="1:3">
      <c r="A12976" s="6"/>
      <c r="B12976" s="6"/>
      <c r="C12976" s="6"/>
    </row>
    <row r="12977" s="1" customFormat="1" spans="1:3">
      <c r="A12977" s="6"/>
      <c r="B12977" s="6"/>
      <c r="C12977" s="6"/>
    </row>
    <row r="12978" s="1" customFormat="1" spans="1:3">
      <c r="A12978" s="6"/>
      <c r="B12978" s="6"/>
      <c r="C12978" s="6"/>
    </row>
    <row r="12979" s="1" customFormat="1" spans="1:3">
      <c r="A12979" s="6"/>
      <c r="B12979" s="6"/>
      <c r="C12979" s="6"/>
    </row>
    <row r="12980" s="1" customFormat="1" spans="1:3">
      <c r="A12980" s="6"/>
      <c r="B12980" s="6"/>
      <c r="C12980" s="6"/>
    </row>
    <row r="12981" s="1" customFormat="1" spans="1:3">
      <c r="A12981" s="6"/>
      <c r="B12981" s="6"/>
      <c r="C12981" s="6"/>
    </row>
    <row r="12982" s="1" customFormat="1" spans="1:3">
      <c r="A12982" s="6"/>
      <c r="B12982" s="6"/>
      <c r="C12982" s="6"/>
    </row>
    <row r="12983" s="1" customFormat="1" spans="1:3">
      <c r="A12983" s="6"/>
      <c r="B12983" s="6"/>
      <c r="C12983" s="6"/>
    </row>
    <row r="12984" s="1" customFormat="1" spans="1:3">
      <c r="A12984" s="6"/>
      <c r="B12984" s="6"/>
      <c r="C12984" s="6"/>
    </row>
    <row r="12985" s="1" customFormat="1" spans="1:3">
      <c r="A12985" s="6"/>
      <c r="B12985" s="6"/>
      <c r="C12985" s="6"/>
    </row>
    <row r="12986" s="1" customFormat="1" spans="1:3">
      <c r="A12986" s="6"/>
      <c r="B12986" s="6"/>
      <c r="C12986" s="6"/>
    </row>
    <row r="12987" s="1" customFormat="1" spans="1:3">
      <c r="A12987" s="6"/>
      <c r="B12987" s="6"/>
      <c r="C12987" s="6"/>
    </row>
    <row r="12988" s="1" customFormat="1" spans="1:3">
      <c r="A12988" s="6"/>
      <c r="B12988" s="6"/>
      <c r="C12988" s="6"/>
    </row>
    <row r="12989" s="1" customFormat="1" spans="1:3">
      <c r="A12989" s="6"/>
      <c r="B12989" s="6"/>
      <c r="C12989" s="6"/>
    </row>
    <row r="12990" s="1" customFormat="1" spans="1:3">
      <c r="A12990" s="6"/>
      <c r="B12990" s="6"/>
      <c r="C12990" s="6"/>
    </row>
    <row r="12991" s="1" customFormat="1" spans="1:3">
      <c r="A12991" s="6"/>
      <c r="B12991" s="6"/>
      <c r="C12991" s="6"/>
    </row>
    <row r="12992" s="1" customFormat="1" spans="1:3">
      <c r="A12992" s="6"/>
      <c r="B12992" s="6"/>
      <c r="C12992" s="6"/>
    </row>
    <row r="12993" s="1" customFormat="1" spans="1:3">
      <c r="A12993" s="6"/>
      <c r="B12993" s="6"/>
      <c r="C12993" s="6"/>
    </row>
    <row r="12994" s="1" customFormat="1" spans="1:3">
      <c r="A12994" s="6"/>
      <c r="B12994" s="6"/>
      <c r="C12994" s="6"/>
    </row>
    <row r="12995" s="1" customFormat="1" spans="1:3">
      <c r="A12995" s="6"/>
      <c r="B12995" s="6"/>
      <c r="C12995" s="6"/>
    </row>
    <row r="12996" s="1" customFormat="1" spans="1:3">
      <c r="A12996" s="6"/>
      <c r="B12996" s="6"/>
      <c r="C12996" s="6"/>
    </row>
    <row r="12997" s="1" customFormat="1" spans="1:3">
      <c r="A12997" s="6"/>
      <c r="B12997" s="6"/>
      <c r="C12997" s="6"/>
    </row>
    <row r="12998" s="1" customFormat="1" spans="1:3">
      <c r="A12998" s="6"/>
      <c r="B12998" s="6"/>
      <c r="C12998" s="6"/>
    </row>
    <row r="12999" s="1" customFormat="1" spans="1:3">
      <c r="A12999" s="6"/>
      <c r="B12999" s="6"/>
      <c r="C12999" s="6"/>
    </row>
    <row r="13000" s="1" customFormat="1" spans="1:3">
      <c r="A13000" s="6"/>
      <c r="B13000" s="6"/>
      <c r="C13000" s="6"/>
    </row>
    <row r="13001" s="1" customFormat="1" spans="1:3">
      <c r="A13001" s="6"/>
      <c r="B13001" s="6"/>
      <c r="C13001" s="6"/>
    </row>
    <row r="13002" s="1" customFormat="1" spans="1:3">
      <c r="A13002" s="6"/>
      <c r="B13002" s="6"/>
      <c r="C13002" s="6"/>
    </row>
    <row r="13003" s="1" customFormat="1" spans="1:3">
      <c r="A13003" s="6"/>
      <c r="B13003" s="6"/>
      <c r="C13003" s="6"/>
    </row>
    <row r="13004" s="1" customFormat="1" spans="1:3">
      <c r="A13004" s="6"/>
      <c r="B13004" s="6"/>
      <c r="C13004" s="6"/>
    </row>
    <row r="13005" s="1" customFormat="1" spans="1:3">
      <c r="A13005" s="6"/>
      <c r="B13005" s="6"/>
      <c r="C13005" s="6"/>
    </row>
    <row r="13006" s="1" customFormat="1" spans="1:3">
      <c r="A13006" s="6"/>
      <c r="B13006" s="6"/>
      <c r="C13006" s="6"/>
    </row>
    <row r="13007" s="1" customFormat="1" spans="1:3">
      <c r="A13007" s="6"/>
      <c r="B13007" s="6"/>
      <c r="C13007" s="6"/>
    </row>
    <row r="13008" s="1" customFormat="1" spans="1:3">
      <c r="A13008" s="6"/>
      <c r="B13008" s="6"/>
      <c r="C13008" s="6"/>
    </row>
    <row r="13009" s="1" customFormat="1" spans="1:3">
      <c r="A13009" s="6"/>
      <c r="B13009" s="6"/>
      <c r="C13009" s="6"/>
    </row>
    <row r="13010" s="1" customFormat="1" spans="1:3">
      <c r="A13010" s="6"/>
      <c r="B13010" s="6"/>
      <c r="C13010" s="6"/>
    </row>
    <row r="13011" s="1" customFormat="1" spans="1:3">
      <c r="A13011" s="6"/>
      <c r="B13011" s="6"/>
      <c r="C13011" s="6"/>
    </row>
    <row r="13012" s="1" customFormat="1" spans="1:3">
      <c r="A13012" s="6"/>
      <c r="B13012" s="6"/>
      <c r="C13012" s="6"/>
    </row>
    <row r="13013" s="1" customFormat="1" spans="1:3">
      <c r="A13013" s="6"/>
      <c r="B13013" s="6"/>
      <c r="C13013" s="6"/>
    </row>
    <row r="13014" s="1" customFormat="1" spans="1:3">
      <c r="A13014" s="6"/>
      <c r="B13014" s="6"/>
      <c r="C13014" s="6"/>
    </row>
    <row r="13015" s="1" customFormat="1" spans="1:3">
      <c r="A13015" s="6"/>
      <c r="B13015" s="6"/>
      <c r="C13015" s="6"/>
    </row>
    <row r="13016" s="1" customFormat="1" spans="1:3">
      <c r="A13016" s="6"/>
      <c r="B13016" s="6"/>
      <c r="C13016" s="6"/>
    </row>
    <row r="13017" s="1" customFormat="1" spans="1:3">
      <c r="A13017" s="6"/>
      <c r="B13017" s="6"/>
      <c r="C13017" s="6"/>
    </row>
    <row r="13018" s="1" customFormat="1" spans="1:3">
      <c r="A13018" s="6"/>
      <c r="B13018" s="6"/>
      <c r="C13018" s="6"/>
    </row>
    <row r="13019" s="1" customFormat="1" spans="1:3">
      <c r="A13019" s="6"/>
      <c r="B13019" s="6"/>
      <c r="C13019" s="6"/>
    </row>
    <row r="13020" s="1" customFormat="1" spans="1:3">
      <c r="A13020" s="6"/>
      <c r="B13020" s="6"/>
      <c r="C13020" s="6"/>
    </row>
    <row r="13021" s="1" customFormat="1" spans="1:3">
      <c r="A13021" s="6"/>
      <c r="B13021" s="6"/>
      <c r="C13021" s="6"/>
    </row>
    <row r="13022" s="1" customFormat="1" spans="1:3">
      <c r="A13022" s="6"/>
      <c r="B13022" s="6"/>
      <c r="C13022" s="6"/>
    </row>
    <row r="13023" s="1" customFormat="1" spans="1:3">
      <c r="A13023" s="6"/>
      <c r="B13023" s="6"/>
      <c r="C13023" s="6"/>
    </row>
    <row r="13024" s="1" customFormat="1" spans="1:3">
      <c r="A13024" s="6"/>
      <c r="B13024" s="6"/>
      <c r="C13024" s="6"/>
    </row>
    <row r="13025" s="1" customFormat="1" spans="1:3">
      <c r="A13025" s="6"/>
      <c r="B13025" s="6"/>
      <c r="C13025" s="6"/>
    </row>
    <row r="13026" s="1" customFormat="1" spans="1:3">
      <c r="A13026" s="6"/>
      <c r="B13026" s="6"/>
      <c r="C13026" s="6"/>
    </row>
    <row r="13027" s="1" customFormat="1" spans="1:3">
      <c r="A13027" s="6"/>
      <c r="B13027" s="6"/>
      <c r="C13027" s="6"/>
    </row>
    <row r="13028" s="1" customFormat="1" spans="1:3">
      <c r="A13028" s="6"/>
      <c r="B13028" s="6"/>
      <c r="C13028" s="6"/>
    </row>
    <row r="13029" s="1" customFormat="1" spans="1:3">
      <c r="A13029" s="6"/>
      <c r="B13029" s="6"/>
      <c r="C13029" s="6"/>
    </row>
    <row r="13030" s="1" customFormat="1" spans="1:3">
      <c r="A13030" s="6"/>
      <c r="B13030" s="6"/>
      <c r="C13030" s="6"/>
    </row>
    <row r="13031" s="1" customFormat="1" spans="1:3">
      <c r="A13031" s="6"/>
      <c r="B13031" s="6"/>
      <c r="C13031" s="6"/>
    </row>
    <row r="13032" s="1" customFormat="1" spans="1:3">
      <c r="A13032" s="6"/>
      <c r="B13032" s="6"/>
      <c r="C13032" s="6"/>
    </row>
    <row r="13033" s="1" customFormat="1" spans="1:3">
      <c r="A13033" s="6"/>
      <c r="B13033" s="6"/>
      <c r="C13033" s="6"/>
    </row>
    <row r="13034" s="1" customFormat="1" spans="1:3">
      <c r="A13034" s="6"/>
      <c r="B13034" s="6"/>
      <c r="C13034" s="6"/>
    </row>
    <row r="13035" s="1" customFormat="1" spans="1:3">
      <c r="A13035" s="6"/>
      <c r="B13035" s="6"/>
      <c r="C13035" s="6"/>
    </row>
    <row r="13036" s="1" customFormat="1" spans="1:3">
      <c r="A13036" s="6"/>
      <c r="B13036" s="6"/>
      <c r="C13036" s="6"/>
    </row>
    <row r="13037" s="1" customFormat="1" spans="1:3">
      <c r="A13037" s="6"/>
      <c r="B13037" s="6"/>
      <c r="C13037" s="6"/>
    </row>
    <row r="13038" s="1" customFormat="1" spans="1:3">
      <c r="A13038" s="6"/>
      <c r="B13038" s="6"/>
      <c r="C13038" s="6"/>
    </row>
    <row r="13039" s="1" customFormat="1" spans="1:3">
      <c r="A13039" s="6"/>
      <c r="B13039" s="6"/>
      <c r="C13039" s="6"/>
    </row>
    <row r="13040" s="1" customFormat="1" spans="1:3">
      <c r="A13040" s="6"/>
      <c r="B13040" s="6"/>
      <c r="C13040" s="6"/>
    </row>
    <row r="13041" s="1" customFormat="1" spans="1:3">
      <c r="A13041" s="6"/>
      <c r="B13041" s="6"/>
      <c r="C13041" s="6"/>
    </row>
    <row r="13042" s="1" customFormat="1" spans="1:3">
      <c r="A13042" s="6"/>
      <c r="B13042" s="6"/>
      <c r="C13042" s="6"/>
    </row>
    <row r="13043" s="1" customFormat="1" spans="1:3">
      <c r="A13043" s="6"/>
      <c r="B13043" s="6"/>
      <c r="C13043" s="6"/>
    </row>
    <row r="13044" s="1" customFormat="1" spans="1:3">
      <c r="A13044" s="6"/>
      <c r="B13044" s="6"/>
      <c r="C13044" s="6"/>
    </row>
    <row r="13045" s="1" customFormat="1" spans="1:3">
      <c r="A13045" s="6"/>
      <c r="B13045" s="6"/>
      <c r="C13045" s="6"/>
    </row>
    <row r="13046" s="1" customFormat="1" spans="1:3">
      <c r="A13046" s="6"/>
      <c r="B13046" s="6"/>
      <c r="C13046" s="6"/>
    </row>
    <row r="13047" s="1" customFormat="1" spans="1:3">
      <c r="A13047" s="6"/>
      <c r="B13047" s="6"/>
      <c r="C13047" s="6"/>
    </row>
    <row r="13048" s="1" customFormat="1" spans="1:3">
      <c r="A13048" s="6"/>
      <c r="B13048" s="6"/>
      <c r="C13048" s="6"/>
    </row>
    <row r="13049" s="1" customFormat="1" spans="1:3">
      <c r="A13049" s="6"/>
      <c r="B13049" s="6"/>
      <c r="C13049" s="6"/>
    </row>
    <row r="13050" s="1" customFormat="1" spans="1:3">
      <c r="A13050" s="6"/>
      <c r="B13050" s="6"/>
      <c r="C13050" s="6"/>
    </row>
    <row r="13051" s="1" customFormat="1" spans="1:3">
      <c r="A13051" s="6"/>
      <c r="B13051" s="6"/>
      <c r="C13051" s="6"/>
    </row>
    <row r="13052" s="1" customFormat="1" spans="1:3">
      <c r="A13052" s="6"/>
      <c r="B13052" s="6"/>
      <c r="C13052" s="6"/>
    </row>
    <row r="13053" s="1" customFormat="1" spans="1:3">
      <c r="A13053" s="6"/>
      <c r="B13053" s="6"/>
      <c r="C13053" s="6"/>
    </row>
    <row r="13054" s="1" customFormat="1" spans="1:3">
      <c r="A13054" s="6"/>
      <c r="B13054" s="6"/>
      <c r="C13054" s="6"/>
    </row>
    <row r="13055" s="1" customFormat="1" spans="1:3">
      <c r="A13055" s="6"/>
      <c r="B13055" s="6"/>
      <c r="C13055" s="6"/>
    </row>
    <row r="13056" s="1" customFormat="1" spans="1:3">
      <c r="A13056" s="6"/>
      <c r="B13056" s="6"/>
      <c r="C13056" s="6"/>
    </row>
    <row r="13057" s="1" customFormat="1" spans="1:3">
      <c r="A13057" s="6"/>
      <c r="B13057" s="6"/>
      <c r="C13057" s="6"/>
    </row>
    <row r="13058" s="1" customFormat="1" spans="1:3">
      <c r="A13058" s="6"/>
      <c r="B13058" s="6"/>
      <c r="C13058" s="6"/>
    </row>
    <row r="13059" s="1" customFormat="1" spans="1:3">
      <c r="A13059" s="6"/>
      <c r="B13059" s="6"/>
      <c r="C13059" s="6"/>
    </row>
    <row r="13060" s="1" customFormat="1" spans="1:3">
      <c r="A13060" s="6"/>
      <c r="B13060" s="6"/>
      <c r="C13060" s="6"/>
    </row>
    <row r="13061" s="1" customFormat="1" spans="1:3">
      <c r="A13061" s="6"/>
      <c r="B13061" s="6"/>
      <c r="C13061" s="6"/>
    </row>
    <row r="13062" s="1" customFormat="1" spans="1:3">
      <c r="A13062" s="6"/>
      <c r="B13062" s="6"/>
      <c r="C13062" s="6"/>
    </row>
    <row r="13063" s="1" customFormat="1" spans="1:3">
      <c r="A13063" s="6"/>
      <c r="B13063" s="6"/>
      <c r="C13063" s="6"/>
    </row>
    <row r="13064" s="1" customFormat="1" spans="1:3">
      <c r="A13064" s="6"/>
      <c r="B13064" s="6"/>
      <c r="C13064" s="6"/>
    </row>
    <row r="13065" s="1" customFormat="1" spans="1:3">
      <c r="A13065" s="6"/>
      <c r="B13065" s="6"/>
      <c r="C13065" s="6"/>
    </row>
    <row r="13066" s="1" customFormat="1" spans="1:3">
      <c r="A13066" s="6"/>
      <c r="B13066" s="6"/>
      <c r="C13066" s="6"/>
    </row>
    <row r="13067" s="1" customFormat="1" spans="1:3">
      <c r="A13067" s="6"/>
      <c r="B13067" s="6"/>
      <c r="C13067" s="6"/>
    </row>
    <row r="13068" s="1" customFormat="1" spans="1:3">
      <c r="A13068" s="6"/>
      <c r="B13068" s="6"/>
      <c r="C13068" s="6"/>
    </row>
    <row r="13069" s="1" customFormat="1" spans="1:3">
      <c r="A13069" s="6"/>
      <c r="B13069" s="6"/>
      <c r="C13069" s="6"/>
    </row>
    <row r="13070" s="1" customFormat="1" spans="1:3">
      <c r="A13070" s="6"/>
      <c r="B13070" s="6"/>
      <c r="C13070" s="6"/>
    </row>
    <row r="13071" s="1" customFormat="1" spans="1:3">
      <c r="A13071" s="6"/>
      <c r="B13071" s="6"/>
      <c r="C13071" s="6"/>
    </row>
    <row r="13072" s="1" customFormat="1" spans="1:3">
      <c r="A13072" s="6"/>
      <c r="B13072" s="6"/>
      <c r="C13072" s="6"/>
    </row>
    <row r="13073" s="1" customFormat="1" spans="1:3">
      <c r="A13073" s="6"/>
      <c r="B13073" s="6"/>
      <c r="C13073" s="6"/>
    </row>
    <row r="13074" s="1" customFormat="1" spans="1:3">
      <c r="A13074" s="6"/>
      <c r="B13074" s="6"/>
      <c r="C13074" s="6"/>
    </row>
    <row r="13075" s="1" customFormat="1" spans="1:3">
      <c r="A13075" s="6"/>
      <c r="B13075" s="6"/>
      <c r="C13075" s="6"/>
    </row>
    <row r="13076" s="1" customFormat="1" spans="1:3">
      <c r="A13076" s="6"/>
      <c r="B13076" s="6"/>
      <c r="C13076" s="6"/>
    </row>
    <row r="13077" s="1" customFormat="1" spans="1:3">
      <c r="A13077" s="6"/>
      <c r="B13077" s="6"/>
      <c r="C13077" s="6"/>
    </row>
    <row r="13078" s="1" customFormat="1" spans="1:3">
      <c r="A13078" s="6"/>
      <c r="B13078" s="6"/>
      <c r="C13078" s="6"/>
    </row>
    <row r="13079" s="1" customFormat="1" spans="1:3">
      <c r="A13079" s="6"/>
      <c r="B13079" s="6"/>
      <c r="C13079" s="6"/>
    </row>
    <row r="13080" s="1" customFormat="1" spans="1:3">
      <c r="A13080" s="6"/>
      <c r="B13080" s="6"/>
      <c r="C13080" s="6"/>
    </row>
    <row r="13081" s="1" customFormat="1" spans="1:3">
      <c r="A13081" s="6"/>
      <c r="B13081" s="6"/>
      <c r="C13081" s="6"/>
    </row>
    <row r="13082" s="1" customFormat="1" spans="1:3">
      <c r="A13082" s="6"/>
      <c r="B13082" s="6"/>
      <c r="C13082" s="6"/>
    </row>
    <row r="13083" s="1" customFormat="1" spans="1:3">
      <c r="A13083" s="6"/>
      <c r="B13083" s="6"/>
      <c r="C13083" s="6"/>
    </row>
    <row r="13084" s="1" customFormat="1" spans="1:3">
      <c r="A13084" s="6"/>
      <c r="B13084" s="6"/>
      <c r="C13084" s="6"/>
    </row>
    <row r="13085" s="1" customFormat="1" spans="1:3">
      <c r="A13085" s="6"/>
      <c r="B13085" s="6"/>
      <c r="C13085" s="6"/>
    </row>
    <row r="13086" s="1" customFormat="1" spans="1:3">
      <c r="A13086" s="6"/>
      <c r="B13086" s="6"/>
      <c r="C13086" s="6"/>
    </row>
    <row r="13087" s="1" customFormat="1" spans="1:3">
      <c r="A13087" s="6"/>
      <c r="B13087" s="6"/>
      <c r="C13087" s="6"/>
    </row>
    <row r="13088" s="1" customFormat="1" spans="1:3">
      <c r="A13088" s="6"/>
      <c r="B13088" s="6"/>
      <c r="C13088" s="6"/>
    </row>
    <row r="13089" s="1" customFormat="1" spans="1:3">
      <c r="A13089" s="6"/>
      <c r="B13089" s="6"/>
      <c r="C13089" s="6"/>
    </row>
    <row r="13090" s="1" customFormat="1" spans="1:3">
      <c r="A13090" s="6"/>
      <c r="B13090" s="6"/>
      <c r="C13090" s="6"/>
    </row>
    <row r="13091" s="1" customFormat="1" spans="1:3">
      <c r="A13091" s="6"/>
      <c r="B13091" s="6"/>
      <c r="C13091" s="6"/>
    </row>
    <row r="13092" s="1" customFormat="1" spans="1:3">
      <c r="A13092" s="6"/>
      <c r="B13092" s="6"/>
      <c r="C13092" s="6"/>
    </row>
    <row r="13093" s="1" customFormat="1" spans="1:3">
      <c r="A13093" s="6"/>
      <c r="B13093" s="6"/>
      <c r="C13093" s="6"/>
    </row>
    <row r="13094" s="1" customFormat="1" spans="1:3">
      <c r="A13094" s="6"/>
      <c r="B13094" s="6"/>
      <c r="C13094" s="6"/>
    </row>
    <row r="13095" s="1" customFormat="1" spans="1:3">
      <c r="A13095" s="6"/>
      <c r="B13095" s="6"/>
      <c r="C13095" s="6"/>
    </row>
    <row r="13096" s="1" customFormat="1" spans="1:3">
      <c r="A13096" s="6"/>
      <c r="B13096" s="6"/>
      <c r="C13096" s="6"/>
    </row>
    <row r="13097" s="1" customFormat="1" spans="1:3">
      <c r="A13097" s="6"/>
      <c r="B13097" s="6"/>
      <c r="C13097" s="6"/>
    </row>
    <row r="13098" s="1" customFormat="1" spans="1:3">
      <c r="A13098" s="6"/>
      <c r="B13098" s="6"/>
      <c r="C13098" s="6"/>
    </row>
    <row r="13099" s="1" customFormat="1" spans="1:3">
      <c r="A13099" s="6"/>
      <c r="B13099" s="6"/>
      <c r="C13099" s="6"/>
    </row>
    <row r="13100" s="1" customFormat="1" spans="1:3">
      <c r="A13100" s="6"/>
      <c r="B13100" s="6"/>
      <c r="C13100" s="6"/>
    </row>
    <row r="13101" s="1" customFormat="1" spans="1:3">
      <c r="A13101" s="6"/>
      <c r="B13101" s="6"/>
      <c r="C13101" s="6"/>
    </row>
    <row r="13102" s="1" customFormat="1" spans="1:3">
      <c r="A13102" s="6"/>
      <c r="B13102" s="6"/>
      <c r="C13102" s="6"/>
    </row>
    <row r="13103" s="1" customFormat="1" spans="1:3">
      <c r="A13103" s="6"/>
      <c r="B13103" s="6"/>
      <c r="C13103" s="6"/>
    </row>
    <row r="13104" s="1" customFormat="1" spans="1:3">
      <c r="A13104" s="6"/>
      <c r="B13104" s="6"/>
      <c r="C13104" s="6"/>
    </row>
    <row r="13105" s="1" customFormat="1" spans="1:3">
      <c r="A13105" s="6"/>
      <c r="B13105" s="6"/>
      <c r="C13105" s="6"/>
    </row>
    <row r="13106" s="1" customFormat="1" spans="1:3">
      <c r="A13106" s="6"/>
      <c r="B13106" s="6"/>
      <c r="C13106" s="6"/>
    </row>
    <row r="13107" s="1" customFormat="1" spans="1:3">
      <c r="A13107" s="6"/>
      <c r="B13107" s="6"/>
      <c r="C13107" s="6"/>
    </row>
    <row r="13108" s="1" customFormat="1" spans="1:3">
      <c r="A13108" s="6"/>
      <c r="B13108" s="6"/>
      <c r="C13108" s="6"/>
    </row>
    <row r="13109" s="1" customFormat="1" spans="1:3">
      <c r="A13109" s="6"/>
      <c r="B13109" s="6"/>
      <c r="C13109" s="6"/>
    </row>
    <row r="13110" s="1" customFormat="1" spans="1:3">
      <c r="A13110" s="6"/>
      <c r="B13110" s="6"/>
      <c r="C13110" s="6"/>
    </row>
    <row r="13111" s="1" customFormat="1" spans="1:3">
      <c r="A13111" s="6"/>
      <c r="B13111" s="6"/>
      <c r="C13111" s="6"/>
    </row>
    <row r="13112" s="1" customFormat="1" spans="1:3">
      <c r="A13112" s="6"/>
      <c r="B13112" s="6"/>
      <c r="C13112" s="6"/>
    </row>
    <row r="13113" s="1" customFormat="1" spans="1:3">
      <c r="A13113" s="6"/>
      <c r="B13113" s="6"/>
      <c r="C13113" s="6"/>
    </row>
    <row r="13114" s="1" customFormat="1" spans="1:3">
      <c r="A13114" s="6"/>
      <c r="B13114" s="6"/>
      <c r="C13114" s="6"/>
    </row>
    <row r="13115" s="1" customFormat="1" spans="1:3">
      <c r="A13115" s="6"/>
      <c r="B13115" s="6"/>
      <c r="C13115" s="6"/>
    </row>
    <row r="13116" s="1" customFormat="1" spans="1:3">
      <c r="A13116" s="6"/>
      <c r="B13116" s="6"/>
      <c r="C13116" s="6"/>
    </row>
    <row r="13117" s="1" customFormat="1" spans="1:3">
      <c r="A13117" s="6"/>
      <c r="B13117" s="6"/>
      <c r="C13117" s="6"/>
    </row>
    <row r="13118" s="1" customFormat="1" spans="1:3">
      <c r="A13118" s="6"/>
      <c r="B13118" s="6"/>
      <c r="C13118" s="6"/>
    </row>
    <row r="13119" s="1" customFormat="1" spans="1:3">
      <c r="A13119" s="6"/>
      <c r="B13119" s="6"/>
      <c r="C13119" s="6"/>
    </row>
    <row r="13120" s="1" customFormat="1" spans="1:3">
      <c r="A13120" s="6"/>
      <c r="B13120" s="6"/>
      <c r="C13120" s="6"/>
    </row>
    <row r="13121" s="1" customFormat="1" spans="1:3">
      <c r="A13121" s="6"/>
      <c r="B13121" s="6"/>
      <c r="C13121" s="6"/>
    </row>
    <row r="13122" s="1" customFormat="1" spans="1:3">
      <c r="A13122" s="6"/>
      <c r="B13122" s="6"/>
      <c r="C13122" s="6"/>
    </row>
    <row r="13123" s="1" customFormat="1" spans="1:3">
      <c r="A13123" s="6"/>
      <c r="B13123" s="6"/>
      <c r="C13123" s="6"/>
    </row>
    <row r="13124" s="1" customFormat="1" spans="1:3">
      <c r="A13124" s="6"/>
      <c r="B13124" s="6"/>
      <c r="C13124" s="6"/>
    </row>
    <row r="13125" s="1" customFormat="1" spans="1:3">
      <c r="A13125" s="6"/>
      <c r="B13125" s="6"/>
      <c r="C13125" s="6"/>
    </row>
    <row r="13126" s="1" customFormat="1" spans="1:3">
      <c r="A13126" s="6"/>
      <c r="B13126" s="6"/>
      <c r="C13126" s="6"/>
    </row>
    <row r="13127" s="1" customFormat="1" spans="1:3">
      <c r="A13127" s="6"/>
      <c r="B13127" s="6"/>
      <c r="C13127" s="6"/>
    </row>
    <row r="13128" s="1" customFormat="1" spans="1:3">
      <c r="A13128" s="6"/>
      <c r="B13128" s="6"/>
      <c r="C13128" s="6"/>
    </row>
    <row r="13129" s="1" customFormat="1" spans="1:3">
      <c r="A13129" s="6"/>
      <c r="B13129" s="6"/>
      <c r="C13129" s="6"/>
    </row>
    <row r="13130" s="1" customFormat="1" spans="1:3">
      <c r="A13130" s="6"/>
      <c r="B13130" s="6"/>
      <c r="C13130" s="6"/>
    </row>
    <row r="13131" s="1" customFormat="1" spans="1:3">
      <c r="A13131" s="6"/>
      <c r="B13131" s="6"/>
      <c r="C13131" s="6"/>
    </row>
    <row r="13132" s="1" customFormat="1" spans="1:3">
      <c r="A13132" s="6"/>
      <c r="B13132" s="6"/>
      <c r="C13132" s="6"/>
    </row>
    <row r="13133" s="1" customFormat="1" spans="1:3">
      <c r="A13133" s="6"/>
      <c r="B13133" s="6"/>
      <c r="C13133" s="6"/>
    </row>
    <row r="13134" s="1" customFormat="1" spans="1:3">
      <c r="A13134" s="6"/>
      <c r="B13134" s="6"/>
      <c r="C13134" s="6"/>
    </row>
    <row r="13135" s="1" customFormat="1" spans="1:3">
      <c r="A13135" s="6"/>
      <c r="B13135" s="6"/>
      <c r="C13135" s="6"/>
    </row>
    <row r="13136" s="1" customFormat="1" spans="1:3">
      <c r="A13136" s="6"/>
      <c r="B13136" s="6"/>
      <c r="C13136" s="6"/>
    </row>
    <row r="13137" s="1" customFormat="1" spans="1:3">
      <c r="A13137" s="6"/>
      <c r="B13137" s="6"/>
      <c r="C13137" s="6"/>
    </row>
    <row r="13138" s="1" customFormat="1" spans="1:3">
      <c r="A13138" s="6"/>
      <c r="B13138" s="6"/>
      <c r="C13138" s="6"/>
    </row>
    <row r="13139" s="1" customFormat="1" spans="1:3">
      <c r="A13139" s="6"/>
      <c r="B13139" s="6"/>
      <c r="C13139" s="6"/>
    </row>
    <row r="13140" s="1" customFormat="1" spans="1:3">
      <c r="A13140" s="6"/>
      <c r="B13140" s="6"/>
      <c r="C13140" s="6"/>
    </row>
    <row r="13141" s="1" customFormat="1" spans="1:3">
      <c r="A13141" s="6"/>
      <c r="B13141" s="6"/>
      <c r="C13141" s="6"/>
    </row>
    <row r="13142" s="1" customFormat="1" spans="1:3">
      <c r="A13142" s="6"/>
      <c r="B13142" s="6"/>
      <c r="C13142" s="6"/>
    </row>
    <row r="13143" s="1" customFormat="1" spans="1:3">
      <c r="A13143" s="6"/>
      <c r="B13143" s="6"/>
      <c r="C13143" s="6"/>
    </row>
    <row r="13144" s="1" customFormat="1" spans="1:3">
      <c r="A13144" s="6"/>
      <c r="B13144" s="6"/>
      <c r="C13144" s="6"/>
    </row>
    <row r="13145" s="1" customFormat="1" spans="1:3">
      <c r="A13145" s="6"/>
      <c r="B13145" s="6"/>
      <c r="C13145" s="6"/>
    </row>
    <row r="13146" s="1" customFormat="1" spans="1:3">
      <c r="A13146" s="6"/>
      <c r="B13146" s="6"/>
      <c r="C13146" s="6"/>
    </row>
    <row r="13147" s="1" customFormat="1" spans="1:3">
      <c r="A13147" s="6"/>
      <c r="B13147" s="6"/>
      <c r="C13147" s="6"/>
    </row>
    <row r="13148" s="1" customFormat="1" spans="1:3">
      <c r="A13148" s="6"/>
      <c r="B13148" s="6"/>
      <c r="C13148" s="6"/>
    </row>
    <row r="13149" s="1" customFormat="1" spans="1:3">
      <c r="A13149" s="6"/>
      <c r="B13149" s="6"/>
      <c r="C13149" s="6"/>
    </row>
    <row r="13150" s="1" customFormat="1" spans="1:3">
      <c r="A13150" s="6"/>
      <c r="B13150" s="6"/>
      <c r="C13150" s="6"/>
    </row>
    <row r="13151" s="1" customFormat="1" spans="1:3">
      <c r="A13151" s="6"/>
      <c r="B13151" s="6"/>
      <c r="C13151" s="6"/>
    </row>
    <row r="13152" s="1" customFormat="1" spans="1:3">
      <c r="A13152" s="6"/>
      <c r="B13152" s="6"/>
      <c r="C13152" s="6"/>
    </row>
    <row r="13153" s="1" customFormat="1" spans="1:3">
      <c r="A13153" s="6"/>
      <c r="B13153" s="6"/>
      <c r="C13153" s="6"/>
    </row>
    <row r="13154" s="1" customFormat="1" spans="1:3">
      <c r="A13154" s="6"/>
      <c r="B13154" s="6"/>
      <c r="C13154" s="6"/>
    </row>
    <row r="13155" s="1" customFormat="1" spans="1:3">
      <c r="A13155" s="6"/>
      <c r="B13155" s="6"/>
      <c r="C13155" s="6"/>
    </row>
    <row r="13156" s="1" customFormat="1" spans="1:3">
      <c r="A13156" s="6"/>
      <c r="B13156" s="6"/>
      <c r="C13156" s="6"/>
    </row>
    <row r="13157" s="1" customFormat="1" spans="1:3">
      <c r="A13157" s="6"/>
      <c r="B13157" s="6"/>
      <c r="C13157" s="6"/>
    </row>
    <row r="13158" s="1" customFormat="1" spans="1:3">
      <c r="A13158" s="6"/>
      <c r="B13158" s="6"/>
      <c r="C13158" s="6"/>
    </row>
    <row r="13159" s="1" customFormat="1" spans="1:3">
      <c r="A13159" s="6"/>
      <c r="B13159" s="6"/>
      <c r="C13159" s="6"/>
    </row>
    <row r="13160" s="1" customFormat="1" spans="1:3">
      <c r="A13160" s="6"/>
      <c r="B13160" s="6"/>
      <c r="C13160" s="6"/>
    </row>
    <row r="13161" s="1" customFormat="1" spans="1:3">
      <c r="A13161" s="6"/>
      <c r="B13161" s="6"/>
      <c r="C13161" s="6"/>
    </row>
    <row r="13162" s="1" customFormat="1" spans="1:3">
      <c r="A13162" s="6"/>
      <c r="B13162" s="6"/>
      <c r="C13162" s="6"/>
    </row>
    <row r="13163" s="1" customFormat="1" spans="1:3">
      <c r="A13163" s="6"/>
      <c r="B13163" s="6"/>
      <c r="C13163" s="6"/>
    </row>
    <row r="13164" s="1" customFormat="1" spans="1:3">
      <c r="A13164" s="6"/>
      <c r="B13164" s="6"/>
      <c r="C13164" s="6"/>
    </row>
    <row r="13165" s="1" customFormat="1" spans="1:3">
      <c r="A13165" s="6"/>
      <c r="B13165" s="6"/>
      <c r="C13165" s="6"/>
    </row>
    <row r="13166" s="1" customFormat="1" spans="1:3">
      <c r="A13166" s="6"/>
      <c r="B13166" s="6"/>
      <c r="C13166" s="6"/>
    </row>
    <row r="13167" s="1" customFormat="1" spans="1:3">
      <c r="A13167" s="6"/>
      <c r="B13167" s="6"/>
      <c r="C13167" s="6"/>
    </row>
    <row r="13168" s="1" customFormat="1" spans="1:3">
      <c r="A13168" s="6"/>
      <c r="B13168" s="6"/>
      <c r="C13168" s="6"/>
    </row>
    <row r="13169" s="1" customFormat="1" spans="1:3">
      <c r="A13169" s="6"/>
      <c r="B13169" s="6"/>
      <c r="C13169" s="6"/>
    </row>
    <row r="13170" s="1" customFormat="1" spans="1:3">
      <c r="A13170" s="6"/>
      <c r="B13170" s="6"/>
      <c r="C13170" s="6"/>
    </row>
    <row r="13171" s="1" customFormat="1" spans="1:3">
      <c r="A13171" s="6"/>
      <c r="B13171" s="6"/>
      <c r="C13171" s="6"/>
    </row>
    <row r="13172" s="1" customFormat="1" spans="1:3">
      <c r="A13172" s="6"/>
      <c r="B13172" s="6"/>
      <c r="C13172" s="6"/>
    </row>
    <row r="13173" s="1" customFormat="1" spans="1:3">
      <c r="A13173" s="6"/>
      <c r="B13173" s="6"/>
      <c r="C13173" s="6"/>
    </row>
    <row r="13174" s="1" customFormat="1" spans="1:3">
      <c r="A13174" s="6"/>
      <c r="B13174" s="6"/>
      <c r="C13174" s="6"/>
    </row>
    <row r="13175" s="1" customFormat="1" spans="1:3">
      <c r="A13175" s="6"/>
      <c r="B13175" s="6"/>
      <c r="C13175" s="6"/>
    </row>
    <row r="13176" s="1" customFormat="1" spans="1:3">
      <c r="A13176" s="6"/>
      <c r="B13176" s="6"/>
      <c r="C13176" s="6"/>
    </row>
    <row r="13177" s="1" customFormat="1" spans="1:3">
      <c r="A13177" s="6"/>
      <c r="B13177" s="6"/>
      <c r="C13177" s="6"/>
    </row>
    <row r="13178" s="1" customFormat="1" spans="1:3">
      <c r="A13178" s="6"/>
      <c r="B13178" s="6"/>
      <c r="C13178" s="6"/>
    </row>
    <row r="13179" s="1" customFormat="1" spans="1:3">
      <c r="A13179" s="6"/>
      <c r="B13179" s="6"/>
      <c r="C13179" s="6"/>
    </row>
    <row r="13180" s="1" customFormat="1" spans="1:3">
      <c r="A13180" s="6"/>
      <c r="B13180" s="6"/>
      <c r="C13180" s="6"/>
    </row>
    <row r="13181" s="1" customFormat="1" spans="1:3">
      <c r="A13181" s="6"/>
      <c r="B13181" s="6"/>
      <c r="C13181" s="6"/>
    </row>
    <row r="13182" s="1" customFormat="1" spans="1:3">
      <c r="A13182" s="6"/>
      <c r="B13182" s="6"/>
      <c r="C13182" s="6"/>
    </row>
    <row r="13183" s="1" customFormat="1" spans="1:3">
      <c r="A13183" s="6"/>
      <c r="B13183" s="6"/>
      <c r="C13183" s="6"/>
    </row>
    <row r="13184" s="1" customFormat="1" spans="1:3">
      <c r="A13184" s="6"/>
      <c r="B13184" s="6"/>
      <c r="C13184" s="6"/>
    </row>
    <row r="13185" s="1" customFormat="1" spans="1:3">
      <c r="A13185" s="6"/>
      <c r="B13185" s="6"/>
      <c r="C13185" s="6"/>
    </row>
    <row r="13186" s="1" customFormat="1" spans="1:3">
      <c r="A13186" s="6"/>
      <c r="B13186" s="6"/>
      <c r="C13186" s="6"/>
    </row>
    <row r="13187" s="1" customFormat="1" spans="1:3">
      <c r="A13187" s="6"/>
      <c r="B13187" s="6"/>
      <c r="C13187" s="6"/>
    </row>
    <row r="13188" s="1" customFormat="1" spans="1:3">
      <c r="A13188" s="6"/>
      <c r="B13188" s="6"/>
      <c r="C13188" s="6"/>
    </row>
    <row r="13189" s="1" customFormat="1" spans="1:3">
      <c r="A13189" s="6"/>
      <c r="B13189" s="6"/>
      <c r="C13189" s="6"/>
    </row>
    <row r="13190" s="1" customFormat="1" spans="1:3">
      <c r="A13190" s="6"/>
      <c r="B13190" s="6"/>
      <c r="C13190" s="6"/>
    </row>
    <row r="13191" s="1" customFormat="1" spans="1:3">
      <c r="A13191" s="6"/>
      <c r="B13191" s="6"/>
      <c r="C13191" s="6"/>
    </row>
    <row r="13192" s="1" customFormat="1" spans="1:3">
      <c r="A13192" s="6"/>
      <c r="B13192" s="6"/>
      <c r="C13192" s="6"/>
    </row>
    <row r="13193" s="1" customFormat="1" spans="1:3">
      <c r="A13193" s="6"/>
      <c r="B13193" s="6"/>
      <c r="C13193" s="6"/>
    </row>
    <row r="13194" s="1" customFormat="1" spans="1:3">
      <c r="A13194" s="6"/>
      <c r="B13194" s="6"/>
      <c r="C13194" s="6"/>
    </row>
    <row r="13195" s="1" customFormat="1" spans="1:3">
      <c r="A13195" s="6"/>
      <c r="B13195" s="6"/>
      <c r="C13195" s="6"/>
    </row>
    <row r="13196" s="1" customFormat="1" spans="1:3">
      <c r="A13196" s="6"/>
      <c r="B13196" s="6"/>
      <c r="C13196" s="6"/>
    </row>
    <row r="13197" s="1" customFormat="1" spans="1:3">
      <c r="A13197" s="6"/>
      <c r="B13197" s="6"/>
      <c r="C13197" s="6"/>
    </row>
    <row r="13198" s="1" customFormat="1" spans="1:3">
      <c r="A13198" s="6"/>
      <c r="B13198" s="6"/>
      <c r="C13198" s="6"/>
    </row>
    <row r="13199" s="1" customFormat="1" spans="1:3">
      <c r="A13199" s="6"/>
      <c r="B13199" s="6"/>
      <c r="C13199" s="6"/>
    </row>
    <row r="13200" s="1" customFormat="1" spans="1:3">
      <c r="A13200" s="6"/>
      <c r="B13200" s="6"/>
      <c r="C13200" s="6"/>
    </row>
    <row r="13201" s="1" customFormat="1" spans="1:3">
      <c r="A13201" s="6"/>
      <c r="B13201" s="6"/>
      <c r="C13201" s="6"/>
    </row>
    <row r="13202" s="1" customFormat="1" spans="1:3">
      <c r="A13202" s="6"/>
      <c r="B13202" s="6"/>
      <c r="C13202" s="6"/>
    </row>
    <row r="13203" s="1" customFormat="1" spans="1:3">
      <c r="A13203" s="6"/>
      <c r="B13203" s="6"/>
      <c r="C13203" s="6"/>
    </row>
    <row r="13204" s="1" customFormat="1" spans="1:3">
      <c r="A13204" s="6"/>
      <c r="B13204" s="6"/>
      <c r="C13204" s="6"/>
    </row>
    <row r="13205" s="1" customFormat="1" spans="1:3">
      <c r="A13205" s="6"/>
      <c r="B13205" s="6"/>
      <c r="C13205" s="6"/>
    </row>
    <row r="13206" s="1" customFormat="1" spans="1:3">
      <c r="A13206" s="6"/>
      <c r="B13206" s="6"/>
      <c r="C13206" s="6"/>
    </row>
    <row r="13207" s="1" customFormat="1" spans="1:3">
      <c r="A13207" s="6"/>
      <c r="B13207" s="6"/>
      <c r="C13207" s="6"/>
    </row>
    <row r="13208" s="1" customFormat="1" spans="1:3">
      <c r="A13208" s="6"/>
      <c r="B13208" s="6"/>
      <c r="C13208" s="6"/>
    </row>
    <row r="13209" s="1" customFormat="1" spans="1:3">
      <c r="A13209" s="6"/>
      <c r="B13209" s="6"/>
      <c r="C13209" s="6"/>
    </row>
    <row r="13210" s="1" customFormat="1" spans="1:3">
      <c r="A13210" s="6"/>
      <c r="B13210" s="6"/>
      <c r="C13210" s="6"/>
    </row>
    <row r="13211" s="1" customFormat="1" spans="1:3">
      <c r="A13211" s="6"/>
      <c r="B13211" s="6"/>
      <c r="C13211" s="6"/>
    </row>
    <row r="13212" s="1" customFormat="1" spans="1:3">
      <c r="A13212" s="6"/>
      <c r="B13212" s="6"/>
      <c r="C13212" s="6"/>
    </row>
    <row r="13213" s="1" customFormat="1" spans="1:3">
      <c r="A13213" s="6"/>
      <c r="B13213" s="6"/>
      <c r="C13213" s="6"/>
    </row>
    <row r="13214" s="1" customFormat="1" spans="1:3">
      <c r="A13214" s="6"/>
      <c r="B13214" s="6"/>
      <c r="C13214" s="6"/>
    </row>
    <row r="13215" s="1" customFormat="1" spans="1:3">
      <c r="A13215" s="6"/>
      <c r="B13215" s="6"/>
      <c r="C13215" s="6"/>
    </row>
    <row r="13216" s="1" customFormat="1" spans="1:3">
      <c r="A13216" s="6"/>
      <c r="B13216" s="6"/>
      <c r="C13216" s="6"/>
    </row>
    <row r="13217" s="1" customFormat="1" spans="1:3">
      <c r="A13217" s="6"/>
      <c r="B13217" s="6"/>
      <c r="C13217" s="6"/>
    </row>
    <row r="13218" s="1" customFormat="1" spans="1:3">
      <c r="A13218" s="6"/>
      <c r="B13218" s="6"/>
      <c r="C13218" s="6"/>
    </row>
    <row r="13219" s="1" customFormat="1" spans="1:3">
      <c r="A13219" s="6"/>
      <c r="B13219" s="6"/>
      <c r="C13219" s="6"/>
    </row>
    <row r="13220" s="1" customFormat="1" spans="1:3">
      <c r="A13220" s="6"/>
      <c r="B13220" s="6"/>
      <c r="C13220" s="6"/>
    </row>
    <row r="13221" s="1" customFormat="1" spans="1:3">
      <c r="A13221" s="6"/>
      <c r="B13221" s="6"/>
      <c r="C13221" s="6"/>
    </row>
    <row r="13222" s="1" customFormat="1" spans="1:3">
      <c r="A13222" s="6"/>
      <c r="B13222" s="6"/>
      <c r="C13222" s="6"/>
    </row>
    <row r="13223" s="1" customFormat="1" spans="1:3">
      <c r="A13223" s="6"/>
      <c r="B13223" s="6"/>
      <c r="C13223" s="6"/>
    </row>
    <row r="13224" s="1" customFormat="1" spans="1:3">
      <c r="A13224" s="6"/>
      <c r="B13224" s="6"/>
      <c r="C13224" s="6"/>
    </row>
    <row r="13225" s="1" customFormat="1" spans="1:3">
      <c r="A13225" s="6"/>
      <c r="B13225" s="6"/>
      <c r="C13225" s="6"/>
    </row>
    <row r="13226" s="1" customFormat="1" spans="1:3">
      <c r="A13226" s="6"/>
      <c r="B13226" s="6"/>
      <c r="C13226" s="6"/>
    </row>
    <row r="13227" s="1" customFormat="1" spans="1:3">
      <c r="A13227" s="6"/>
      <c r="B13227" s="6"/>
      <c r="C13227" s="6"/>
    </row>
    <row r="13228" s="1" customFormat="1" spans="1:3">
      <c r="A13228" s="6"/>
      <c r="B13228" s="6"/>
      <c r="C13228" s="6"/>
    </row>
    <row r="13229" s="1" customFormat="1" spans="1:3">
      <c r="A13229" s="6"/>
      <c r="B13229" s="6"/>
      <c r="C13229" s="6"/>
    </row>
    <row r="13230" s="1" customFormat="1" spans="1:3">
      <c r="A13230" s="6"/>
      <c r="B13230" s="6"/>
      <c r="C13230" s="6"/>
    </row>
    <row r="13231" s="1" customFormat="1" spans="1:3">
      <c r="A13231" s="6"/>
      <c r="B13231" s="6"/>
      <c r="C13231" s="6"/>
    </row>
    <row r="13232" s="1" customFormat="1" spans="1:3">
      <c r="A13232" s="6"/>
      <c r="B13232" s="6"/>
      <c r="C13232" s="6"/>
    </row>
    <row r="13233" s="1" customFormat="1" spans="1:3">
      <c r="A13233" s="6"/>
      <c r="B13233" s="6"/>
      <c r="C13233" s="6"/>
    </row>
    <row r="13234" s="1" customFormat="1" spans="1:3">
      <c r="A13234" s="6"/>
      <c r="B13234" s="6"/>
      <c r="C13234" s="6"/>
    </row>
    <row r="13235" s="1" customFormat="1" spans="1:3">
      <c r="A13235" s="6"/>
      <c r="B13235" s="6"/>
      <c r="C13235" s="6"/>
    </row>
    <row r="13236" s="1" customFormat="1" spans="1:3">
      <c r="A13236" s="6"/>
      <c r="B13236" s="6"/>
      <c r="C13236" s="6"/>
    </row>
    <row r="13237" s="1" customFormat="1" spans="1:3">
      <c r="A13237" s="6"/>
      <c r="B13237" s="6"/>
      <c r="C13237" s="6"/>
    </row>
    <row r="13238" s="1" customFormat="1" spans="1:3">
      <c r="A13238" s="6"/>
      <c r="B13238" s="6"/>
      <c r="C13238" s="6"/>
    </row>
    <row r="13239" s="1" customFormat="1" spans="1:3">
      <c r="A13239" s="6"/>
      <c r="B13239" s="6"/>
      <c r="C13239" s="6"/>
    </row>
    <row r="13240" s="1" customFormat="1" spans="1:3">
      <c r="A13240" s="6"/>
      <c r="B13240" s="6"/>
      <c r="C13240" s="6"/>
    </row>
    <row r="13241" s="1" customFormat="1" spans="1:3">
      <c r="A13241" s="6"/>
      <c r="B13241" s="6"/>
      <c r="C13241" s="6"/>
    </row>
    <row r="13242" s="1" customFormat="1" spans="1:3">
      <c r="A13242" s="6"/>
      <c r="B13242" s="6"/>
      <c r="C13242" s="6"/>
    </row>
    <row r="13243" s="1" customFormat="1" spans="1:3">
      <c r="A13243" s="6"/>
      <c r="B13243" s="6"/>
      <c r="C13243" s="6"/>
    </row>
    <row r="13244" s="1" customFormat="1" spans="1:3">
      <c r="A13244" s="6"/>
      <c r="B13244" s="6"/>
      <c r="C13244" s="6"/>
    </row>
    <row r="13245" s="1" customFormat="1" spans="1:3">
      <c r="A13245" s="6"/>
      <c r="B13245" s="6"/>
      <c r="C13245" s="6"/>
    </row>
    <row r="13246" s="1" customFormat="1" spans="1:3">
      <c r="A13246" s="6"/>
      <c r="B13246" s="6"/>
      <c r="C13246" s="6"/>
    </row>
    <row r="13247" s="1" customFormat="1" spans="1:3">
      <c r="A13247" s="6"/>
      <c r="B13247" s="6"/>
      <c r="C13247" s="6"/>
    </row>
    <row r="13248" s="1" customFormat="1" spans="1:3">
      <c r="A13248" s="6"/>
      <c r="B13248" s="6"/>
      <c r="C13248" s="6"/>
    </row>
    <row r="13249" s="1" customFormat="1" spans="1:3">
      <c r="A13249" s="6"/>
      <c r="B13249" s="6"/>
      <c r="C13249" s="6"/>
    </row>
    <row r="13250" s="1" customFormat="1" spans="1:3">
      <c r="A13250" s="6"/>
      <c r="B13250" s="6"/>
      <c r="C13250" s="6"/>
    </row>
    <row r="13251" s="1" customFormat="1" spans="1:3">
      <c r="A13251" s="6"/>
      <c r="B13251" s="6"/>
      <c r="C13251" s="6"/>
    </row>
    <row r="13252" s="1" customFormat="1" spans="1:3">
      <c r="A13252" s="6"/>
      <c r="B13252" s="6"/>
      <c r="C13252" s="6"/>
    </row>
    <row r="13253" s="1" customFormat="1" spans="1:3">
      <c r="A13253" s="6"/>
      <c r="B13253" s="6"/>
      <c r="C13253" s="6"/>
    </row>
    <row r="13254" s="1" customFormat="1" spans="1:3">
      <c r="A13254" s="6"/>
      <c r="B13254" s="6"/>
      <c r="C13254" s="6"/>
    </row>
    <row r="13255" s="1" customFormat="1" spans="1:3">
      <c r="A13255" s="6"/>
      <c r="B13255" s="6"/>
      <c r="C13255" s="6"/>
    </row>
    <row r="13256" s="1" customFormat="1" spans="1:3">
      <c r="A13256" s="6"/>
      <c r="B13256" s="6"/>
      <c r="C13256" s="6"/>
    </row>
    <row r="13257" s="1" customFormat="1" spans="1:3">
      <c r="A13257" s="6"/>
      <c r="B13257" s="6"/>
      <c r="C13257" s="6"/>
    </row>
    <row r="13258" s="1" customFormat="1" spans="1:3">
      <c r="A13258" s="6"/>
      <c r="B13258" s="6"/>
      <c r="C13258" s="6"/>
    </row>
    <row r="13259" s="1" customFormat="1" spans="1:3">
      <c r="A13259" s="6"/>
      <c r="B13259" s="6"/>
      <c r="C13259" s="6"/>
    </row>
    <row r="13260" s="1" customFormat="1" spans="1:3">
      <c r="A13260" s="6"/>
      <c r="B13260" s="6"/>
      <c r="C13260" s="6"/>
    </row>
    <row r="13261" s="1" customFormat="1" spans="1:3">
      <c r="A13261" s="6"/>
      <c r="B13261" s="6"/>
      <c r="C13261" s="6"/>
    </row>
    <row r="13262" s="1" customFormat="1" spans="1:3">
      <c r="A13262" s="6"/>
      <c r="B13262" s="6"/>
      <c r="C13262" s="6"/>
    </row>
    <row r="13263" s="1" customFormat="1" spans="1:3">
      <c r="A13263" s="6"/>
      <c r="B13263" s="6"/>
      <c r="C13263" s="6"/>
    </row>
    <row r="13264" s="1" customFormat="1" spans="1:3">
      <c r="A13264" s="6"/>
      <c r="B13264" s="6"/>
      <c r="C13264" s="6"/>
    </row>
    <row r="13265" s="1" customFormat="1" spans="1:3">
      <c r="A13265" s="6"/>
      <c r="B13265" s="6"/>
      <c r="C13265" s="6"/>
    </row>
    <row r="13266" s="1" customFormat="1" spans="1:3">
      <c r="A13266" s="6"/>
      <c r="B13266" s="6"/>
      <c r="C13266" s="6"/>
    </row>
    <row r="13267" s="1" customFormat="1" spans="1:3">
      <c r="A13267" s="6"/>
      <c r="B13267" s="6"/>
      <c r="C13267" s="6"/>
    </row>
    <row r="13268" s="1" customFormat="1" spans="1:3">
      <c r="A13268" s="6"/>
      <c r="B13268" s="6"/>
      <c r="C13268" s="6"/>
    </row>
    <row r="13269" s="1" customFormat="1" spans="1:3">
      <c r="A13269" s="6"/>
      <c r="B13269" s="6"/>
      <c r="C13269" s="6"/>
    </row>
    <row r="13270" s="1" customFormat="1" spans="1:3">
      <c r="A13270" s="6"/>
      <c r="B13270" s="6"/>
      <c r="C13270" s="6"/>
    </row>
    <row r="13271" s="1" customFormat="1" spans="1:3">
      <c r="A13271" s="6"/>
      <c r="B13271" s="6"/>
      <c r="C13271" s="6"/>
    </row>
    <row r="13272" s="1" customFormat="1" spans="1:3">
      <c r="A13272" s="6"/>
      <c r="B13272" s="6"/>
      <c r="C13272" s="6"/>
    </row>
    <row r="13273" s="1" customFormat="1" spans="1:3">
      <c r="A13273" s="6"/>
      <c r="B13273" s="6"/>
      <c r="C13273" s="6"/>
    </row>
    <row r="13274" s="1" customFormat="1" spans="1:3">
      <c r="A13274" s="6"/>
      <c r="B13274" s="6"/>
      <c r="C13274" s="6"/>
    </row>
    <row r="13275" s="1" customFormat="1" spans="1:3">
      <c r="A13275" s="6"/>
      <c r="B13275" s="6"/>
      <c r="C13275" s="6"/>
    </row>
    <row r="13276" s="1" customFormat="1" spans="1:3">
      <c r="A13276" s="6"/>
      <c r="B13276" s="6"/>
      <c r="C13276" s="6"/>
    </row>
    <row r="13277" s="1" customFormat="1" spans="1:3">
      <c r="A13277" s="6"/>
      <c r="B13277" s="6"/>
      <c r="C13277" s="6"/>
    </row>
    <row r="13278" s="1" customFormat="1" spans="1:3">
      <c r="A13278" s="6"/>
      <c r="B13278" s="6"/>
      <c r="C13278" s="6"/>
    </row>
    <row r="13279" s="1" customFormat="1" spans="1:3">
      <c r="A13279" s="6"/>
      <c r="B13279" s="6"/>
      <c r="C13279" s="6"/>
    </row>
    <row r="13280" s="1" customFormat="1" spans="1:3">
      <c r="A13280" s="6"/>
      <c r="B13280" s="6"/>
      <c r="C13280" s="6"/>
    </row>
    <row r="13281" s="1" customFormat="1" spans="1:3">
      <c r="A13281" s="6"/>
      <c r="B13281" s="6"/>
      <c r="C13281" s="6"/>
    </row>
    <row r="13282" s="1" customFormat="1" spans="1:3">
      <c r="A13282" s="6"/>
      <c r="B13282" s="6"/>
      <c r="C13282" s="6"/>
    </row>
    <row r="13283" s="1" customFormat="1" spans="1:3">
      <c r="A13283" s="6"/>
      <c r="B13283" s="6"/>
      <c r="C13283" s="6"/>
    </row>
    <row r="13284" s="1" customFormat="1" spans="1:3">
      <c r="A13284" s="6"/>
      <c r="B13284" s="6"/>
      <c r="C13284" s="6"/>
    </row>
    <row r="13285" s="1" customFormat="1" spans="1:3">
      <c r="A13285" s="6"/>
      <c r="B13285" s="6"/>
      <c r="C13285" s="6"/>
    </row>
    <row r="13286" s="1" customFormat="1" spans="1:3">
      <c r="A13286" s="6"/>
      <c r="B13286" s="6"/>
      <c r="C13286" s="6"/>
    </row>
    <row r="13287" s="1" customFormat="1" spans="1:3">
      <c r="A13287" s="6"/>
      <c r="B13287" s="6"/>
      <c r="C13287" s="6"/>
    </row>
    <row r="13288" s="1" customFormat="1" spans="1:3">
      <c r="A13288" s="6"/>
      <c r="B13288" s="6"/>
      <c r="C13288" s="6"/>
    </row>
    <row r="13289" s="1" customFormat="1" spans="1:3">
      <c r="A13289" s="6"/>
      <c r="B13289" s="6"/>
      <c r="C13289" s="6"/>
    </row>
    <row r="13290" s="1" customFormat="1" spans="1:3">
      <c r="A13290" s="6"/>
      <c r="B13290" s="6"/>
      <c r="C13290" s="6"/>
    </row>
    <row r="13291" s="1" customFormat="1" spans="1:3">
      <c r="A13291" s="6"/>
      <c r="B13291" s="6"/>
      <c r="C13291" s="6"/>
    </row>
    <row r="13292" s="1" customFormat="1" spans="1:3">
      <c r="A13292" s="6"/>
      <c r="B13292" s="6"/>
      <c r="C13292" s="6"/>
    </row>
    <row r="13293" s="1" customFormat="1" spans="1:3">
      <c r="A13293" s="6"/>
      <c r="B13293" s="6"/>
      <c r="C13293" s="6"/>
    </row>
    <row r="13294" s="1" customFormat="1" spans="1:3">
      <c r="A13294" s="6"/>
      <c r="B13294" s="6"/>
      <c r="C13294" s="6"/>
    </row>
    <row r="13295" s="1" customFormat="1" spans="1:3">
      <c r="A13295" s="6"/>
      <c r="B13295" s="6"/>
      <c r="C13295" s="6"/>
    </row>
    <row r="13296" s="1" customFormat="1" spans="1:3">
      <c r="A13296" s="6"/>
      <c r="B13296" s="6"/>
      <c r="C13296" s="6"/>
    </row>
    <row r="13297" s="1" customFormat="1" spans="1:3">
      <c r="A13297" s="6"/>
      <c r="B13297" s="6"/>
      <c r="C13297" s="6"/>
    </row>
    <row r="13298" s="1" customFormat="1" spans="1:3">
      <c r="A13298" s="6"/>
      <c r="B13298" s="6"/>
      <c r="C13298" s="6"/>
    </row>
    <row r="13299" s="1" customFormat="1" spans="1:3">
      <c r="A13299" s="6"/>
      <c r="B13299" s="6"/>
      <c r="C13299" s="6"/>
    </row>
    <row r="13300" s="1" customFormat="1" spans="1:3">
      <c r="A13300" s="6"/>
      <c r="B13300" s="6"/>
      <c r="C13300" s="6"/>
    </row>
    <row r="13301" s="1" customFormat="1" spans="1:3">
      <c r="A13301" s="6"/>
      <c r="B13301" s="6"/>
      <c r="C13301" s="6"/>
    </row>
    <row r="13302" s="1" customFormat="1" spans="1:3">
      <c r="A13302" s="6"/>
      <c r="B13302" s="6"/>
      <c r="C13302" s="6"/>
    </row>
    <row r="13303" s="1" customFormat="1" spans="1:3">
      <c r="A13303" s="6"/>
      <c r="B13303" s="6"/>
      <c r="C13303" s="6"/>
    </row>
    <row r="13304" s="1" customFormat="1" spans="1:3">
      <c r="A13304" s="6"/>
      <c r="B13304" s="6"/>
      <c r="C13304" s="6"/>
    </row>
    <row r="13305" s="1" customFormat="1" spans="1:3">
      <c r="A13305" s="6"/>
      <c r="B13305" s="6"/>
      <c r="C13305" s="6"/>
    </row>
    <row r="13306" s="1" customFormat="1" spans="1:3">
      <c r="A13306" s="6"/>
      <c r="B13306" s="6"/>
      <c r="C13306" s="6"/>
    </row>
    <row r="13307" s="1" customFormat="1" spans="1:3">
      <c r="A13307" s="6"/>
      <c r="B13307" s="6"/>
      <c r="C13307" s="6"/>
    </row>
    <row r="13308" s="1" customFormat="1" spans="1:3">
      <c r="A13308" s="6"/>
      <c r="B13308" s="6"/>
      <c r="C13308" s="6"/>
    </row>
    <row r="13309" s="1" customFormat="1" spans="1:3">
      <c r="A13309" s="6"/>
      <c r="B13309" s="6"/>
      <c r="C13309" s="6"/>
    </row>
    <row r="13310" s="1" customFormat="1" spans="1:3">
      <c r="A13310" s="6"/>
      <c r="B13310" s="6"/>
      <c r="C13310" s="6"/>
    </row>
    <row r="13311" s="1" customFormat="1" spans="1:3">
      <c r="A13311" s="6"/>
      <c r="B13311" s="6"/>
      <c r="C13311" s="6"/>
    </row>
    <row r="13312" s="1" customFormat="1" spans="1:3">
      <c r="A13312" s="6"/>
      <c r="B13312" s="6"/>
      <c r="C13312" s="6"/>
    </row>
    <row r="13313" s="1" customFormat="1" spans="1:3">
      <c r="A13313" s="6"/>
      <c r="B13313" s="6"/>
      <c r="C13313" s="6"/>
    </row>
    <row r="13314" s="1" customFormat="1" spans="1:3">
      <c r="A13314" s="6"/>
      <c r="B13314" s="6"/>
      <c r="C13314" s="6"/>
    </row>
    <row r="13315" s="1" customFormat="1" spans="1:3">
      <c r="A13315" s="6"/>
      <c r="B13315" s="6"/>
      <c r="C13315" s="6"/>
    </row>
    <row r="13316" s="1" customFormat="1" spans="1:3">
      <c r="A13316" s="6"/>
      <c r="B13316" s="6"/>
      <c r="C13316" s="6"/>
    </row>
    <row r="13317" s="1" customFormat="1" spans="1:3">
      <c r="A13317" s="6"/>
      <c r="B13317" s="6"/>
      <c r="C13317" s="6"/>
    </row>
    <row r="13318" s="1" customFormat="1" spans="1:3">
      <c r="A13318" s="6"/>
      <c r="B13318" s="6"/>
      <c r="C13318" s="6"/>
    </row>
    <row r="13319" s="1" customFormat="1" spans="1:3">
      <c r="A13319" s="6"/>
      <c r="B13319" s="6"/>
      <c r="C13319" s="6"/>
    </row>
    <row r="13320" s="1" customFormat="1" spans="1:3">
      <c r="A13320" s="6"/>
      <c r="B13320" s="6"/>
      <c r="C13320" s="6"/>
    </row>
    <row r="13321" s="1" customFormat="1" spans="1:3">
      <c r="A13321" s="6"/>
      <c r="B13321" s="6"/>
      <c r="C13321" s="6"/>
    </row>
    <row r="13322" s="1" customFormat="1" spans="1:3">
      <c r="A13322" s="6"/>
      <c r="B13322" s="6"/>
      <c r="C13322" s="6"/>
    </row>
    <row r="13323" s="1" customFormat="1" spans="1:3">
      <c r="A13323" s="6"/>
      <c r="B13323" s="6"/>
      <c r="C13323" s="6"/>
    </row>
    <row r="13324" s="1" customFormat="1" spans="1:3">
      <c r="A13324" s="6"/>
      <c r="B13324" s="6"/>
      <c r="C13324" s="6"/>
    </row>
    <row r="13325" s="1" customFormat="1" spans="1:3">
      <c r="A13325" s="6"/>
      <c r="B13325" s="6"/>
      <c r="C13325" s="6"/>
    </row>
    <row r="13326" s="1" customFormat="1" spans="1:3">
      <c r="A13326" s="6"/>
      <c r="B13326" s="6"/>
      <c r="C13326" s="6"/>
    </row>
    <row r="13327" s="1" customFormat="1" spans="1:3">
      <c r="A13327" s="6"/>
      <c r="B13327" s="6"/>
      <c r="C13327" s="6"/>
    </row>
    <row r="13328" s="1" customFormat="1" spans="1:3">
      <c r="A13328" s="6"/>
      <c r="B13328" s="6"/>
      <c r="C13328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8576"/>
  <sheetViews>
    <sheetView workbookViewId="0">
      <selection activeCell="D7" sqref="D7"/>
    </sheetView>
  </sheetViews>
  <sheetFormatPr defaultColWidth="8.88888888888889" defaultRowHeight="14.4"/>
  <cols>
    <col min="1" max="1" width="8.88888888888889" style="1"/>
    <col min="2" max="2" width="17" style="1" customWidth="1"/>
    <col min="3" max="16384" width="8.88888888888889" style="1"/>
  </cols>
  <sheetData>
    <row r="1" s="1" customFormat="1" ht="19.2" spans="1:9">
      <c r="A1" s="2" t="s">
        <v>3650</v>
      </c>
      <c r="B1" s="2" t="s">
        <v>3651</v>
      </c>
      <c r="D1" s="3" t="s">
        <v>3652</v>
      </c>
    </row>
    <row r="2" s="1" customFormat="1" ht="15.6" spans="1:9">
      <c r="A2" s="4" t="s">
        <v>248</v>
      </c>
      <c r="B2" s="4">
        <v>1300101007</v>
      </c>
      <c r="D2" s="5" t="s">
        <v>3653</v>
      </c>
      <c r="E2" s="5" t="s">
        <v>3654</v>
      </c>
      <c r="F2" s="5" t="s">
        <v>3655</v>
      </c>
      <c r="G2" s="5" t="s">
        <v>3656</v>
      </c>
      <c r="H2" s="5" t="s">
        <v>3657</v>
      </c>
      <c r="I2" s="5" t="s">
        <v>3658</v>
      </c>
    </row>
    <row r="3" s="1" customFormat="1" spans="1:9">
      <c r="A3" s="4" t="s">
        <v>101</v>
      </c>
      <c r="B3" s="4">
        <v>1300101018</v>
      </c>
      <c r="D3" s="6">
        <v>1300101</v>
      </c>
      <c r="E3" s="6" t="s">
        <v>3659</v>
      </c>
      <c r="F3" s="6" t="s">
        <v>3660</v>
      </c>
      <c r="G3" s="6" t="s">
        <v>3661</v>
      </c>
      <c r="H3" s="6"/>
      <c r="I3" s="6" t="s">
        <v>3662</v>
      </c>
    </row>
    <row r="4" s="1" customFormat="1" spans="1:9">
      <c r="A4" s="4" t="s">
        <v>590</v>
      </c>
      <c r="B4" s="4">
        <v>1300101040</v>
      </c>
      <c r="D4" s="6">
        <v>1300102</v>
      </c>
      <c r="E4" s="6" t="s">
        <v>3659</v>
      </c>
      <c r="F4" s="6" t="s">
        <v>3660</v>
      </c>
      <c r="G4" s="6" t="s">
        <v>3663</v>
      </c>
      <c r="H4" s="6"/>
      <c r="I4" s="6" t="s">
        <v>3662</v>
      </c>
    </row>
    <row r="5" s="1" customFormat="1" spans="1:9">
      <c r="A5" s="4" t="s">
        <v>60</v>
      </c>
      <c r="B5" s="4">
        <v>1300101043</v>
      </c>
      <c r="D5" s="6">
        <v>1300103</v>
      </c>
      <c r="E5" s="6" t="s">
        <v>3659</v>
      </c>
      <c r="F5" s="6" t="s">
        <v>3660</v>
      </c>
      <c r="G5" s="6" t="s">
        <v>3664</v>
      </c>
      <c r="H5" s="6"/>
      <c r="I5" s="6" t="s">
        <v>3662</v>
      </c>
    </row>
    <row r="6" s="1" customFormat="1" spans="1:9">
      <c r="A6" s="4" t="s">
        <v>871</v>
      </c>
      <c r="B6" s="4">
        <v>1300101051</v>
      </c>
      <c r="D6" s="6">
        <v>1300104</v>
      </c>
      <c r="E6" s="6" t="s">
        <v>3659</v>
      </c>
      <c r="F6" s="6" t="s">
        <v>3660</v>
      </c>
      <c r="G6" s="6" t="s">
        <v>3665</v>
      </c>
      <c r="H6" s="6"/>
      <c r="I6" s="6" t="s">
        <v>3662</v>
      </c>
    </row>
    <row r="7" s="1" customFormat="1" spans="1:9">
      <c r="A7" s="4" t="s">
        <v>179</v>
      </c>
      <c r="B7" s="4">
        <v>1300109012</v>
      </c>
      <c r="D7" s="6">
        <v>1300106</v>
      </c>
      <c r="E7" s="6" t="s">
        <v>3659</v>
      </c>
      <c r="F7" s="6" t="s">
        <v>3660</v>
      </c>
      <c r="G7" s="6" t="s">
        <v>3666</v>
      </c>
      <c r="H7" s="6"/>
      <c r="I7" s="6" t="s">
        <v>3662</v>
      </c>
    </row>
    <row r="8" s="1" customFormat="1" spans="1:9">
      <c r="A8" s="4" t="s">
        <v>3667</v>
      </c>
      <c r="B8" s="4">
        <v>1300201041</v>
      </c>
      <c r="C8" s="1"/>
      <c r="D8" s="6">
        <v>1300107</v>
      </c>
      <c r="E8" s="6" t="s">
        <v>3659</v>
      </c>
      <c r="F8" s="6" t="s">
        <v>3660</v>
      </c>
      <c r="G8" s="6" t="s">
        <v>3668</v>
      </c>
      <c r="H8" s="6"/>
      <c r="I8" s="6" t="s">
        <v>3662</v>
      </c>
    </row>
    <row r="9" s="1" customFormat="1" spans="1:9">
      <c r="A9" s="4" t="s">
        <v>3669</v>
      </c>
      <c r="B9" s="4">
        <v>1300207068</v>
      </c>
      <c r="C9" s="1"/>
      <c r="D9" s="6">
        <v>1300109</v>
      </c>
      <c r="E9" s="6" t="s">
        <v>3659</v>
      </c>
      <c r="F9" s="6" t="s">
        <v>3660</v>
      </c>
      <c r="G9" s="6" t="s">
        <v>3670</v>
      </c>
      <c r="H9" s="6"/>
      <c r="I9" s="6" t="s">
        <v>3662</v>
      </c>
    </row>
    <row r="10" s="1" customFormat="1" spans="1:9">
      <c r="A10" s="4" t="s">
        <v>3671</v>
      </c>
      <c r="B10" s="4">
        <v>1300207070</v>
      </c>
      <c r="C10" s="1"/>
      <c r="D10" s="6">
        <v>1300111</v>
      </c>
      <c r="E10" s="6" t="s">
        <v>3659</v>
      </c>
      <c r="F10" s="6" t="s">
        <v>3660</v>
      </c>
      <c r="G10" s="6" t="s">
        <v>3672</v>
      </c>
      <c r="H10" s="6"/>
      <c r="I10" s="6" t="s">
        <v>3662</v>
      </c>
    </row>
    <row r="11" s="1" customFormat="1" spans="1:9">
      <c r="A11" s="4" t="s">
        <v>3673</v>
      </c>
      <c r="B11" s="4">
        <v>1300406048</v>
      </c>
      <c r="C11" s="1"/>
      <c r="D11" s="6">
        <v>1300114</v>
      </c>
      <c r="E11" s="6" t="s">
        <v>3659</v>
      </c>
      <c r="F11" s="6" t="s">
        <v>3660</v>
      </c>
      <c r="G11" s="6" t="s">
        <v>3674</v>
      </c>
      <c r="H11" s="6"/>
      <c r="I11" s="6" t="s">
        <v>3662</v>
      </c>
    </row>
    <row r="12" s="1" customFormat="1" spans="1:9">
      <c r="A12" s="4" t="s">
        <v>3675</v>
      </c>
      <c r="B12" s="4">
        <v>1300421016</v>
      </c>
      <c r="C12" s="1"/>
      <c r="D12" s="6">
        <v>1300119</v>
      </c>
      <c r="E12" s="6" t="s">
        <v>3659</v>
      </c>
      <c r="F12" s="6" t="s">
        <v>3660</v>
      </c>
      <c r="G12" s="6" t="s">
        <v>3676</v>
      </c>
      <c r="H12" s="6"/>
      <c r="I12" s="6" t="s">
        <v>3662</v>
      </c>
    </row>
    <row r="13" s="1" customFormat="1" spans="1:9">
      <c r="A13" s="4" t="s">
        <v>154</v>
      </c>
      <c r="B13" s="4">
        <v>1300603036</v>
      </c>
      <c r="C13" s="1"/>
      <c r="D13" s="6">
        <v>1300131</v>
      </c>
      <c r="E13" s="6" t="s">
        <v>3659</v>
      </c>
      <c r="F13" s="6" t="s">
        <v>3660</v>
      </c>
      <c r="G13" s="6" t="s">
        <v>3677</v>
      </c>
      <c r="H13" s="6"/>
      <c r="I13" s="6" t="s">
        <v>3662</v>
      </c>
    </row>
    <row r="14" s="1" customFormat="1" spans="1:9">
      <c r="A14" s="4" t="s">
        <v>564</v>
      </c>
      <c r="B14" s="4">
        <v>1300603037</v>
      </c>
      <c r="C14" s="1"/>
      <c r="D14" s="6">
        <v>1300201</v>
      </c>
      <c r="E14" s="6" t="s">
        <v>3678</v>
      </c>
      <c r="F14" s="6" t="s">
        <v>3679</v>
      </c>
      <c r="G14" s="6" t="s">
        <v>3661</v>
      </c>
      <c r="H14" s="6"/>
      <c r="I14" s="6" t="s">
        <v>3662</v>
      </c>
    </row>
    <row r="15" spans="1:9">
      <c r="A15" s="4" t="s">
        <v>328</v>
      </c>
      <c r="B15" s="4">
        <v>1300603038</v>
      </c>
      <c r="D15" s="6">
        <v>1300202</v>
      </c>
      <c r="E15" s="6" t="s">
        <v>3678</v>
      </c>
      <c r="F15" s="6" t="s">
        <v>3679</v>
      </c>
      <c r="G15" s="6" t="s">
        <v>3663</v>
      </c>
      <c r="H15" s="6"/>
      <c r="I15" s="6" t="s">
        <v>3662</v>
      </c>
    </row>
    <row r="16" spans="1:9">
      <c r="A16" s="4" t="s">
        <v>1490</v>
      </c>
      <c r="B16" s="4">
        <v>1300603039</v>
      </c>
      <c r="D16" s="6">
        <v>1300203</v>
      </c>
      <c r="E16" s="6" t="s">
        <v>3678</v>
      </c>
      <c r="F16" s="6" t="s">
        <v>3679</v>
      </c>
      <c r="G16" s="6" t="s">
        <v>3664</v>
      </c>
      <c r="H16" s="6"/>
      <c r="I16" s="6" t="s">
        <v>3662</v>
      </c>
    </row>
    <row r="17" spans="1:9">
      <c r="A17" s="4" t="s">
        <v>75</v>
      </c>
      <c r="B17" s="4">
        <v>1300603040</v>
      </c>
      <c r="D17" s="6">
        <v>1300204</v>
      </c>
      <c r="E17" s="6" t="s">
        <v>3678</v>
      </c>
      <c r="F17" s="6" t="s">
        <v>3679</v>
      </c>
      <c r="G17" s="6" t="s">
        <v>3665</v>
      </c>
      <c r="H17" s="6"/>
      <c r="I17" s="6" t="s">
        <v>3662</v>
      </c>
    </row>
    <row r="18" spans="1:9">
      <c r="A18" s="4" t="s">
        <v>146</v>
      </c>
      <c r="B18" s="4">
        <v>1300603041</v>
      </c>
      <c r="D18" s="6">
        <v>1300205</v>
      </c>
      <c r="E18" s="6" t="s">
        <v>3678</v>
      </c>
      <c r="F18" s="6" t="s">
        <v>3679</v>
      </c>
      <c r="G18" s="6" t="s">
        <v>3680</v>
      </c>
      <c r="H18" s="6"/>
      <c r="I18" s="6" t="s">
        <v>3662</v>
      </c>
    </row>
    <row r="19" spans="1:9">
      <c r="A19" s="4" t="s">
        <v>1642</v>
      </c>
      <c r="B19" s="4">
        <v>1300603042</v>
      </c>
      <c r="D19" s="6">
        <v>1300206</v>
      </c>
      <c r="E19" s="6" t="s">
        <v>3678</v>
      </c>
      <c r="F19" s="6" t="s">
        <v>3679</v>
      </c>
      <c r="G19" s="6" t="s">
        <v>3681</v>
      </c>
      <c r="H19" s="6"/>
      <c r="I19" s="6" t="s">
        <v>3662</v>
      </c>
    </row>
    <row r="20" spans="1:9">
      <c r="A20" s="4" t="s">
        <v>830</v>
      </c>
      <c r="B20" s="4">
        <v>1300603043</v>
      </c>
      <c r="D20" s="6">
        <v>1300207</v>
      </c>
      <c r="E20" s="6" t="s">
        <v>3678</v>
      </c>
      <c r="F20" s="6" t="s">
        <v>3679</v>
      </c>
      <c r="G20" s="6" t="s">
        <v>3668</v>
      </c>
      <c r="H20" s="6"/>
      <c r="I20" s="6" t="s">
        <v>3662</v>
      </c>
    </row>
    <row r="21" spans="1:9">
      <c r="A21" s="4" t="s">
        <v>890</v>
      </c>
      <c r="B21" s="4">
        <v>1300603106</v>
      </c>
      <c r="D21" s="6">
        <v>1300208</v>
      </c>
      <c r="E21" s="6" t="s">
        <v>3678</v>
      </c>
      <c r="F21" s="6" t="s">
        <v>3679</v>
      </c>
      <c r="G21" s="6" t="s">
        <v>3682</v>
      </c>
      <c r="H21" s="6"/>
      <c r="I21" s="6" t="s">
        <v>3662</v>
      </c>
    </row>
    <row r="22" spans="1:9">
      <c r="A22" s="4" t="s">
        <v>3683</v>
      </c>
      <c r="B22" s="4">
        <v>1300605003</v>
      </c>
      <c r="D22" s="6">
        <v>1300209</v>
      </c>
      <c r="E22" s="6" t="s">
        <v>3678</v>
      </c>
      <c r="F22" s="6" t="s">
        <v>3679</v>
      </c>
      <c r="G22" s="6" t="s">
        <v>3684</v>
      </c>
      <c r="H22" s="6"/>
      <c r="I22" s="6" t="s">
        <v>3662</v>
      </c>
    </row>
    <row r="23" spans="1:9">
      <c r="A23" s="4" t="s">
        <v>709</v>
      </c>
      <c r="B23" s="4">
        <v>1300605007</v>
      </c>
      <c r="D23" s="6">
        <v>1300210</v>
      </c>
      <c r="E23" s="6" t="s">
        <v>3678</v>
      </c>
      <c r="F23" s="6" t="s">
        <v>3679</v>
      </c>
      <c r="G23" s="6" t="s">
        <v>3685</v>
      </c>
      <c r="H23" s="6"/>
      <c r="I23" s="6" t="s">
        <v>3662</v>
      </c>
    </row>
    <row r="24" spans="1:9">
      <c r="A24" s="4" t="s">
        <v>3686</v>
      </c>
      <c r="B24" s="4">
        <v>1300607004</v>
      </c>
      <c r="D24" s="6">
        <v>1300211</v>
      </c>
      <c r="E24" s="6" t="s">
        <v>3678</v>
      </c>
      <c r="F24" s="6" t="s">
        <v>3679</v>
      </c>
      <c r="G24" s="6" t="s">
        <v>3687</v>
      </c>
      <c r="H24" s="6"/>
      <c r="I24" s="6" t="s">
        <v>3662</v>
      </c>
    </row>
    <row r="25" spans="1:9">
      <c r="A25" s="4" t="s">
        <v>3688</v>
      </c>
      <c r="B25" s="4">
        <v>1300607006</v>
      </c>
      <c r="D25" s="6">
        <v>1300212</v>
      </c>
      <c r="E25" s="6" t="s">
        <v>3678</v>
      </c>
      <c r="F25" s="6" t="s">
        <v>3679</v>
      </c>
      <c r="G25" s="6" t="s">
        <v>3689</v>
      </c>
      <c r="H25" s="6"/>
      <c r="I25" s="6" t="s">
        <v>3662</v>
      </c>
    </row>
    <row r="26" spans="1:9">
      <c r="A26" s="4" t="s">
        <v>78</v>
      </c>
      <c r="B26" s="4">
        <v>1300607014</v>
      </c>
      <c r="D26" s="6">
        <v>1300213</v>
      </c>
      <c r="E26" s="6" t="s">
        <v>3678</v>
      </c>
      <c r="F26" s="6" t="s">
        <v>3679</v>
      </c>
      <c r="G26" s="6" t="s">
        <v>3690</v>
      </c>
      <c r="H26" s="6"/>
      <c r="I26" s="6" t="s">
        <v>3662</v>
      </c>
    </row>
    <row r="27" spans="1:9">
      <c r="A27" s="4" t="s">
        <v>117</v>
      </c>
      <c r="B27" s="4">
        <v>1300607015</v>
      </c>
      <c r="D27" s="6">
        <v>1300214</v>
      </c>
      <c r="E27" s="6" t="s">
        <v>3678</v>
      </c>
      <c r="F27" s="6" t="s">
        <v>3679</v>
      </c>
      <c r="G27" s="6" t="s">
        <v>3691</v>
      </c>
      <c r="H27" s="6"/>
      <c r="I27" s="6" t="s">
        <v>3662</v>
      </c>
    </row>
    <row r="28" spans="1:9">
      <c r="A28" s="4" t="s">
        <v>393</v>
      </c>
      <c r="B28" s="4">
        <v>1300607016</v>
      </c>
      <c r="D28" s="6">
        <v>1300215</v>
      </c>
      <c r="E28" s="6" t="s">
        <v>3678</v>
      </c>
      <c r="F28" s="6" t="s">
        <v>3679</v>
      </c>
      <c r="G28" s="6" t="s">
        <v>3692</v>
      </c>
      <c r="H28" s="6"/>
      <c r="I28" s="6" t="s">
        <v>3662</v>
      </c>
    </row>
    <row r="29" spans="1:9">
      <c r="A29" s="4" t="s">
        <v>1389</v>
      </c>
      <c r="B29" s="4">
        <v>1300607032</v>
      </c>
      <c r="D29" s="6">
        <v>1300216</v>
      </c>
      <c r="E29" s="6" t="s">
        <v>3678</v>
      </c>
      <c r="F29" s="6" t="s">
        <v>3679</v>
      </c>
      <c r="G29" s="6" t="s">
        <v>3693</v>
      </c>
      <c r="H29" s="6"/>
      <c r="I29" s="6" t="s">
        <v>3662</v>
      </c>
    </row>
    <row r="30" spans="1:9">
      <c r="A30" s="4" t="s">
        <v>190</v>
      </c>
      <c r="B30" s="4">
        <v>1300609001</v>
      </c>
      <c r="D30" s="6">
        <v>1300217</v>
      </c>
      <c r="E30" s="6" t="s">
        <v>3678</v>
      </c>
      <c r="F30" s="6" t="s">
        <v>3679</v>
      </c>
      <c r="G30" s="6" t="s">
        <v>3694</v>
      </c>
      <c r="H30" s="6"/>
      <c r="I30" s="6" t="s">
        <v>3662</v>
      </c>
    </row>
    <row r="31" spans="1:9">
      <c r="A31" s="4" t="s">
        <v>302</v>
      </c>
      <c r="B31" s="4">
        <v>1300609018</v>
      </c>
      <c r="D31" s="6">
        <v>1300218</v>
      </c>
      <c r="E31" s="6" t="s">
        <v>3678</v>
      </c>
      <c r="F31" s="6" t="s">
        <v>3679</v>
      </c>
      <c r="G31" s="6" t="s">
        <v>3695</v>
      </c>
      <c r="H31" s="6"/>
      <c r="I31" s="6" t="s">
        <v>3662</v>
      </c>
    </row>
    <row r="32" spans="1:9">
      <c r="A32" s="4" t="s">
        <v>3696</v>
      </c>
      <c r="B32" s="4">
        <v>1300609021</v>
      </c>
      <c r="D32" s="6">
        <v>1300219</v>
      </c>
      <c r="E32" s="6" t="s">
        <v>3678</v>
      </c>
      <c r="F32" s="6" t="s">
        <v>3679</v>
      </c>
      <c r="G32" s="6" t="s">
        <v>3666</v>
      </c>
      <c r="H32" s="6"/>
      <c r="I32" s="6" t="s">
        <v>3662</v>
      </c>
    </row>
    <row r="33" spans="1:9">
      <c r="A33" s="4" t="s">
        <v>3697</v>
      </c>
      <c r="B33" s="4">
        <v>1300611010</v>
      </c>
      <c r="D33" s="6">
        <v>1300222</v>
      </c>
      <c r="E33" s="6" t="s">
        <v>3678</v>
      </c>
      <c r="F33" s="6" t="s">
        <v>3679</v>
      </c>
      <c r="G33" s="6" t="s">
        <v>3698</v>
      </c>
      <c r="H33" s="6"/>
      <c r="I33" s="6" t="s">
        <v>3662</v>
      </c>
    </row>
    <row r="34" spans="1:9">
      <c r="A34" s="4" t="s">
        <v>981</v>
      </c>
      <c r="B34" s="4">
        <v>1300613016</v>
      </c>
      <c r="D34" s="6">
        <v>1300223</v>
      </c>
      <c r="E34" s="6" t="s">
        <v>3678</v>
      </c>
      <c r="F34" s="6" t="s">
        <v>3679</v>
      </c>
      <c r="G34" s="6" t="s">
        <v>3699</v>
      </c>
      <c r="H34" s="6"/>
      <c r="I34" s="6" t="s">
        <v>3662</v>
      </c>
    </row>
    <row r="35" spans="1:9">
      <c r="A35" s="4" t="s">
        <v>808</v>
      </c>
      <c r="B35" s="4">
        <v>1300613017</v>
      </c>
      <c r="D35" s="6">
        <v>1300224</v>
      </c>
      <c r="E35" s="6" t="s">
        <v>3678</v>
      </c>
      <c r="F35" s="6" t="s">
        <v>3679</v>
      </c>
      <c r="G35" s="6" t="s">
        <v>3700</v>
      </c>
      <c r="H35" s="6"/>
      <c r="I35" s="6" t="s">
        <v>3662</v>
      </c>
    </row>
    <row r="36" spans="1:9">
      <c r="A36" s="4" t="s">
        <v>3701</v>
      </c>
      <c r="B36" s="4">
        <v>1300613026</v>
      </c>
      <c r="D36" s="6">
        <v>1300226</v>
      </c>
      <c r="E36" s="6" t="s">
        <v>3678</v>
      </c>
      <c r="F36" s="6" t="s">
        <v>3679</v>
      </c>
      <c r="G36" s="6" t="s">
        <v>3702</v>
      </c>
      <c r="H36" s="6"/>
      <c r="I36" s="6" t="s">
        <v>3662</v>
      </c>
    </row>
    <row r="37" spans="1:9">
      <c r="A37" s="4" t="s">
        <v>51</v>
      </c>
      <c r="B37" s="4">
        <v>1300624103</v>
      </c>
      <c r="D37" s="6">
        <v>1300227</v>
      </c>
      <c r="E37" s="6" t="s">
        <v>3678</v>
      </c>
      <c r="F37" s="6" t="s">
        <v>3679</v>
      </c>
      <c r="G37" s="6" t="s">
        <v>3703</v>
      </c>
      <c r="H37" s="6"/>
      <c r="I37" s="6" t="s">
        <v>3662</v>
      </c>
    </row>
    <row r="38" spans="1:9">
      <c r="A38" s="4" t="s">
        <v>1146</v>
      </c>
      <c r="B38" s="4">
        <v>1300624104</v>
      </c>
      <c r="D38" s="6">
        <v>1300228</v>
      </c>
      <c r="E38" s="6" t="s">
        <v>3678</v>
      </c>
      <c r="F38" s="6" t="s">
        <v>3679</v>
      </c>
      <c r="G38" s="6" t="s">
        <v>3704</v>
      </c>
      <c r="H38" s="6"/>
      <c r="I38" s="6" t="s">
        <v>3662</v>
      </c>
    </row>
    <row r="39" spans="1:9">
      <c r="A39" s="4" t="s">
        <v>274</v>
      </c>
      <c r="B39" s="4">
        <v>1300626003</v>
      </c>
      <c r="D39" s="6">
        <v>1300229</v>
      </c>
      <c r="E39" s="6" t="s">
        <v>3678</v>
      </c>
      <c r="F39" s="6" t="s">
        <v>3679</v>
      </c>
      <c r="G39" s="6" t="s">
        <v>3705</v>
      </c>
      <c r="H39" s="6"/>
      <c r="I39" s="6" t="s">
        <v>3662</v>
      </c>
    </row>
    <row r="40" spans="1:9">
      <c r="A40" s="4" t="s">
        <v>168</v>
      </c>
      <c r="B40" s="4">
        <v>1300627002</v>
      </c>
      <c r="D40" s="6">
        <v>1300231</v>
      </c>
      <c r="E40" s="6" t="s">
        <v>3678</v>
      </c>
      <c r="F40" s="6" t="s">
        <v>3679</v>
      </c>
      <c r="G40" s="6" t="s">
        <v>3706</v>
      </c>
      <c r="H40" s="6"/>
      <c r="I40" s="6" t="s">
        <v>3662</v>
      </c>
    </row>
    <row r="41" spans="1:9">
      <c r="A41" s="4" t="s">
        <v>3707</v>
      </c>
      <c r="B41" s="4">
        <v>1300810012</v>
      </c>
      <c r="D41" s="6">
        <v>1300232</v>
      </c>
      <c r="E41" s="6" t="s">
        <v>3678</v>
      </c>
      <c r="F41" s="6" t="s">
        <v>3679</v>
      </c>
      <c r="G41" s="6" t="s">
        <v>3708</v>
      </c>
      <c r="H41" s="6"/>
      <c r="I41" s="6" t="s">
        <v>3662</v>
      </c>
    </row>
    <row r="42" spans="1:9">
      <c r="A42" s="4" t="s">
        <v>1417</v>
      </c>
      <c r="B42" s="4">
        <v>1310701011</v>
      </c>
      <c r="D42" s="6">
        <v>1300237</v>
      </c>
      <c r="E42" s="6" t="s">
        <v>3678</v>
      </c>
      <c r="F42" s="6" t="s">
        <v>3679</v>
      </c>
      <c r="G42" s="6" t="s">
        <v>3709</v>
      </c>
      <c r="H42" s="6"/>
      <c r="I42" s="6" t="s">
        <v>3662</v>
      </c>
    </row>
    <row r="43" spans="1:9">
      <c r="A43" s="4" t="s">
        <v>3710</v>
      </c>
      <c r="B43" s="4">
        <v>1800108021</v>
      </c>
      <c r="D43" s="6">
        <v>1300239</v>
      </c>
      <c r="E43" s="6" t="s">
        <v>3678</v>
      </c>
      <c r="F43" s="6" t="s">
        <v>3679</v>
      </c>
      <c r="G43" s="6" t="s">
        <v>3711</v>
      </c>
      <c r="H43" s="6"/>
      <c r="I43" s="6" t="s">
        <v>3662</v>
      </c>
    </row>
    <row r="44" spans="1:9">
      <c r="A44" s="4" t="s">
        <v>3712</v>
      </c>
      <c r="B44" s="4">
        <v>1800108093</v>
      </c>
      <c r="D44" s="6">
        <v>1300241</v>
      </c>
      <c r="E44" s="6" t="s">
        <v>3678</v>
      </c>
      <c r="F44" s="6" t="s">
        <v>3679</v>
      </c>
      <c r="G44" s="6" t="s">
        <v>3713</v>
      </c>
      <c r="H44" s="6"/>
      <c r="I44" s="6" t="s">
        <v>3662</v>
      </c>
    </row>
    <row r="45" spans="1:9">
      <c r="A45" s="4" t="s">
        <v>308</v>
      </c>
      <c r="B45" s="4">
        <v>1800108097</v>
      </c>
      <c r="D45" s="6">
        <v>1300243</v>
      </c>
      <c r="E45" s="6" t="s">
        <v>3678</v>
      </c>
      <c r="F45" s="6" t="s">
        <v>3679</v>
      </c>
      <c r="G45" s="6" t="s">
        <v>3714</v>
      </c>
      <c r="H45" s="6"/>
      <c r="I45" s="6" t="s">
        <v>3662</v>
      </c>
    </row>
    <row r="46" spans="1:9">
      <c r="A46" s="4" t="s">
        <v>861</v>
      </c>
      <c r="B46" s="4">
        <v>1800108098</v>
      </c>
      <c r="D46" s="6">
        <v>1300244</v>
      </c>
      <c r="E46" s="6" t="s">
        <v>3678</v>
      </c>
      <c r="F46" s="6" t="s">
        <v>3679</v>
      </c>
      <c r="G46" s="6" t="s">
        <v>3715</v>
      </c>
      <c r="H46" s="6"/>
      <c r="I46" s="6" t="s">
        <v>3662</v>
      </c>
    </row>
    <row r="47" spans="1:9">
      <c r="A47" s="4" t="s">
        <v>3716</v>
      </c>
      <c r="B47" s="4">
        <v>1800201067</v>
      </c>
      <c r="D47" s="6">
        <v>1300245</v>
      </c>
      <c r="E47" s="6" t="s">
        <v>3678</v>
      </c>
      <c r="F47" s="6" t="s">
        <v>3679</v>
      </c>
      <c r="G47" s="6" t="s">
        <v>3717</v>
      </c>
      <c r="H47" s="6"/>
      <c r="I47" s="6" t="s">
        <v>3662</v>
      </c>
    </row>
    <row r="48" spans="1:9">
      <c r="A48" s="4" t="s">
        <v>3718</v>
      </c>
      <c r="B48" s="4">
        <v>1800201068</v>
      </c>
      <c r="D48" s="6">
        <v>1300248</v>
      </c>
      <c r="E48" s="6" t="s">
        <v>3678</v>
      </c>
      <c r="F48" s="6" t="s">
        <v>3679</v>
      </c>
      <c r="G48" s="6" t="s">
        <v>3677</v>
      </c>
      <c r="H48" s="6"/>
      <c r="I48" s="6" t="s">
        <v>3662</v>
      </c>
    </row>
    <row r="49" spans="1:9">
      <c r="A49" s="4" t="s">
        <v>3719</v>
      </c>
      <c r="B49" s="4">
        <v>1800201070</v>
      </c>
      <c r="D49" s="6">
        <v>1300249</v>
      </c>
      <c r="E49" s="6" t="s">
        <v>3678</v>
      </c>
      <c r="F49" s="6" t="s">
        <v>3679</v>
      </c>
      <c r="G49" s="6" t="s">
        <v>3720</v>
      </c>
      <c r="H49" s="6"/>
      <c r="I49" s="6" t="s">
        <v>3662</v>
      </c>
    </row>
    <row r="50" spans="1:9">
      <c r="A50" s="4" t="s">
        <v>3721</v>
      </c>
      <c r="B50" s="4">
        <v>1800201072</v>
      </c>
      <c r="D50" s="6">
        <v>1300254</v>
      </c>
      <c r="E50" s="6" t="s">
        <v>3678</v>
      </c>
      <c r="F50" s="6" t="s">
        <v>3679</v>
      </c>
      <c r="G50" s="6" t="s">
        <v>3722</v>
      </c>
      <c r="H50" s="6"/>
      <c r="I50" s="6" t="s">
        <v>3662</v>
      </c>
    </row>
    <row r="51" spans="1:9">
      <c r="A51" s="4" t="s">
        <v>3723</v>
      </c>
      <c r="B51" s="4">
        <v>1800201074</v>
      </c>
      <c r="D51" s="6">
        <v>1300401</v>
      </c>
      <c r="E51" s="6" t="s">
        <v>3678</v>
      </c>
      <c r="F51" s="6" t="s">
        <v>3724</v>
      </c>
      <c r="G51" s="6" t="s">
        <v>3725</v>
      </c>
      <c r="H51" s="6"/>
      <c r="I51" s="6" t="s">
        <v>3662</v>
      </c>
    </row>
    <row r="52" spans="1:9">
      <c r="A52" s="4" t="s">
        <v>3726</v>
      </c>
      <c r="B52" s="4">
        <v>1800201195</v>
      </c>
      <c r="D52" s="6">
        <v>1300402</v>
      </c>
      <c r="E52" s="6" t="s">
        <v>3678</v>
      </c>
      <c r="F52" s="6" t="s">
        <v>3724</v>
      </c>
      <c r="G52" s="6" t="s">
        <v>3727</v>
      </c>
      <c r="H52" s="6"/>
      <c r="I52" s="6" t="s">
        <v>3662</v>
      </c>
    </row>
    <row r="53" spans="1:9">
      <c r="A53" s="4" t="s">
        <v>3728</v>
      </c>
      <c r="B53" s="4">
        <v>1800201196</v>
      </c>
      <c r="D53" s="6">
        <v>1300403</v>
      </c>
      <c r="E53" s="6" t="s">
        <v>3678</v>
      </c>
      <c r="F53" s="6" t="s">
        <v>3724</v>
      </c>
      <c r="G53" s="6" t="s">
        <v>3729</v>
      </c>
      <c r="H53" s="6"/>
      <c r="I53" s="6" t="s">
        <v>3662</v>
      </c>
    </row>
    <row r="54" spans="1:9">
      <c r="A54" s="4" t="s">
        <v>3730</v>
      </c>
      <c r="B54" s="4">
        <v>1800201197</v>
      </c>
      <c r="D54" s="6">
        <v>1300404</v>
      </c>
      <c r="E54" s="6" t="s">
        <v>3678</v>
      </c>
      <c r="F54" s="6" t="s">
        <v>3724</v>
      </c>
      <c r="G54" s="6" t="s">
        <v>3731</v>
      </c>
      <c r="H54" s="6"/>
      <c r="I54" s="6" t="s">
        <v>3662</v>
      </c>
    </row>
    <row r="55" spans="1:9">
      <c r="A55" s="4" t="s">
        <v>3732</v>
      </c>
      <c r="B55" s="4">
        <v>1800201198</v>
      </c>
      <c r="D55" s="6">
        <v>1300405</v>
      </c>
      <c r="E55" s="6" t="s">
        <v>3678</v>
      </c>
      <c r="F55" s="6" t="s">
        <v>3724</v>
      </c>
      <c r="G55" s="6" t="s">
        <v>3733</v>
      </c>
      <c r="H55" s="6"/>
      <c r="I55" s="6" t="s">
        <v>3662</v>
      </c>
    </row>
    <row r="56" spans="1:9">
      <c r="A56" s="4" t="s">
        <v>3734</v>
      </c>
      <c r="B56" s="4">
        <v>1800201199</v>
      </c>
      <c r="D56" s="6">
        <v>1300406</v>
      </c>
      <c r="E56" s="6" t="s">
        <v>3678</v>
      </c>
      <c r="F56" s="6" t="s">
        <v>3724</v>
      </c>
      <c r="G56" s="6" t="s">
        <v>3735</v>
      </c>
      <c r="H56" s="6"/>
      <c r="I56" s="6" t="s">
        <v>3662</v>
      </c>
    </row>
    <row r="57" spans="1:9">
      <c r="A57" s="4" t="s">
        <v>3736</v>
      </c>
      <c r="B57" s="4">
        <v>1800201201</v>
      </c>
      <c r="D57" s="6">
        <v>1300407</v>
      </c>
      <c r="E57" s="6" t="s">
        <v>3678</v>
      </c>
      <c r="F57" s="6" t="s">
        <v>3724</v>
      </c>
      <c r="G57" s="6" t="s">
        <v>3737</v>
      </c>
      <c r="H57" s="6"/>
      <c r="I57" s="6" t="s">
        <v>3662</v>
      </c>
    </row>
    <row r="58" spans="1:9">
      <c r="A58" s="4" t="s">
        <v>3738</v>
      </c>
      <c r="B58" s="4">
        <v>1800201203</v>
      </c>
      <c r="D58" s="6">
        <v>1300408</v>
      </c>
      <c r="E58" s="6" t="s">
        <v>3678</v>
      </c>
      <c r="F58" s="6" t="s">
        <v>3724</v>
      </c>
      <c r="G58" s="6" t="s">
        <v>3739</v>
      </c>
      <c r="H58" s="6"/>
      <c r="I58" s="6" t="s">
        <v>3662</v>
      </c>
    </row>
    <row r="59" spans="1:9">
      <c r="A59" s="4" t="s">
        <v>3740</v>
      </c>
      <c r="B59" s="4">
        <v>1800201204</v>
      </c>
      <c r="D59" s="6">
        <v>1300409</v>
      </c>
      <c r="E59" s="6" t="s">
        <v>3678</v>
      </c>
      <c r="F59" s="6" t="s">
        <v>3724</v>
      </c>
      <c r="G59" s="6" t="s">
        <v>3741</v>
      </c>
      <c r="H59" s="6"/>
      <c r="I59" s="6" t="s">
        <v>3662</v>
      </c>
    </row>
    <row r="60" spans="1:9">
      <c r="A60" s="4" t="s">
        <v>3742</v>
      </c>
      <c r="B60" s="4">
        <v>1800201205</v>
      </c>
      <c r="D60" s="6">
        <v>1300410</v>
      </c>
      <c r="E60" s="6" t="s">
        <v>3678</v>
      </c>
      <c r="F60" s="6" t="s">
        <v>3724</v>
      </c>
      <c r="G60" s="6" t="s">
        <v>3743</v>
      </c>
      <c r="H60" s="6"/>
      <c r="I60" s="6" t="s">
        <v>3662</v>
      </c>
    </row>
    <row r="61" spans="1:9">
      <c r="A61" s="4" t="s">
        <v>3744</v>
      </c>
      <c r="B61" s="4">
        <v>1800201206</v>
      </c>
      <c r="D61" s="6">
        <v>1300411</v>
      </c>
      <c r="E61" s="6" t="s">
        <v>3678</v>
      </c>
      <c r="F61" s="6" t="s">
        <v>3724</v>
      </c>
      <c r="G61" s="6" t="s">
        <v>3745</v>
      </c>
      <c r="H61" s="6"/>
      <c r="I61" s="6" t="s">
        <v>3662</v>
      </c>
    </row>
    <row r="62" spans="1:9">
      <c r="A62" s="4" t="s">
        <v>3746</v>
      </c>
      <c r="B62" s="4">
        <v>1800201207</v>
      </c>
      <c r="D62" s="6">
        <v>1300412</v>
      </c>
      <c r="E62" s="6" t="s">
        <v>3678</v>
      </c>
      <c r="F62" s="6" t="s">
        <v>3724</v>
      </c>
      <c r="G62" s="6" t="s">
        <v>3747</v>
      </c>
      <c r="H62" s="6"/>
      <c r="I62" s="6" t="s">
        <v>3662</v>
      </c>
    </row>
    <row r="63" spans="1:9">
      <c r="A63" s="4" t="s">
        <v>3748</v>
      </c>
      <c r="B63" s="4">
        <v>1800201208</v>
      </c>
      <c r="D63" s="6">
        <v>1300413</v>
      </c>
      <c r="E63" s="6" t="s">
        <v>3678</v>
      </c>
      <c r="F63" s="6" t="s">
        <v>3724</v>
      </c>
      <c r="G63" s="6" t="s">
        <v>3749</v>
      </c>
      <c r="H63" s="6"/>
      <c r="I63" s="6" t="s">
        <v>3662</v>
      </c>
    </row>
    <row r="64" spans="1:9">
      <c r="A64" s="4" t="s">
        <v>3750</v>
      </c>
      <c r="B64" s="4">
        <v>1800201209</v>
      </c>
      <c r="D64" s="6">
        <v>1300414</v>
      </c>
      <c r="E64" s="6" t="s">
        <v>3678</v>
      </c>
      <c r="F64" s="6" t="s">
        <v>3724</v>
      </c>
      <c r="G64" s="6" t="s">
        <v>3751</v>
      </c>
      <c r="H64" s="6"/>
      <c r="I64" s="6" t="s">
        <v>3662</v>
      </c>
    </row>
    <row r="65" spans="1:9">
      <c r="A65" s="4" t="s">
        <v>3752</v>
      </c>
      <c r="B65" s="4">
        <v>1800201210</v>
      </c>
      <c r="D65" s="6">
        <v>1300415</v>
      </c>
      <c r="E65" s="6" t="s">
        <v>3678</v>
      </c>
      <c r="F65" s="6" t="s">
        <v>3724</v>
      </c>
      <c r="G65" s="6" t="s">
        <v>3753</v>
      </c>
      <c r="H65" s="6"/>
      <c r="I65" s="6" t="s">
        <v>3662</v>
      </c>
    </row>
    <row r="66" spans="1:9">
      <c r="A66" s="4" t="s">
        <v>3754</v>
      </c>
      <c r="B66" s="4">
        <v>1800201213</v>
      </c>
      <c r="D66" s="6">
        <v>1300417</v>
      </c>
      <c r="E66" s="6" t="s">
        <v>3678</v>
      </c>
      <c r="F66" s="6" t="s">
        <v>3724</v>
      </c>
      <c r="G66" s="6" t="s">
        <v>3755</v>
      </c>
      <c r="H66" s="6"/>
      <c r="I66" s="6" t="s">
        <v>3662</v>
      </c>
    </row>
    <row r="67" spans="1:9">
      <c r="A67" s="4" t="s">
        <v>3756</v>
      </c>
      <c r="B67" s="4">
        <v>1800201214</v>
      </c>
      <c r="D67" s="6">
        <v>1300419</v>
      </c>
      <c r="E67" s="6" t="s">
        <v>3678</v>
      </c>
      <c r="F67" s="6" t="s">
        <v>3724</v>
      </c>
      <c r="G67" s="6" t="s">
        <v>3757</v>
      </c>
      <c r="H67" s="6"/>
      <c r="I67" s="6" t="s">
        <v>3662</v>
      </c>
    </row>
    <row r="68" spans="1:9">
      <c r="A68" s="4" t="s">
        <v>3758</v>
      </c>
      <c r="B68" s="4">
        <v>1800201215</v>
      </c>
      <c r="D68" s="6">
        <v>1300420</v>
      </c>
      <c r="E68" s="6" t="s">
        <v>3678</v>
      </c>
      <c r="F68" s="6" t="s">
        <v>3724</v>
      </c>
      <c r="G68" s="6" t="s">
        <v>3759</v>
      </c>
      <c r="H68" s="6"/>
      <c r="I68" s="6" t="s">
        <v>3662</v>
      </c>
    </row>
    <row r="69" spans="1:9">
      <c r="A69" s="4" t="s">
        <v>3760</v>
      </c>
      <c r="B69" s="4">
        <v>1800201221</v>
      </c>
      <c r="D69" s="6">
        <v>1300421</v>
      </c>
      <c r="E69" s="6" t="s">
        <v>3678</v>
      </c>
      <c r="F69" s="6" t="s">
        <v>3724</v>
      </c>
      <c r="G69" s="6" t="s">
        <v>3761</v>
      </c>
      <c r="H69" s="6"/>
      <c r="I69" s="6" t="s">
        <v>3662</v>
      </c>
    </row>
    <row r="70" spans="1:9">
      <c r="A70" s="4" t="s">
        <v>3762</v>
      </c>
      <c r="B70" s="4">
        <v>1800201222</v>
      </c>
      <c r="D70" s="6">
        <v>1300422</v>
      </c>
      <c r="E70" s="6" t="s">
        <v>3678</v>
      </c>
      <c r="F70" s="6" t="s">
        <v>3724</v>
      </c>
      <c r="G70" s="6" t="s">
        <v>3763</v>
      </c>
      <c r="H70" s="6"/>
      <c r="I70" s="6" t="s">
        <v>3662</v>
      </c>
    </row>
    <row r="71" spans="1:9">
      <c r="A71" s="4" t="s">
        <v>3764</v>
      </c>
      <c r="B71" s="4">
        <v>1800201224</v>
      </c>
      <c r="D71" s="6">
        <v>1300426</v>
      </c>
      <c r="E71" s="6" t="s">
        <v>3678</v>
      </c>
      <c r="F71" s="6" t="s">
        <v>3724</v>
      </c>
      <c r="G71" s="6" t="s">
        <v>3765</v>
      </c>
      <c r="H71" s="6"/>
      <c r="I71" s="6" t="s">
        <v>3662</v>
      </c>
    </row>
    <row r="72" spans="1:9">
      <c r="A72" s="4" t="s">
        <v>3766</v>
      </c>
      <c r="B72" s="4">
        <v>1800201225</v>
      </c>
      <c r="D72" s="6">
        <v>1300428</v>
      </c>
      <c r="E72" s="6" t="s">
        <v>3678</v>
      </c>
      <c r="F72" s="6" t="s">
        <v>3724</v>
      </c>
      <c r="G72" s="6" t="s">
        <v>3767</v>
      </c>
      <c r="H72" s="6"/>
      <c r="I72" s="6" t="s">
        <v>3662</v>
      </c>
    </row>
    <row r="73" spans="1:9">
      <c r="A73" s="4" t="s">
        <v>3768</v>
      </c>
      <c r="B73" s="4">
        <v>1800201226</v>
      </c>
      <c r="D73" s="6">
        <v>1300435</v>
      </c>
      <c r="E73" s="6" t="s">
        <v>3678</v>
      </c>
      <c r="F73" s="6" t="s">
        <v>3724</v>
      </c>
      <c r="G73" s="6" t="s">
        <v>3769</v>
      </c>
      <c r="H73" s="6"/>
      <c r="I73" s="6" t="s">
        <v>3662</v>
      </c>
    </row>
    <row r="74" spans="1:9">
      <c r="A74" s="4" t="s">
        <v>3770</v>
      </c>
      <c r="B74" s="4">
        <v>1300101048</v>
      </c>
      <c r="D74" s="6">
        <v>1300436</v>
      </c>
      <c r="E74" s="6" t="s">
        <v>3678</v>
      </c>
      <c r="F74" s="6" t="s">
        <v>3724</v>
      </c>
      <c r="G74" s="6" t="s">
        <v>3771</v>
      </c>
      <c r="H74" s="6"/>
      <c r="I74" s="6" t="s">
        <v>3662</v>
      </c>
    </row>
    <row r="75" spans="1:9">
      <c r="A75" s="4" t="s">
        <v>3772</v>
      </c>
      <c r="B75" s="4">
        <v>1300101049</v>
      </c>
      <c r="D75" s="6">
        <v>1300440</v>
      </c>
      <c r="E75" s="6" t="s">
        <v>3678</v>
      </c>
      <c r="F75" s="6" t="s">
        <v>3724</v>
      </c>
      <c r="G75" s="6" t="s">
        <v>3773</v>
      </c>
      <c r="H75" s="6"/>
      <c r="I75" s="6" t="s">
        <v>3662</v>
      </c>
    </row>
    <row r="76" spans="1:9">
      <c r="A76" s="4" t="s">
        <v>283</v>
      </c>
      <c r="B76" s="4">
        <v>1300104005</v>
      </c>
      <c r="D76" s="6">
        <v>1300441</v>
      </c>
      <c r="E76" s="6" t="s">
        <v>3678</v>
      </c>
      <c r="F76" s="6" t="s">
        <v>3724</v>
      </c>
      <c r="G76" s="6" t="s">
        <v>3774</v>
      </c>
      <c r="H76" s="6"/>
      <c r="I76" s="6" t="s">
        <v>3662</v>
      </c>
    </row>
    <row r="77" spans="1:9">
      <c r="A77" s="4" t="s">
        <v>3775</v>
      </c>
      <c r="B77" s="4">
        <v>1300106008</v>
      </c>
      <c r="D77" s="6">
        <v>1300443</v>
      </c>
      <c r="E77" s="6" t="s">
        <v>3678</v>
      </c>
      <c r="F77" s="6" t="s">
        <v>3724</v>
      </c>
      <c r="G77" s="6" t="s">
        <v>3776</v>
      </c>
      <c r="H77" s="6"/>
      <c r="I77" s="6" t="s">
        <v>3662</v>
      </c>
    </row>
    <row r="78" spans="1:9">
      <c r="A78" s="4" t="s">
        <v>63</v>
      </c>
      <c r="B78" s="4">
        <v>1300109002</v>
      </c>
      <c r="D78" s="6">
        <v>1300444</v>
      </c>
      <c r="E78" s="6" t="s">
        <v>3678</v>
      </c>
      <c r="F78" s="6" t="s">
        <v>3724</v>
      </c>
      <c r="G78" s="6" t="s">
        <v>3777</v>
      </c>
      <c r="H78" s="6"/>
      <c r="I78" s="6" t="s">
        <v>3662</v>
      </c>
    </row>
    <row r="79" spans="1:9">
      <c r="A79" s="4" t="s">
        <v>3778</v>
      </c>
      <c r="B79" s="4">
        <v>1300109014</v>
      </c>
      <c r="D79" s="6">
        <v>1300445</v>
      </c>
      <c r="E79" s="6" t="s">
        <v>3678</v>
      </c>
      <c r="F79" s="6" t="s">
        <v>3724</v>
      </c>
      <c r="G79" s="6" t="s">
        <v>3779</v>
      </c>
      <c r="H79" s="6"/>
      <c r="I79" s="6" t="s">
        <v>3662</v>
      </c>
    </row>
    <row r="80" spans="1:9">
      <c r="A80" s="4" t="s">
        <v>298</v>
      </c>
      <c r="B80" s="4">
        <v>1300111003</v>
      </c>
      <c r="D80" s="6">
        <v>1300455</v>
      </c>
      <c r="E80" s="6" t="s">
        <v>3678</v>
      </c>
      <c r="F80" s="6" t="s">
        <v>3724</v>
      </c>
      <c r="G80" s="6" t="s">
        <v>3780</v>
      </c>
      <c r="H80" s="6"/>
      <c r="I80" s="6" t="s">
        <v>3662</v>
      </c>
    </row>
    <row r="81" spans="1:9">
      <c r="A81" s="4" t="s">
        <v>121</v>
      </c>
      <c r="B81" s="4">
        <v>1300114011</v>
      </c>
      <c r="D81" s="6">
        <v>1300457</v>
      </c>
      <c r="E81" s="6" t="s">
        <v>3678</v>
      </c>
      <c r="F81" s="6" t="s">
        <v>3724</v>
      </c>
      <c r="G81" s="6" t="s">
        <v>3781</v>
      </c>
      <c r="H81" s="6"/>
      <c r="I81" s="6" t="s">
        <v>3662</v>
      </c>
    </row>
    <row r="82" spans="1:9">
      <c r="A82" s="4" t="s">
        <v>3782</v>
      </c>
      <c r="B82" s="4">
        <v>1300114012</v>
      </c>
      <c r="D82" s="6">
        <v>1300499</v>
      </c>
      <c r="E82" s="6" t="s">
        <v>3678</v>
      </c>
      <c r="F82" s="6" t="s">
        <v>3724</v>
      </c>
      <c r="G82" s="6" t="s">
        <v>3722</v>
      </c>
      <c r="H82" s="6"/>
      <c r="I82" s="6" t="s">
        <v>3662</v>
      </c>
    </row>
    <row r="83" spans="1:9">
      <c r="A83" s="4" t="s">
        <v>3783</v>
      </c>
      <c r="B83" s="4">
        <v>1300119007</v>
      </c>
      <c r="D83" s="6">
        <v>1300501</v>
      </c>
      <c r="E83" s="6" t="s">
        <v>3659</v>
      </c>
      <c r="F83" s="6" t="s">
        <v>3784</v>
      </c>
      <c r="G83" s="6" t="s">
        <v>3785</v>
      </c>
      <c r="H83" s="6"/>
      <c r="I83" s="6" t="s">
        <v>3662</v>
      </c>
    </row>
    <row r="84" spans="1:9">
      <c r="A84" s="4" t="s">
        <v>3786</v>
      </c>
      <c r="B84" s="4">
        <v>1300125002</v>
      </c>
      <c r="D84" s="6">
        <v>1300502</v>
      </c>
      <c r="E84" s="6" t="s">
        <v>3659</v>
      </c>
      <c r="F84" s="6" t="s">
        <v>3784</v>
      </c>
      <c r="G84" s="6" t="s">
        <v>3787</v>
      </c>
      <c r="H84" s="6"/>
      <c r="I84" s="6" t="s">
        <v>3662</v>
      </c>
    </row>
    <row r="85" spans="1:9">
      <c r="A85" s="4" t="s">
        <v>3788</v>
      </c>
      <c r="B85" s="4">
        <v>1300201079</v>
      </c>
      <c r="D85" s="6">
        <v>1300503</v>
      </c>
      <c r="E85" s="6" t="s">
        <v>3659</v>
      </c>
      <c r="F85" s="6" t="s">
        <v>3784</v>
      </c>
      <c r="G85" s="6" t="s">
        <v>3789</v>
      </c>
      <c r="H85" s="6"/>
      <c r="I85" s="6" t="s">
        <v>3662</v>
      </c>
    </row>
    <row r="86" ht="28.8" spans="1:9">
      <c r="A86" s="4" t="s">
        <v>3790</v>
      </c>
      <c r="B86" s="4">
        <v>1300201093</v>
      </c>
      <c r="D86" s="6">
        <v>1300504</v>
      </c>
      <c r="E86" s="6" t="s">
        <v>3659</v>
      </c>
      <c r="F86" s="6" t="s">
        <v>3784</v>
      </c>
      <c r="G86" s="6" t="s">
        <v>3791</v>
      </c>
      <c r="H86" s="6"/>
      <c r="I86" s="6" t="s">
        <v>3662</v>
      </c>
    </row>
    <row r="87" spans="1:9">
      <c r="A87" s="4" t="s">
        <v>3792</v>
      </c>
      <c r="B87" s="4">
        <v>1300205186</v>
      </c>
      <c r="D87" s="6">
        <v>1300505</v>
      </c>
      <c r="E87" s="6" t="s">
        <v>3659</v>
      </c>
      <c r="F87" s="6" t="s">
        <v>3784</v>
      </c>
      <c r="G87" s="6" t="s">
        <v>3793</v>
      </c>
      <c r="H87" s="6"/>
      <c r="I87" s="6" t="s">
        <v>3662</v>
      </c>
    </row>
    <row r="88" spans="1:9">
      <c r="A88" s="4" t="s">
        <v>3794</v>
      </c>
      <c r="B88" s="4">
        <v>1300207037</v>
      </c>
      <c r="D88" s="6">
        <v>1300506</v>
      </c>
      <c r="E88" s="6" t="s">
        <v>3659</v>
      </c>
      <c r="F88" s="6" t="s">
        <v>3784</v>
      </c>
      <c r="G88" s="6" t="s">
        <v>3795</v>
      </c>
      <c r="H88" s="6"/>
      <c r="I88" s="6" t="s">
        <v>3662</v>
      </c>
    </row>
    <row r="89" spans="1:9">
      <c r="A89" s="4" t="s">
        <v>3796</v>
      </c>
      <c r="B89" s="4">
        <v>1300207107</v>
      </c>
      <c r="D89" s="6">
        <v>1300507</v>
      </c>
      <c r="E89" s="6" t="s">
        <v>3659</v>
      </c>
      <c r="F89" s="6" t="s">
        <v>3784</v>
      </c>
      <c r="G89" s="6" t="s">
        <v>3797</v>
      </c>
      <c r="H89" s="6"/>
      <c r="I89" s="6" t="s">
        <v>3662</v>
      </c>
    </row>
    <row r="90" spans="1:9">
      <c r="A90" s="4" t="s">
        <v>3798</v>
      </c>
      <c r="B90" s="4">
        <v>1300212008</v>
      </c>
      <c r="D90" s="6">
        <v>1300508</v>
      </c>
      <c r="E90" s="6" t="s">
        <v>3659</v>
      </c>
      <c r="F90" s="6" t="s">
        <v>3784</v>
      </c>
      <c r="G90" s="6" t="s">
        <v>3799</v>
      </c>
      <c r="H90" s="6"/>
      <c r="I90" s="6" t="s">
        <v>3662</v>
      </c>
    </row>
    <row r="91" spans="1:9">
      <c r="A91" s="4" t="s">
        <v>3800</v>
      </c>
      <c r="B91" s="4">
        <v>1300212012</v>
      </c>
      <c r="D91" s="6">
        <v>1300510</v>
      </c>
      <c r="E91" s="6" t="s">
        <v>3659</v>
      </c>
      <c r="F91" s="6" t="s">
        <v>3784</v>
      </c>
      <c r="G91" s="6" t="s">
        <v>3722</v>
      </c>
      <c r="H91" s="6"/>
      <c r="I91" s="6" t="s">
        <v>3662</v>
      </c>
    </row>
    <row r="92" spans="1:9">
      <c r="A92" s="4" t="s">
        <v>3801</v>
      </c>
      <c r="B92" s="4">
        <v>1300212035</v>
      </c>
      <c r="D92" s="6">
        <v>1300511</v>
      </c>
      <c r="E92" s="6" t="s">
        <v>3659</v>
      </c>
      <c r="F92" s="6" t="s">
        <v>3784</v>
      </c>
      <c r="G92" s="6" t="s">
        <v>3802</v>
      </c>
      <c r="H92" s="6"/>
      <c r="I92" s="6" t="s">
        <v>3662</v>
      </c>
    </row>
    <row r="93" spans="1:9">
      <c r="A93" s="4" t="s">
        <v>3803</v>
      </c>
      <c r="B93" s="4">
        <v>1300212039</v>
      </c>
      <c r="D93" s="6">
        <v>1300512</v>
      </c>
      <c r="E93" s="6" t="s">
        <v>3659</v>
      </c>
      <c r="F93" s="6" t="s">
        <v>3784</v>
      </c>
      <c r="G93" s="6" t="s">
        <v>3804</v>
      </c>
      <c r="H93" s="6"/>
      <c r="I93" s="6" t="s">
        <v>3662</v>
      </c>
    </row>
    <row r="94" spans="1:9">
      <c r="A94" s="4" t="s">
        <v>3805</v>
      </c>
      <c r="B94" s="4">
        <v>1300212043</v>
      </c>
      <c r="D94" s="6">
        <v>1300601</v>
      </c>
      <c r="E94" s="6" t="s">
        <v>3659</v>
      </c>
      <c r="F94" s="6" t="s">
        <v>3806</v>
      </c>
      <c r="G94" s="6" t="s">
        <v>3807</v>
      </c>
      <c r="H94" s="6"/>
      <c r="I94" s="6" t="s">
        <v>3662</v>
      </c>
    </row>
    <row r="95" spans="1:9">
      <c r="A95" s="4" t="s">
        <v>3808</v>
      </c>
      <c r="B95" s="4">
        <v>1300213007</v>
      </c>
      <c r="D95" s="6">
        <v>1300602</v>
      </c>
      <c r="E95" s="6" t="s">
        <v>3659</v>
      </c>
      <c r="F95" s="6" t="s">
        <v>3806</v>
      </c>
      <c r="G95" s="6" t="s">
        <v>3809</v>
      </c>
      <c r="H95" s="6"/>
      <c r="I95" s="6" t="s">
        <v>3662</v>
      </c>
    </row>
    <row r="96" spans="1:9">
      <c r="A96" s="4" t="s">
        <v>3810</v>
      </c>
      <c r="B96" s="4">
        <v>1300216009</v>
      </c>
      <c r="D96" s="6">
        <v>1300603</v>
      </c>
      <c r="E96" s="6" t="s">
        <v>3659</v>
      </c>
      <c r="F96" s="6" t="s">
        <v>3806</v>
      </c>
      <c r="G96" s="6" t="s">
        <v>3811</v>
      </c>
      <c r="H96" s="6"/>
      <c r="I96" s="6" t="s">
        <v>3662</v>
      </c>
    </row>
    <row r="97" spans="1:9">
      <c r="A97" s="4" t="s">
        <v>3812</v>
      </c>
      <c r="B97" s="4">
        <v>1300226027</v>
      </c>
      <c r="D97" s="6">
        <v>1300604</v>
      </c>
      <c r="E97" s="6" t="s">
        <v>3659</v>
      </c>
      <c r="F97" s="6" t="s">
        <v>3806</v>
      </c>
      <c r="G97" s="6" t="s">
        <v>3813</v>
      </c>
      <c r="H97" s="6"/>
      <c r="I97" s="6" t="s">
        <v>3662</v>
      </c>
    </row>
    <row r="98" spans="1:9">
      <c r="A98" s="4" t="s">
        <v>3814</v>
      </c>
      <c r="B98" s="4">
        <v>1300226034</v>
      </c>
      <c r="D98" s="6">
        <v>1300605</v>
      </c>
      <c r="E98" s="6" t="s">
        <v>3659</v>
      </c>
      <c r="F98" s="6" t="s">
        <v>3806</v>
      </c>
      <c r="G98" s="6" t="s">
        <v>3815</v>
      </c>
      <c r="H98" s="6"/>
      <c r="I98" s="6" t="s">
        <v>3662</v>
      </c>
    </row>
    <row r="99" ht="28.8" spans="1:9">
      <c r="A99" s="4" t="s">
        <v>3816</v>
      </c>
      <c r="B99" s="4">
        <v>1300226035</v>
      </c>
      <c r="D99" s="6">
        <v>1300606</v>
      </c>
      <c r="E99" s="6" t="s">
        <v>3659</v>
      </c>
      <c r="F99" s="6" t="s">
        <v>3806</v>
      </c>
      <c r="G99" s="6" t="s">
        <v>3817</v>
      </c>
      <c r="H99" s="6"/>
      <c r="I99" s="6" t="s">
        <v>3662</v>
      </c>
    </row>
    <row r="100" spans="1:9">
      <c r="A100" s="4" t="s">
        <v>3818</v>
      </c>
      <c r="B100" s="4">
        <v>1300227008</v>
      </c>
      <c r="D100" s="6">
        <v>1300607</v>
      </c>
      <c r="E100" s="6" t="s">
        <v>3659</v>
      </c>
      <c r="F100" s="6" t="s">
        <v>3806</v>
      </c>
      <c r="G100" s="6" t="s">
        <v>3819</v>
      </c>
      <c r="H100" s="6"/>
      <c r="I100" s="6" t="s">
        <v>3662</v>
      </c>
    </row>
    <row r="101" ht="28.8" spans="1:9">
      <c r="A101" s="4" t="s">
        <v>3820</v>
      </c>
      <c r="B101" s="4">
        <v>1300227039</v>
      </c>
      <c r="D101" s="6">
        <v>1300608</v>
      </c>
      <c r="E101" s="6" t="s">
        <v>3659</v>
      </c>
      <c r="F101" s="6" t="s">
        <v>3806</v>
      </c>
      <c r="G101" s="6" t="s">
        <v>3821</v>
      </c>
      <c r="H101" s="6"/>
      <c r="I101" s="6" t="s">
        <v>3662</v>
      </c>
    </row>
    <row r="102" ht="28.8" spans="1:9">
      <c r="A102" s="4" t="s">
        <v>3822</v>
      </c>
      <c r="B102" s="4">
        <v>1300405116</v>
      </c>
      <c r="D102" s="6">
        <v>1300609</v>
      </c>
      <c r="E102" s="6" t="s">
        <v>3659</v>
      </c>
      <c r="F102" s="6" t="s">
        <v>3806</v>
      </c>
      <c r="G102" s="6" t="s">
        <v>3823</v>
      </c>
      <c r="H102" s="6"/>
      <c r="I102" s="6" t="s">
        <v>3662</v>
      </c>
    </row>
    <row r="103" ht="28.8" spans="1:9">
      <c r="A103" s="4" t="s">
        <v>3824</v>
      </c>
      <c r="B103" s="4">
        <v>1300406109</v>
      </c>
      <c r="D103" s="6">
        <v>1300610</v>
      </c>
      <c r="E103" s="6" t="s">
        <v>3659</v>
      </c>
      <c r="F103" s="6" t="s">
        <v>3806</v>
      </c>
      <c r="G103" s="6" t="s">
        <v>3825</v>
      </c>
      <c r="H103" s="6"/>
      <c r="I103" s="6" t="s">
        <v>3662</v>
      </c>
    </row>
    <row r="104" spans="1:9">
      <c r="A104" s="4" t="s">
        <v>3826</v>
      </c>
      <c r="B104" s="4">
        <v>1300422004</v>
      </c>
      <c r="D104" s="6">
        <v>1300611</v>
      </c>
      <c r="E104" s="6" t="s">
        <v>3659</v>
      </c>
      <c r="F104" s="6" t="s">
        <v>3806</v>
      </c>
      <c r="G104" s="6" t="s">
        <v>3827</v>
      </c>
      <c r="H104" s="6"/>
      <c r="I104" s="6" t="s">
        <v>3662</v>
      </c>
    </row>
    <row r="105" spans="1:9">
      <c r="A105" s="4" t="s">
        <v>3828</v>
      </c>
      <c r="B105" s="4">
        <v>1300422020</v>
      </c>
      <c r="D105" s="6">
        <v>1300612</v>
      </c>
      <c r="E105" s="6" t="s">
        <v>3659</v>
      </c>
      <c r="F105" s="6" t="s">
        <v>3806</v>
      </c>
      <c r="G105" s="6" t="s">
        <v>3829</v>
      </c>
      <c r="H105" s="6"/>
      <c r="I105" s="6" t="s">
        <v>3662</v>
      </c>
    </row>
    <row r="106" spans="1:9">
      <c r="A106" s="4" t="s">
        <v>3830</v>
      </c>
      <c r="B106" s="4">
        <v>1300499035</v>
      </c>
      <c r="D106" s="6">
        <v>1300613</v>
      </c>
      <c r="E106" s="6" t="s">
        <v>3659</v>
      </c>
      <c r="F106" s="6" t="s">
        <v>3806</v>
      </c>
      <c r="G106" s="6" t="s">
        <v>3831</v>
      </c>
      <c r="H106" s="6"/>
      <c r="I106" s="6" t="s">
        <v>3662</v>
      </c>
    </row>
    <row r="107" ht="28.8" spans="1:9">
      <c r="A107" s="4" t="s">
        <v>450</v>
      </c>
      <c r="B107" s="4">
        <v>1300501019</v>
      </c>
      <c r="D107" s="6">
        <v>1300614</v>
      </c>
      <c r="E107" s="6" t="s">
        <v>3659</v>
      </c>
      <c r="F107" s="6" t="s">
        <v>3806</v>
      </c>
      <c r="G107" s="6" t="s">
        <v>3832</v>
      </c>
      <c r="H107" s="6"/>
      <c r="I107" s="6" t="s">
        <v>3662</v>
      </c>
    </row>
    <row r="108" ht="28.8" spans="1:9">
      <c r="A108" s="4" t="s">
        <v>161</v>
      </c>
      <c r="B108" s="4">
        <v>1300501020</v>
      </c>
      <c r="D108" s="6">
        <v>1300615</v>
      </c>
      <c r="E108" s="6" t="s">
        <v>3659</v>
      </c>
      <c r="F108" s="6" t="s">
        <v>3806</v>
      </c>
      <c r="G108" s="6" t="s">
        <v>3833</v>
      </c>
      <c r="H108" s="6"/>
      <c r="I108" s="6" t="s">
        <v>3662</v>
      </c>
    </row>
    <row r="109" ht="28.8" spans="1:9">
      <c r="A109" s="4" t="s">
        <v>3834</v>
      </c>
      <c r="B109" s="4">
        <v>1300501021</v>
      </c>
      <c r="D109" s="6">
        <v>1300616</v>
      </c>
      <c r="E109" s="6" t="s">
        <v>3659</v>
      </c>
      <c r="F109" s="6" t="s">
        <v>3806</v>
      </c>
      <c r="G109" s="6" t="s">
        <v>3835</v>
      </c>
      <c r="H109" s="6"/>
      <c r="I109" s="6" t="s">
        <v>3662</v>
      </c>
    </row>
    <row r="110" spans="1:9">
      <c r="A110" s="4" t="s">
        <v>219</v>
      </c>
      <c r="B110" s="4">
        <v>1300501022</v>
      </c>
      <c r="D110" s="6">
        <v>1300617</v>
      </c>
      <c r="E110" s="6" t="s">
        <v>3659</v>
      </c>
      <c r="F110" s="6" t="s">
        <v>3806</v>
      </c>
      <c r="G110" s="6" t="s">
        <v>3836</v>
      </c>
      <c r="H110" s="6"/>
      <c r="I110" s="6" t="s">
        <v>3662</v>
      </c>
    </row>
    <row r="111" spans="1:9">
      <c r="A111" s="4" t="s">
        <v>3837</v>
      </c>
      <c r="B111" s="4">
        <v>1300501025</v>
      </c>
      <c r="D111" s="6">
        <v>1300618</v>
      </c>
      <c r="E111" s="6" t="s">
        <v>3659</v>
      </c>
      <c r="F111" s="6" t="s">
        <v>3806</v>
      </c>
      <c r="G111" s="6" t="s">
        <v>3838</v>
      </c>
      <c r="H111" s="6"/>
      <c r="I111" s="6" t="s">
        <v>3662</v>
      </c>
    </row>
    <row r="112" spans="1:9">
      <c r="A112" s="4" t="s">
        <v>3839</v>
      </c>
      <c r="B112" s="4">
        <v>1300501028</v>
      </c>
      <c r="D112" s="6">
        <v>1300621</v>
      </c>
      <c r="E112" s="6" t="s">
        <v>3659</v>
      </c>
      <c r="F112" s="6" t="s">
        <v>3806</v>
      </c>
      <c r="G112" s="6" t="s">
        <v>3797</v>
      </c>
      <c r="H112" s="6"/>
      <c r="I112" s="6" t="s">
        <v>3662</v>
      </c>
    </row>
    <row r="113" spans="1:9">
      <c r="A113" s="4" t="s">
        <v>562</v>
      </c>
      <c r="B113" s="4">
        <v>1300501031</v>
      </c>
      <c r="D113" s="6">
        <v>1300622</v>
      </c>
      <c r="E113" s="6" t="s">
        <v>3659</v>
      </c>
      <c r="F113" s="6" t="s">
        <v>3806</v>
      </c>
      <c r="G113" s="6" t="s">
        <v>3840</v>
      </c>
      <c r="H113" s="6"/>
      <c r="I113" s="6" t="s">
        <v>3662</v>
      </c>
    </row>
    <row r="114" spans="1:9">
      <c r="A114" s="4" t="s">
        <v>137</v>
      </c>
      <c r="B114" s="4">
        <v>1300503009</v>
      </c>
      <c r="D114" s="6">
        <v>1300624</v>
      </c>
      <c r="E114" s="6" t="s">
        <v>3659</v>
      </c>
      <c r="F114" s="6" t="s">
        <v>3806</v>
      </c>
      <c r="G114" s="6" t="s">
        <v>3841</v>
      </c>
      <c r="H114" s="6"/>
      <c r="I114" s="6" t="s">
        <v>3662</v>
      </c>
    </row>
    <row r="115" spans="1:9">
      <c r="A115" s="4" t="s">
        <v>3842</v>
      </c>
      <c r="B115" s="4">
        <v>1300503010</v>
      </c>
      <c r="D115" s="6">
        <v>1300626</v>
      </c>
      <c r="E115" s="6" t="s">
        <v>3659</v>
      </c>
      <c r="F115" s="6" t="s">
        <v>3806</v>
      </c>
      <c r="G115" s="6" t="s">
        <v>3843</v>
      </c>
      <c r="H115" s="6"/>
      <c r="I115" s="6" t="s">
        <v>3662</v>
      </c>
    </row>
    <row r="116" spans="1:9">
      <c r="A116" s="4" t="s">
        <v>3844</v>
      </c>
      <c r="B116" s="4">
        <v>1300504005</v>
      </c>
      <c r="D116" s="6">
        <v>1300627</v>
      </c>
      <c r="E116" s="6" t="s">
        <v>3659</v>
      </c>
      <c r="F116" s="6" t="s">
        <v>3806</v>
      </c>
      <c r="G116" s="6" t="s">
        <v>3845</v>
      </c>
      <c r="H116" s="6"/>
      <c r="I116" s="6" t="s">
        <v>3662</v>
      </c>
    </row>
    <row r="117" spans="1:9">
      <c r="A117" s="4" t="s">
        <v>3846</v>
      </c>
      <c r="B117" s="4">
        <v>1300507012</v>
      </c>
      <c r="D117" s="6">
        <v>1300638</v>
      </c>
      <c r="E117" s="6" t="s">
        <v>3659</v>
      </c>
      <c r="F117" s="6" t="s">
        <v>3806</v>
      </c>
      <c r="G117" s="6" t="s">
        <v>3847</v>
      </c>
      <c r="H117" s="6"/>
      <c r="I117" s="6" t="s">
        <v>3662</v>
      </c>
    </row>
    <row r="118" ht="28.8" spans="1:9">
      <c r="A118" s="4" t="s">
        <v>3848</v>
      </c>
      <c r="B118" s="4">
        <v>1300510001</v>
      </c>
      <c r="D118" s="6">
        <v>1300641</v>
      </c>
      <c r="E118" s="6" t="s">
        <v>3659</v>
      </c>
      <c r="F118" s="6" t="s">
        <v>3806</v>
      </c>
      <c r="G118" s="6" t="s">
        <v>3849</v>
      </c>
      <c r="H118" s="6"/>
      <c r="I118" s="6" t="s">
        <v>3662</v>
      </c>
    </row>
    <row r="119" spans="1:9">
      <c r="A119" s="4" t="s">
        <v>553</v>
      </c>
      <c r="B119" s="4">
        <v>1300510007</v>
      </c>
      <c r="D119" s="6">
        <v>1300643</v>
      </c>
      <c r="E119" s="6" t="s">
        <v>3659</v>
      </c>
      <c r="F119" s="6" t="s">
        <v>3806</v>
      </c>
      <c r="G119" s="6" t="s">
        <v>3850</v>
      </c>
      <c r="H119" s="6"/>
      <c r="I119" s="6" t="s">
        <v>3662</v>
      </c>
    </row>
    <row r="120" spans="1:9">
      <c r="A120" s="4" t="s">
        <v>267</v>
      </c>
      <c r="B120" s="4">
        <v>1300511002</v>
      </c>
      <c r="D120" s="6">
        <v>1300644</v>
      </c>
      <c r="E120" s="6" t="s">
        <v>3659</v>
      </c>
      <c r="F120" s="6" t="s">
        <v>3806</v>
      </c>
      <c r="G120" s="6" t="s">
        <v>3851</v>
      </c>
      <c r="H120" s="6"/>
      <c r="I120" s="6" t="s">
        <v>3662</v>
      </c>
    </row>
    <row r="121" ht="28.8" spans="1:9">
      <c r="A121" s="4" t="s">
        <v>3852</v>
      </c>
      <c r="B121" s="4">
        <v>1300602007</v>
      </c>
      <c r="D121" s="6">
        <v>1300645</v>
      </c>
      <c r="E121" s="6" t="s">
        <v>3659</v>
      </c>
      <c r="F121" s="6" t="s">
        <v>3806</v>
      </c>
      <c r="G121" s="6" t="s">
        <v>3853</v>
      </c>
      <c r="H121" s="6"/>
      <c r="I121" s="6" t="s">
        <v>3662</v>
      </c>
    </row>
    <row r="122" spans="1:9">
      <c r="A122" s="4" t="s">
        <v>3854</v>
      </c>
      <c r="B122" s="4">
        <v>1300602008</v>
      </c>
      <c r="D122" s="6">
        <v>1300801</v>
      </c>
      <c r="E122" s="6" t="s">
        <v>3678</v>
      </c>
      <c r="F122" s="6" t="s">
        <v>3855</v>
      </c>
      <c r="G122" s="6" t="s">
        <v>3813</v>
      </c>
      <c r="H122" s="6"/>
      <c r="I122" s="6" t="s">
        <v>3662</v>
      </c>
    </row>
    <row r="123" ht="28.8" spans="1:9">
      <c r="A123" s="4" t="s">
        <v>3856</v>
      </c>
      <c r="B123" s="4">
        <v>1300602010</v>
      </c>
      <c r="D123" s="6">
        <v>1300802</v>
      </c>
      <c r="E123" s="6" t="s">
        <v>3678</v>
      </c>
      <c r="F123" s="6" t="s">
        <v>3855</v>
      </c>
      <c r="G123" s="6" t="s">
        <v>3857</v>
      </c>
      <c r="H123" s="6"/>
      <c r="I123" s="6" t="s">
        <v>3662</v>
      </c>
    </row>
    <row r="124" spans="1:9">
      <c r="A124" s="4" t="s">
        <v>3858</v>
      </c>
      <c r="B124" s="4">
        <v>1300602012</v>
      </c>
      <c r="D124" s="6">
        <v>1300803</v>
      </c>
      <c r="E124" s="6" t="s">
        <v>3678</v>
      </c>
      <c r="F124" s="6" t="s">
        <v>3855</v>
      </c>
      <c r="G124" s="6" t="s">
        <v>3859</v>
      </c>
      <c r="H124" s="6"/>
      <c r="I124" s="6" t="s">
        <v>3662</v>
      </c>
    </row>
    <row r="125" ht="28.8" spans="1:9">
      <c r="A125" s="4" t="s">
        <v>3860</v>
      </c>
      <c r="B125" s="4">
        <v>1300602013</v>
      </c>
      <c r="D125" s="6">
        <v>1300804</v>
      </c>
      <c r="E125" s="6" t="s">
        <v>3678</v>
      </c>
      <c r="F125" s="6" t="s">
        <v>3855</v>
      </c>
      <c r="G125" s="6" t="s">
        <v>3861</v>
      </c>
      <c r="H125" s="6"/>
      <c r="I125" s="6" t="s">
        <v>3662</v>
      </c>
    </row>
    <row r="126" spans="1:9">
      <c r="A126" s="4" t="s">
        <v>3862</v>
      </c>
      <c r="B126" s="4">
        <v>1300602023</v>
      </c>
      <c r="D126" s="6">
        <v>1300805</v>
      </c>
      <c r="E126" s="6" t="s">
        <v>3678</v>
      </c>
      <c r="F126" s="6" t="s">
        <v>3855</v>
      </c>
      <c r="G126" s="6" t="s">
        <v>3863</v>
      </c>
      <c r="H126" s="6"/>
      <c r="I126" s="6" t="s">
        <v>3662</v>
      </c>
    </row>
    <row r="127" spans="1:9">
      <c r="A127" s="4" t="s">
        <v>3864</v>
      </c>
      <c r="B127" s="4">
        <v>1300602029</v>
      </c>
      <c r="D127" s="6">
        <v>1300806</v>
      </c>
      <c r="E127" s="6" t="s">
        <v>3678</v>
      </c>
      <c r="F127" s="6" t="s">
        <v>3855</v>
      </c>
      <c r="G127" s="6" t="s">
        <v>3809</v>
      </c>
      <c r="H127" s="6"/>
      <c r="I127" s="6" t="s">
        <v>3662</v>
      </c>
    </row>
    <row r="128" spans="1:9">
      <c r="A128" s="4" t="s">
        <v>3865</v>
      </c>
      <c r="B128" s="4">
        <v>1300602033</v>
      </c>
      <c r="D128" s="6">
        <v>1300810</v>
      </c>
      <c r="E128" s="6" t="s">
        <v>3678</v>
      </c>
      <c r="F128" s="6" t="s">
        <v>3855</v>
      </c>
      <c r="G128" s="6" t="s">
        <v>3866</v>
      </c>
      <c r="H128" s="6"/>
      <c r="I128" s="6" t="s">
        <v>3662</v>
      </c>
    </row>
    <row r="129" spans="1:9">
      <c r="A129" s="4" t="s">
        <v>677</v>
      </c>
      <c r="B129" s="4">
        <v>1300603095</v>
      </c>
      <c r="D129" s="6">
        <v>1300812</v>
      </c>
      <c r="E129" s="6" t="s">
        <v>3678</v>
      </c>
      <c r="F129" s="6" t="s">
        <v>3855</v>
      </c>
      <c r="G129" s="6" t="s">
        <v>3867</v>
      </c>
      <c r="H129" s="6"/>
      <c r="I129" s="6" t="s">
        <v>3662</v>
      </c>
    </row>
    <row r="130" spans="1:9">
      <c r="A130" s="4" t="s">
        <v>3868</v>
      </c>
      <c r="B130" s="4">
        <v>1300603096</v>
      </c>
      <c r="D130" s="6">
        <v>1300814</v>
      </c>
      <c r="E130" s="6" t="s">
        <v>3678</v>
      </c>
      <c r="F130" s="6" t="s">
        <v>3855</v>
      </c>
      <c r="G130" s="6" t="s">
        <v>3869</v>
      </c>
      <c r="H130" s="6"/>
      <c r="I130" s="6" t="s">
        <v>3662</v>
      </c>
    </row>
    <row r="131" spans="1:9">
      <c r="A131" s="4" t="s">
        <v>3870</v>
      </c>
      <c r="B131" s="4">
        <v>1300603104</v>
      </c>
      <c r="D131" s="6">
        <v>1300817</v>
      </c>
      <c r="E131" s="6" t="s">
        <v>3678</v>
      </c>
      <c r="F131" s="6" t="s">
        <v>3855</v>
      </c>
      <c r="G131" s="6" t="s">
        <v>3871</v>
      </c>
      <c r="H131" s="6"/>
      <c r="I131" s="6" t="s">
        <v>3662</v>
      </c>
    </row>
    <row r="132" spans="1:9">
      <c r="A132" s="4" t="s">
        <v>3872</v>
      </c>
      <c r="B132" s="4">
        <v>1300603110</v>
      </c>
      <c r="D132" s="6">
        <v>1300821</v>
      </c>
      <c r="E132" s="6" t="s">
        <v>3678</v>
      </c>
      <c r="F132" s="6" t="s">
        <v>3855</v>
      </c>
      <c r="G132" s="6" t="s">
        <v>3873</v>
      </c>
      <c r="H132" s="6"/>
      <c r="I132" s="6" t="s">
        <v>3662</v>
      </c>
    </row>
    <row r="133" spans="1:9">
      <c r="A133" s="4" t="s">
        <v>3874</v>
      </c>
      <c r="B133" s="4">
        <v>1300609015</v>
      </c>
      <c r="D133" s="6">
        <v>1300823</v>
      </c>
      <c r="E133" s="6" t="s">
        <v>3678</v>
      </c>
      <c r="F133" s="6" t="s">
        <v>3855</v>
      </c>
      <c r="G133" s="6" t="s">
        <v>3847</v>
      </c>
      <c r="H133" s="6"/>
      <c r="I133" s="6" t="s">
        <v>3662</v>
      </c>
    </row>
    <row r="134" spans="1:9">
      <c r="A134" s="4" t="s">
        <v>3875</v>
      </c>
      <c r="B134" s="4">
        <v>1300612030</v>
      </c>
      <c r="D134" s="6">
        <v>1300824</v>
      </c>
      <c r="E134" s="6" t="s">
        <v>3678</v>
      </c>
      <c r="F134" s="6" t="s">
        <v>3855</v>
      </c>
      <c r="G134" s="6" t="s">
        <v>3876</v>
      </c>
      <c r="H134" s="6"/>
      <c r="I134" s="6" t="s">
        <v>3662</v>
      </c>
    </row>
    <row r="135" spans="1:9">
      <c r="A135" s="4" t="s">
        <v>3877</v>
      </c>
      <c r="B135" s="4">
        <v>1300614002</v>
      </c>
      <c r="D135" s="6">
        <v>1300825</v>
      </c>
      <c r="E135" s="6" t="s">
        <v>3678</v>
      </c>
      <c r="F135" s="6" t="s">
        <v>3855</v>
      </c>
      <c r="G135" s="6" t="s">
        <v>3878</v>
      </c>
      <c r="H135" s="6"/>
      <c r="I135" s="6" t="s">
        <v>3662</v>
      </c>
    </row>
    <row r="136" spans="1:9">
      <c r="A136" s="4" t="s">
        <v>3879</v>
      </c>
      <c r="B136" s="4">
        <v>1300615001</v>
      </c>
      <c r="D136" s="6">
        <v>1300826</v>
      </c>
      <c r="E136" s="6" t="s">
        <v>3678</v>
      </c>
      <c r="F136" s="6" t="s">
        <v>3855</v>
      </c>
      <c r="G136" s="6" t="s">
        <v>3880</v>
      </c>
      <c r="H136" s="6"/>
      <c r="I136" s="6" t="s">
        <v>3662</v>
      </c>
    </row>
    <row r="137" spans="1:9">
      <c r="A137" s="4" t="s">
        <v>3881</v>
      </c>
      <c r="B137" s="4">
        <v>1300615006</v>
      </c>
      <c r="D137" s="6">
        <v>1300901</v>
      </c>
      <c r="E137" s="6" t="s">
        <v>3659</v>
      </c>
      <c r="F137" s="6" t="s">
        <v>3882</v>
      </c>
      <c r="G137" s="6" t="s">
        <v>3883</v>
      </c>
      <c r="H137" s="6"/>
      <c r="I137" s="6" t="s">
        <v>3662</v>
      </c>
    </row>
    <row r="138" spans="1:9">
      <c r="A138" s="4" t="s">
        <v>3884</v>
      </c>
      <c r="B138" s="4">
        <v>1300615008</v>
      </c>
      <c r="D138" s="6">
        <v>1300902</v>
      </c>
      <c r="E138" s="6" t="s">
        <v>3659</v>
      </c>
      <c r="F138" s="6" t="s">
        <v>3882</v>
      </c>
      <c r="G138" s="6" t="s">
        <v>3787</v>
      </c>
      <c r="H138" s="6"/>
      <c r="I138" s="6" t="s">
        <v>3662</v>
      </c>
    </row>
    <row r="139" spans="1:9">
      <c r="A139" s="4" t="s">
        <v>3885</v>
      </c>
      <c r="B139" s="4">
        <v>1300616001</v>
      </c>
      <c r="D139" s="6">
        <v>1300903</v>
      </c>
      <c r="E139" s="6" t="s">
        <v>3659</v>
      </c>
      <c r="F139" s="6" t="s">
        <v>3882</v>
      </c>
      <c r="G139" s="6" t="s">
        <v>3886</v>
      </c>
      <c r="H139" s="6"/>
      <c r="I139" s="6" t="s">
        <v>3662</v>
      </c>
    </row>
    <row r="140" spans="1:9">
      <c r="A140" s="4" t="s">
        <v>3887</v>
      </c>
      <c r="B140" s="4">
        <v>1300810017</v>
      </c>
      <c r="D140" s="6">
        <v>1300904</v>
      </c>
      <c r="E140" s="6" t="s">
        <v>3659</v>
      </c>
      <c r="F140" s="6" t="s">
        <v>3882</v>
      </c>
      <c r="G140" s="6" t="s">
        <v>3888</v>
      </c>
      <c r="H140" s="6"/>
      <c r="I140" s="6" t="s">
        <v>3662</v>
      </c>
    </row>
    <row r="141" spans="1:9">
      <c r="A141" s="4" t="s">
        <v>205</v>
      </c>
      <c r="B141" s="4">
        <v>1300901002</v>
      </c>
      <c r="D141" s="6">
        <v>1300905</v>
      </c>
      <c r="E141" s="6" t="s">
        <v>3659</v>
      </c>
      <c r="F141" s="6" t="s">
        <v>3882</v>
      </c>
      <c r="G141" s="6" t="s">
        <v>3840</v>
      </c>
      <c r="H141" s="6"/>
      <c r="I141" s="6" t="s">
        <v>3662</v>
      </c>
    </row>
    <row r="142" spans="1:9">
      <c r="A142" s="4" t="s">
        <v>397</v>
      </c>
      <c r="B142" s="4">
        <v>1300901003</v>
      </c>
      <c r="D142" s="6">
        <v>1300913</v>
      </c>
      <c r="E142" s="6" t="s">
        <v>3659</v>
      </c>
      <c r="F142" s="6" t="s">
        <v>3882</v>
      </c>
      <c r="G142" s="6" t="s">
        <v>3889</v>
      </c>
      <c r="H142" s="6"/>
      <c r="I142" s="6" t="s">
        <v>3662</v>
      </c>
    </row>
    <row r="143" spans="1:9">
      <c r="A143" s="4" t="s">
        <v>149</v>
      </c>
      <c r="B143" s="4">
        <v>1300901004</v>
      </c>
      <c r="D143" s="6">
        <v>1300917</v>
      </c>
      <c r="E143" s="6" t="s">
        <v>3659</v>
      </c>
      <c r="F143" s="6" t="s">
        <v>3882</v>
      </c>
      <c r="G143" s="6" t="s">
        <v>3890</v>
      </c>
      <c r="H143" s="6"/>
      <c r="I143" s="6" t="s">
        <v>3662</v>
      </c>
    </row>
    <row r="144" spans="1:9">
      <c r="A144" s="4" t="s">
        <v>362</v>
      </c>
      <c r="B144" s="4">
        <v>1300901005</v>
      </c>
      <c r="D144" s="6">
        <v>1300918</v>
      </c>
      <c r="E144" s="6" t="s">
        <v>3659</v>
      </c>
      <c r="F144" s="6" t="s">
        <v>3882</v>
      </c>
      <c r="G144" s="6" t="s">
        <v>3891</v>
      </c>
      <c r="H144" s="6"/>
      <c r="I144" s="6" t="s">
        <v>3662</v>
      </c>
    </row>
    <row r="145" spans="1:9">
      <c r="A145" s="4" t="s">
        <v>1541</v>
      </c>
      <c r="B145" s="4">
        <v>1300901006</v>
      </c>
      <c r="D145" s="6">
        <v>1300920</v>
      </c>
      <c r="E145" s="6" t="s">
        <v>3659</v>
      </c>
      <c r="F145" s="6" t="s">
        <v>3882</v>
      </c>
      <c r="G145" s="6" t="s">
        <v>3892</v>
      </c>
      <c r="H145" s="6"/>
      <c r="I145" s="6" t="s">
        <v>3662</v>
      </c>
    </row>
    <row r="146" spans="1:9">
      <c r="A146" s="4" t="s">
        <v>3893</v>
      </c>
      <c r="B146" s="4">
        <v>1300901007</v>
      </c>
      <c r="D146" s="6">
        <v>1301001</v>
      </c>
      <c r="E146" s="6" t="s">
        <v>3678</v>
      </c>
      <c r="F146" s="6" t="s">
        <v>3894</v>
      </c>
      <c r="G146" s="6" t="s">
        <v>3895</v>
      </c>
      <c r="H146" s="6"/>
      <c r="I146" s="6" t="s">
        <v>3662</v>
      </c>
    </row>
    <row r="147" spans="1:9">
      <c r="A147" s="4" t="s">
        <v>3896</v>
      </c>
      <c r="B147" s="4">
        <v>1300901012</v>
      </c>
      <c r="D147" s="6">
        <v>1301002</v>
      </c>
      <c r="E147" s="6" t="s">
        <v>3678</v>
      </c>
      <c r="F147" s="6" t="s">
        <v>3894</v>
      </c>
      <c r="G147" s="6" t="s">
        <v>3785</v>
      </c>
      <c r="H147" s="6"/>
      <c r="I147" s="6" t="s">
        <v>3662</v>
      </c>
    </row>
    <row r="148" spans="1:9">
      <c r="A148" s="4" t="s">
        <v>620</v>
      </c>
      <c r="B148" s="4">
        <v>1300901050</v>
      </c>
      <c r="D148" s="6">
        <v>1301003</v>
      </c>
      <c r="E148" s="6" t="s">
        <v>3678</v>
      </c>
      <c r="F148" s="6" t="s">
        <v>3894</v>
      </c>
      <c r="G148" s="6" t="s">
        <v>3789</v>
      </c>
      <c r="H148" s="6"/>
      <c r="I148" s="6" t="s">
        <v>3662</v>
      </c>
    </row>
    <row r="149" spans="1:9">
      <c r="A149" s="4" t="s">
        <v>242</v>
      </c>
      <c r="B149" s="4">
        <v>1300901052</v>
      </c>
      <c r="D149" s="6">
        <v>1301004</v>
      </c>
      <c r="E149" s="6" t="s">
        <v>3678</v>
      </c>
      <c r="F149" s="6" t="s">
        <v>3894</v>
      </c>
      <c r="G149" s="6" t="s">
        <v>3787</v>
      </c>
      <c r="H149" s="6"/>
      <c r="I149" s="6" t="s">
        <v>3662</v>
      </c>
    </row>
    <row r="150" spans="1:9">
      <c r="A150" s="4" t="s">
        <v>3897</v>
      </c>
      <c r="B150" s="4">
        <v>1300901053</v>
      </c>
      <c r="D150" s="6">
        <v>1301104</v>
      </c>
      <c r="E150" s="6" t="s">
        <v>3678</v>
      </c>
      <c r="F150" s="6" t="s">
        <v>3898</v>
      </c>
      <c r="G150" s="6" t="s">
        <v>3899</v>
      </c>
      <c r="H150" s="6"/>
      <c r="I150" s="6" t="s">
        <v>3662</v>
      </c>
    </row>
    <row r="151" ht="43.2" spans="1:9">
      <c r="A151" s="4" t="s">
        <v>3900</v>
      </c>
      <c r="B151" s="4">
        <v>1300901054</v>
      </c>
      <c r="D151" s="6">
        <v>1310101</v>
      </c>
      <c r="E151" s="6" t="s">
        <v>3901</v>
      </c>
      <c r="F151" s="6" t="s">
        <v>3902</v>
      </c>
      <c r="G151" s="6" t="s">
        <v>3903</v>
      </c>
      <c r="H151" s="6"/>
      <c r="I151" s="6" t="s">
        <v>3904</v>
      </c>
    </row>
    <row r="152" spans="1:9">
      <c r="A152" s="4" t="s">
        <v>838</v>
      </c>
      <c r="B152" s="4">
        <v>1300902002</v>
      </c>
      <c r="D152" s="6">
        <v>13102</v>
      </c>
      <c r="E152" s="6" t="s">
        <v>3901</v>
      </c>
      <c r="F152" s="6" t="s">
        <v>3902</v>
      </c>
      <c r="G152" s="6" t="s">
        <v>3905</v>
      </c>
      <c r="H152" s="6"/>
      <c r="I152" s="6"/>
    </row>
    <row r="153" ht="28.8" spans="1:9">
      <c r="A153" s="4" t="s">
        <v>804</v>
      </c>
      <c r="B153" s="4">
        <v>1300902003</v>
      </c>
      <c r="D153" s="6">
        <v>1310201</v>
      </c>
      <c r="E153" s="6" t="s">
        <v>3901</v>
      </c>
      <c r="F153" s="6" t="s">
        <v>3902</v>
      </c>
      <c r="G153" s="6" t="s">
        <v>3906</v>
      </c>
      <c r="H153" s="6"/>
      <c r="I153" s="6" t="s">
        <v>3662</v>
      </c>
    </row>
    <row r="154" spans="1:9">
      <c r="A154" s="4" t="s">
        <v>747</v>
      </c>
      <c r="B154" s="4">
        <v>1300902006</v>
      </c>
      <c r="D154" s="6">
        <v>13103</v>
      </c>
      <c r="E154" s="6" t="s">
        <v>3901</v>
      </c>
      <c r="F154" s="6" t="s">
        <v>3902</v>
      </c>
      <c r="G154" s="6" t="s">
        <v>3907</v>
      </c>
      <c r="H154" s="6"/>
      <c r="I154" s="6"/>
    </row>
    <row r="155" ht="43.2" spans="1:9">
      <c r="A155" s="4" t="s">
        <v>714</v>
      </c>
      <c r="B155" s="4">
        <v>1300902010</v>
      </c>
      <c r="D155" s="6">
        <v>1310301</v>
      </c>
      <c r="E155" s="6" t="s">
        <v>3901</v>
      </c>
      <c r="F155" s="6" t="s">
        <v>3902</v>
      </c>
      <c r="G155" s="6" t="s">
        <v>3908</v>
      </c>
      <c r="H155" s="6"/>
      <c r="I155" s="6" t="s">
        <v>3909</v>
      </c>
    </row>
    <row r="156" ht="43.2" spans="1:9">
      <c r="A156" s="4" t="s">
        <v>296</v>
      </c>
      <c r="B156" s="4">
        <v>1300902011</v>
      </c>
      <c r="D156" s="6">
        <v>1310302</v>
      </c>
      <c r="E156" s="6" t="s">
        <v>3901</v>
      </c>
      <c r="F156" s="6" t="s">
        <v>3902</v>
      </c>
      <c r="G156" s="6" t="s">
        <v>3910</v>
      </c>
      <c r="H156" s="6"/>
      <c r="I156" s="6" t="s">
        <v>3909</v>
      </c>
    </row>
    <row r="157" ht="43.2" spans="1:9">
      <c r="A157" s="4" t="s">
        <v>3911</v>
      </c>
      <c r="B157" s="4">
        <v>1300902013</v>
      </c>
      <c r="D157" s="6">
        <v>1310303</v>
      </c>
      <c r="E157" s="6" t="s">
        <v>3901</v>
      </c>
      <c r="F157" s="6" t="s">
        <v>3902</v>
      </c>
      <c r="G157" s="6" t="s">
        <v>3912</v>
      </c>
      <c r="H157" s="6"/>
      <c r="I157" s="6" t="s">
        <v>3909</v>
      </c>
    </row>
    <row r="158" ht="43.2" spans="1:9">
      <c r="A158" s="4" t="s">
        <v>402</v>
      </c>
      <c r="B158" s="4">
        <v>1300903002</v>
      </c>
      <c r="D158" s="6">
        <v>1310304</v>
      </c>
      <c r="E158" s="6" t="s">
        <v>3901</v>
      </c>
      <c r="F158" s="6" t="s">
        <v>3902</v>
      </c>
      <c r="G158" s="6" t="s">
        <v>3913</v>
      </c>
      <c r="H158" s="6"/>
      <c r="I158" s="6" t="s">
        <v>3909</v>
      </c>
    </row>
    <row r="159" ht="28.8" spans="1:9">
      <c r="A159" s="4" t="s">
        <v>286</v>
      </c>
      <c r="B159" s="4">
        <v>1300903003</v>
      </c>
      <c r="D159" s="6">
        <v>1310305</v>
      </c>
      <c r="E159" s="6" t="s">
        <v>3901</v>
      </c>
      <c r="F159" s="6" t="s">
        <v>3902</v>
      </c>
      <c r="G159" s="6" t="s">
        <v>3914</v>
      </c>
      <c r="H159" s="6"/>
      <c r="I159" s="6" t="s">
        <v>3909</v>
      </c>
    </row>
    <row r="160" ht="43.2" spans="1:9">
      <c r="A160" s="4" t="s">
        <v>93</v>
      </c>
      <c r="B160" s="4">
        <v>1300903005</v>
      </c>
      <c r="D160" s="6">
        <v>1310306</v>
      </c>
      <c r="E160" s="6" t="s">
        <v>3901</v>
      </c>
      <c r="F160" s="6" t="s">
        <v>3902</v>
      </c>
      <c r="G160" s="6" t="s">
        <v>3915</v>
      </c>
      <c r="H160" s="6"/>
      <c r="I160" s="6" t="s">
        <v>3662</v>
      </c>
    </row>
    <row r="161" ht="43.2" spans="1:9">
      <c r="A161" s="4" t="s">
        <v>3916</v>
      </c>
      <c r="B161" s="4">
        <v>1300903010</v>
      </c>
      <c r="D161" s="6">
        <v>1310307</v>
      </c>
      <c r="E161" s="6" t="s">
        <v>3901</v>
      </c>
      <c r="F161" s="6" t="s">
        <v>3902</v>
      </c>
      <c r="G161" s="6" t="s">
        <v>3917</v>
      </c>
      <c r="H161" s="6"/>
      <c r="I161" s="6" t="s">
        <v>3662</v>
      </c>
    </row>
    <row r="162" spans="1:9">
      <c r="A162" s="4" t="s">
        <v>3918</v>
      </c>
      <c r="B162" s="4">
        <v>1300903011</v>
      </c>
      <c r="D162" s="6">
        <v>13104</v>
      </c>
      <c r="E162" s="6" t="s">
        <v>3901</v>
      </c>
      <c r="F162" s="6" t="s">
        <v>3902</v>
      </c>
      <c r="G162" s="6" t="s">
        <v>3919</v>
      </c>
      <c r="H162" s="6"/>
      <c r="I162" s="6"/>
    </row>
    <row r="163" ht="43.2" spans="1:9">
      <c r="A163" s="4" t="s">
        <v>407</v>
      </c>
      <c r="B163" s="4">
        <v>1300904016</v>
      </c>
      <c r="D163" s="6">
        <v>1310401</v>
      </c>
      <c r="E163" s="6" t="s">
        <v>3659</v>
      </c>
      <c r="F163" s="6" t="s">
        <v>3902</v>
      </c>
      <c r="G163" s="6" t="s">
        <v>3920</v>
      </c>
      <c r="H163" s="6"/>
      <c r="I163" s="6" t="s">
        <v>3662</v>
      </c>
    </row>
    <row r="164" ht="43.2" spans="1:9">
      <c r="A164" s="4" t="s">
        <v>850</v>
      </c>
      <c r="B164" s="4">
        <v>1300904017</v>
      </c>
      <c r="D164" s="6">
        <v>1310402</v>
      </c>
      <c r="E164" s="6" t="s">
        <v>3659</v>
      </c>
      <c r="F164" s="6" t="s">
        <v>3902</v>
      </c>
      <c r="G164" s="6" t="s">
        <v>3921</v>
      </c>
      <c r="H164" s="6"/>
      <c r="I164" s="6" t="s">
        <v>3662</v>
      </c>
    </row>
    <row r="165" spans="1:9">
      <c r="A165" s="4" t="s">
        <v>3922</v>
      </c>
      <c r="B165" s="4">
        <v>1300904021</v>
      </c>
      <c r="D165" s="6">
        <v>13105</v>
      </c>
      <c r="E165" s="6" t="s">
        <v>3901</v>
      </c>
      <c r="F165" s="6" t="s">
        <v>3902</v>
      </c>
      <c r="G165" s="6" t="s">
        <v>3923</v>
      </c>
      <c r="H165" s="6"/>
      <c r="I165" s="6"/>
    </row>
    <row r="166" ht="28.8" spans="1:9">
      <c r="A166" s="4" t="s">
        <v>781</v>
      </c>
      <c r="B166" s="4">
        <v>1300904022</v>
      </c>
      <c r="D166" s="6">
        <v>1310501</v>
      </c>
      <c r="E166" s="6" t="s">
        <v>3901</v>
      </c>
      <c r="F166" s="6" t="s">
        <v>3902</v>
      </c>
      <c r="G166" s="6" t="s">
        <v>3924</v>
      </c>
      <c r="H166" s="6"/>
      <c r="I166" s="6" t="s">
        <v>3662</v>
      </c>
    </row>
    <row r="167" spans="1:9">
      <c r="A167" s="4" t="s">
        <v>239</v>
      </c>
      <c r="B167" s="4">
        <v>1300904023</v>
      </c>
      <c r="D167" s="6">
        <v>13106</v>
      </c>
      <c r="E167" s="6" t="s">
        <v>3901</v>
      </c>
      <c r="F167" s="6" t="s">
        <v>3902</v>
      </c>
      <c r="G167" s="6" t="s">
        <v>3925</v>
      </c>
      <c r="H167" s="6"/>
      <c r="I167" s="6"/>
    </row>
    <row r="168" ht="28.8" spans="1:9">
      <c r="A168" s="4" t="s">
        <v>200</v>
      </c>
      <c r="B168" s="4">
        <v>1300904024</v>
      </c>
      <c r="D168" s="6">
        <v>1310601</v>
      </c>
      <c r="E168" s="6" t="s">
        <v>3901</v>
      </c>
      <c r="F168" s="6" t="s">
        <v>3902</v>
      </c>
      <c r="G168" s="6" t="s">
        <v>3926</v>
      </c>
      <c r="H168" s="6"/>
      <c r="I168" s="6" t="s">
        <v>3927</v>
      </c>
    </row>
    <row r="169" spans="1:9">
      <c r="A169" s="4" t="s">
        <v>1161</v>
      </c>
      <c r="B169" s="4">
        <v>1300913005</v>
      </c>
      <c r="D169" s="6">
        <v>13107</v>
      </c>
      <c r="E169" s="6" t="s">
        <v>3901</v>
      </c>
      <c r="F169" s="6" t="s">
        <v>3902</v>
      </c>
      <c r="G169" s="6" t="s">
        <v>3928</v>
      </c>
      <c r="H169" s="6"/>
      <c r="I169" s="6"/>
    </row>
    <row r="170" ht="28.8" spans="1:9">
      <c r="A170" s="4" t="s">
        <v>3929</v>
      </c>
      <c r="B170" s="4">
        <v>1300917001</v>
      </c>
      <c r="D170" s="6">
        <v>1310701</v>
      </c>
      <c r="E170" s="6" t="s">
        <v>3901</v>
      </c>
      <c r="F170" s="6" t="s">
        <v>3902</v>
      </c>
      <c r="G170" s="6" t="s">
        <v>3930</v>
      </c>
      <c r="H170" s="6"/>
      <c r="I170" s="6" t="s">
        <v>3931</v>
      </c>
    </row>
    <row r="171" spans="1:9">
      <c r="A171" s="4" t="s">
        <v>3932</v>
      </c>
      <c r="B171" s="4">
        <v>1300917002</v>
      </c>
      <c r="D171" s="6">
        <v>13108</v>
      </c>
      <c r="E171" s="6" t="s">
        <v>3901</v>
      </c>
      <c r="F171" s="6" t="s">
        <v>3902</v>
      </c>
      <c r="G171" s="6" t="s">
        <v>3933</v>
      </c>
      <c r="H171" s="6"/>
      <c r="I171" s="6"/>
    </row>
    <row r="172" ht="28.8" spans="1:9">
      <c r="A172" s="4" t="s">
        <v>3934</v>
      </c>
      <c r="B172" s="4">
        <v>1300920001</v>
      </c>
      <c r="D172" s="6">
        <v>1310801</v>
      </c>
      <c r="E172" s="6" t="s">
        <v>3901</v>
      </c>
      <c r="F172" s="6" t="s">
        <v>3902</v>
      </c>
      <c r="G172" s="6" t="s">
        <v>3935</v>
      </c>
      <c r="H172" s="6"/>
      <c r="I172" s="6" t="s">
        <v>3931</v>
      </c>
    </row>
    <row r="173" ht="28.8" spans="1:9">
      <c r="A173" s="4" t="s">
        <v>3936</v>
      </c>
      <c r="B173" s="4">
        <v>1310201019</v>
      </c>
      <c r="D173" s="6">
        <v>13109</v>
      </c>
      <c r="E173" s="6" t="s">
        <v>3901</v>
      </c>
      <c r="F173" s="6" t="s">
        <v>3902</v>
      </c>
      <c r="G173" s="6" t="s">
        <v>3937</v>
      </c>
      <c r="H173" s="6"/>
      <c r="I173" s="6"/>
    </row>
    <row r="174" ht="57.6" spans="1:9">
      <c r="A174" s="4" t="s">
        <v>3938</v>
      </c>
      <c r="B174" s="4">
        <v>1310201020</v>
      </c>
      <c r="D174" s="6" t="s">
        <v>3939</v>
      </c>
      <c r="E174" s="6" t="s">
        <v>3901</v>
      </c>
      <c r="F174" s="6" t="s">
        <v>3902</v>
      </c>
      <c r="G174" s="6" t="s">
        <v>3940</v>
      </c>
      <c r="H174" s="6"/>
      <c r="I174" s="6" t="s">
        <v>3909</v>
      </c>
    </row>
    <row r="175" spans="1:9">
      <c r="A175" s="4" t="s">
        <v>3941</v>
      </c>
      <c r="B175" s="4">
        <v>1310201021</v>
      </c>
      <c r="D175" s="6">
        <v>18001</v>
      </c>
      <c r="E175" s="6" t="s">
        <v>3942</v>
      </c>
      <c r="F175" s="6" t="s">
        <v>3942</v>
      </c>
      <c r="G175" s="6" t="s">
        <v>3943</v>
      </c>
      <c r="H175" s="6"/>
      <c r="I175" s="6"/>
    </row>
    <row r="176" ht="28.8" spans="1:9">
      <c r="A176" s="4" t="s">
        <v>3944</v>
      </c>
      <c r="B176" s="4">
        <v>1310201022</v>
      </c>
      <c r="D176" s="6">
        <v>1800102</v>
      </c>
      <c r="E176" s="6" t="s">
        <v>3942</v>
      </c>
      <c r="F176" s="6" t="s">
        <v>3942</v>
      </c>
      <c r="G176" s="6" t="s">
        <v>3945</v>
      </c>
      <c r="H176" s="6"/>
      <c r="I176" s="6" t="s">
        <v>3931</v>
      </c>
    </row>
    <row r="177" spans="1:9">
      <c r="A177" s="4" t="s">
        <v>3946</v>
      </c>
      <c r="B177" s="4">
        <v>1310201023</v>
      </c>
      <c r="D177" s="6">
        <v>1800108</v>
      </c>
      <c r="E177" s="6" t="s">
        <v>3942</v>
      </c>
      <c r="F177" s="6" t="s">
        <v>3942</v>
      </c>
      <c r="G177" s="6" t="s">
        <v>3947</v>
      </c>
      <c r="H177" s="6"/>
      <c r="I177" s="6" t="s">
        <v>3931</v>
      </c>
    </row>
    <row r="178" spans="1:9">
      <c r="A178" s="4" t="s">
        <v>3948</v>
      </c>
      <c r="B178" s="4">
        <v>1310201024</v>
      </c>
      <c r="D178" s="6">
        <v>18002</v>
      </c>
      <c r="E178" s="6" t="s">
        <v>3942</v>
      </c>
      <c r="F178" s="6" t="s">
        <v>3942</v>
      </c>
      <c r="G178" s="6" t="s">
        <v>3949</v>
      </c>
      <c r="H178" s="6"/>
      <c r="I178" s="6"/>
    </row>
    <row r="179" spans="1:9">
      <c r="A179" s="4" t="s">
        <v>3950</v>
      </c>
      <c r="B179" s="4">
        <v>1310302005</v>
      </c>
      <c r="D179" s="6">
        <v>1800201</v>
      </c>
      <c r="E179" s="6" t="s">
        <v>3942</v>
      </c>
      <c r="F179" s="6" t="s">
        <v>3942</v>
      </c>
      <c r="G179" s="6" t="s">
        <v>3951</v>
      </c>
      <c r="H179" s="6"/>
      <c r="I179" s="6" t="s">
        <v>3931</v>
      </c>
    </row>
    <row r="180" ht="28.8" spans="1:9">
      <c r="A180" s="4" t="s">
        <v>3952</v>
      </c>
      <c r="B180" s="4">
        <v>1310307001</v>
      </c>
      <c r="D180" s="6">
        <v>1800502</v>
      </c>
      <c r="E180" s="6" t="s">
        <v>3942</v>
      </c>
      <c r="F180" s="6" t="s">
        <v>3942</v>
      </c>
      <c r="G180" s="6" t="s">
        <v>3953</v>
      </c>
      <c r="H180" s="6"/>
      <c r="I180" s="6" t="s">
        <v>3931</v>
      </c>
    </row>
    <row r="181" spans="1:9">
      <c r="A181" s="4" t="s">
        <v>3954</v>
      </c>
      <c r="B181" s="4">
        <v>1310308002</v>
      </c>
    </row>
    <row r="182" spans="1:9">
      <c r="A182" s="4" t="s">
        <v>3955</v>
      </c>
      <c r="B182" s="4">
        <v>1310308003</v>
      </c>
    </row>
    <row r="183" spans="1:9">
      <c r="A183" s="4" t="s">
        <v>3956</v>
      </c>
      <c r="B183" s="4">
        <v>1310308004</v>
      </c>
    </row>
    <row r="184" spans="1:9">
      <c r="A184" s="4" t="s">
        <v>111</v>
      </c>
      <c r="B184" s="4">
        <v>1310501001</v>
      </c>
    </row>
    <row r="185" spans="1:9">
      <c r="A185" s="4" t="s">
        <v>3957</v>
      </c>
      <c r="B185" s="4">
        <v>1310701003</v>
      </c>
    </row>
    <row r="186" spans="1:9">
      <c r="A186" s="4" t="s">
        <v>3958</v>
      </c>
      <c r="B186" s="4">
        <v>1310701006</v>
      </c>
    </row>
    <row r="187" spans="1:9">
      <c r="A187" s="4" t="s">
        <v>3959</v>
      </c>
      <c r="B187" s="4">
        <v>1310701009</v>
      </c>
    </row>
    <row r="188" spans="1:9">
      <c r="A188" s="4" t="s">
        <v>3960</v>
      </c>
      <c r="B188" s="4">
        <v>1310701010</v>
      </c>
    </row>
    <row r="189" spans="1:9">
      <c r="A189" s="4" t="s">
        <v>3961</v>
      </c>
      <c r="B189" s="4">
        <v>1310701013</v>
      </c>
    </row>
    <row r="190" spans="1:9">
      <c r="A190" s="4" t="s">
        <v>3962</v>
      </c>
      <c r="B190" s="4">
        <v>1310902001</v>
      </c>
    </row>
    <row r="191" spans="1:9">
      <c r="A191" s="4" t="s">
        <v>3963</v>
      </c>
      <c r="B191" s="4">
        <v>1311001001</v>
      </c>
    </row>
    <row r="192" spans="1:9">
      <c r="A192" s="4" t="s">
        <v>3964</v>
      </c>
      <c r="B192" s="4">
        <v>1311001002</v>
      </c>
    </row>
    <row r="193" spans="1:2">
      <c r="A193" s="4" t="s">
        <v>3965</v>
      </c>
      <c r="B193" s="4">
        <v>1311001004</v>
      </c>
    </row>
    <row r="194" spans="1:2">
      <c r="A194" s="4" t="s">
        <v>3966</v>
      </c>
      <c r="B194" s="4">
        <v>1311001009</v>
      </c>
    </row>
    <row r="195" spans="1:2">
      <c r="A195" s="4" t="s">
        <v>3967</v>
      </c>
      <c r="B195" s="4">
        <v>1311001010</v>
      </c>
    </row>
    <row r="196" spans="1:2">
      <c r="A196" s="4" t="s">
        <v>3968</v>
      </c>
      <c r="B196" s="4">
        <v>1311001011</v>
      </c>
    </row>
    <row r="197" spans="1:2">
      <c r="A197" s="4" t="s">
        <v>3969</v>
      </c>
      <c r="B197" s="4">
        <v>1311001013</v>
      </c>
    </row>
    <row r="198" spans="1:2">
      <c r="A198" s="4" t="s">
        <v>1493</v>
      </c>
      <c r="B198" s="4">
        <v>1311001016</v>
      </c>
    </row>
    <row r="199" spans="1:2">
      <c r="A199" s="4" t="s">
        <v>3970</v>
      </c>
      <c r="B199" s="4">
        <v>1800102259</v>
      </c>
    </row>
    <row r="200" spans="1:2">
      <c r="A200" s="4" t="s">
        <v>3971</v>
      </c>
      <c r="B200" s="4">
        <v>1800102260</v>
      </c>
    </row>
    <row r="201" spans="1:2">
      <c r="A201" s="4" t="s">
        <v>3972</v>
      </c>
      <c r="B201" s="4">
        <v>1800102261</v>
      </c>
    </row>
    <row r="202" spans="1:2">
      <c r="A202" s="4" t="s">
        <v>3973</v>
      </c>
      <c r="B202" s="4">
        <v>1800102273</v>
      </c>
    </row>
    <row r="203" spans="1:2">
      <c r="A203" s="4" t="s">
        <v>3974</v>
      </c>
      <c r="B203" s="4">
        <v>1800102274</v>
      </c>
    </row>
    <row r="204" spans="1:2">
      <c r="A204" s="4" t="s">
        <v>3975</v>
      </c>
      <c r="B204" s="4">
        <v>1800102275</v>
      </c>
    </row>
    <row r="205" spans="1:2">
      <c r="A205" s="4" t="s">
        <v>3976</v>
      </c>
      <c r="B205" s="4">
        <v>1800102276</v>
      </c>
    </row>
    <row r="206" spans="1:2">
      <c r="A206" s="4" t="s">
        <v>3977</v>
      </c>
      <c r="B206" s="4">
        <v>1800102278</v>
      </c>
    </row>
    <row r="207" spans="1:2">
      <c r="A207" s="4" t="s">
        <v>782</v>
      </c>
      <c r="B207" s="4">
        <v>1800102281</v>
      </c>
    </row>
    <row r="208" spans="1:2">
      <c r="A208" s="4" t="s">
        <v>3978</v>
      </c>
      <c r="B208" s="4">
        <v>1800102282</v>
      </c>
    </row>
    <row r="209" spans="1:2">
      <c r="A209" s="4" t="s">
        <v>3979</v>
      </c>
      <c r="B209" s="4">
        <v>1800102308</v>
      </c>
    </row>
    <row r="210" spans="1:2">
      <c r="A210" s="4" t="s">
        <v>3980</v>
      </c>
      <c r="B210" s="4">
        <v>1800102309</v>
      </c>
    </row>
    <row r="211" spans="1:2">
      <c r="A211" s="4" t="s">
        <v>3981</v>
      </c>
      <c r="B211" s="4">
        <v>1800108022</v>
      </c>
    </row>
    <row r="212" spans="1:2">
      <c r="A212" s="4" t="s">
        <v>468</v>
      </c>
      <c r="B212" s="4">
        <v>1800108091</v>
      </c>
    </row>
    <row r="213" spans="1:2">
      <c r="A213" s="4" t="s">
        <v>471</v>
      </c>
      <c r="B213" s="4">
        <v>1800108092</v>
      </c>
    </row>
    <row r="214" spans="1:2">
      <c r="A214" s="4" t="s">
        <v>3982</v>
      </c>
      <c r="B214" s="4">
        <v>1800108094</v>
      </c>
    </row>
    <row r="215" spans="1:2">
      <c r="A215" s="4" t="s">
        <v>3983</v>
      </c>
      <c r="B215" s="4">
        <v>1800108102</v>
      </c>
    </row>
    <row r="216" spans="1:2">
      <c r="A216" s="4" t="s">
        <v>3984</v>
      </c>
      <c r="B216" s="4">
        <v>1800108103</v>
      </c>
    </row>
    <row r="217" spans="1:2">
      <c r="A217" s="4" t="s">
        <v>3985</v>
      </c>
      <c r="B217" s="4">
        <v>1800108104</v>
      </c>
    </row>
    <row r="218" spans="1:2">
      <c r="A218" s="4" t="s">
        <v>3986</v>
      </c>
      <c r="B218" s="4">
        <v>1800108105</v>
      </c>
    </row>
    <row r="219" spans="1:2">
      <c r="A219" s="4" t="s">
        <v>3987</v>
      </c>
      <c r="B219" s="4">
        <v>1800108106</v>
      </c>
    </row>
    <row r="220" spans="1:2">
      <c r="A220" s="4" t="s">
        <v>3988</v>
      </c>
      <c r="B220" s="4">
        <v>1800108108</v>
      </c>
    </row>
    <row r="221" spans="1:2">
      <c r="A221" s="4" t="s">
        <v>3989</v>
      </c>
      <c r="B221" s="4">
        <v>1800201069</v>
      </c>
    </row>
    <row r="222" spans="1:2">
      <c r="A222" s="4" t="s">
        <v>3990</v>
      </c>
      <c r="B222" s="4">
        <v>1800201071</v>
      </c>
    </row>
    <row r="223" spans="1:2">
      <c r="A223" s="4" t="s">
        <v>3991</v>
      </c>
      <c r="B223" s="4">
        <v>1800201073</v>
      </c>
    </row>
    <row r="224" spans="1:2">
      <c r="A224" s="4" t="s">
        <v>3992</v>
      </c>
      <c r="B224" s="4">
        <v>1800201194</v>
      </c>
    </row>
    <row r="225" spans="1:2">
      <c r="A225" s="4" t="s">
        <v>3993</v>
      </c>
      <c r="B225" s="4">
        <v>1800201200</v>
      </c>
    </row>
    <row r="226" spans="1:2">
      <c r="A226" s="4" t="s">
        <v>3994</v>
      </c>
      <c r="B226" s="4">
        <v>1800201212</v>
      </c>
    </row>
    <row r="227" spans="1:2">
      <c r="A227" s="4" t="s">
        <v>3995</v>
      </c>
      <c r="B227" s="4">
        <v>1800201223</v>
      </c>
    </row>
    <row r="228" spans="1:2">
      <c r="A228" s="4" t="s">
        <v>3996</v>
      </c>
      <c r="B228" s="4">
        <v>1800201227</v>
      </c>
    </row>
    <row r="229" spans="1:2">
      <c r="A229" s="4" t="s">
        <v>3997</v>
      </c>
      <c r="B229" s="4">
        <v>1800204003</v>
      </c>
    </row>
    <row r="230" spans="1:2">
      <c r="A230" s="4" t="s">
        <v>3998</v>
      </c>
      <c r="B230" s="4">
        <v>1800204004</v>
      </c>
    </row>
    <row r="231" spans="1:2">
      <c r="A231" s="4" t="s">
        <v>3999</v>
      </c>
      <c r="B231" s="4">
        <v>1800204005</v>
      </c>
    </row>
    <row r="232" spans="1:2">
      <c r="A232" s="4" t="s">
        <v>4000</v>
      </c>
      <c r="B232" s="4">
        <v>1800204006</v>
      </c>
    </row>
    <row r="233" spans="1:2">
      <c r="A233" s="4" t="s">
        <v>4001</v>
      </c>
      <c r="B233" s="4">
        <v>1800502005</v>
      </c>
    </row>
    <row r="234" spans="1:2">
      <c r="A234" s="4" t="s">
        <v>760</v>
      </c>
      <c r="B234" s="4">
        <v>1300603105</v>
      </c>
    </row>
    <row r="235" spans="1:2">
      <c r="A235" s="4" t="s">
        <v>4002</v>
      </c>
      <c r="B235" s="4">
        <v>1300603108</v>
      </c>
    </row>
    <row r="236" spans="1:2">
      <c r="A236" s="4" t="s">
        <v>300</v>
      </c>
      <c r="B236" s="4">
        <v>1300610038</v>
      </c>
    </row>
    <row r="237" spans="1:2">
      <c r="A237" s="4" t="s">
        <v>4003</v>
      </c>
      <c r="B237" s="4">
        <v>1300610062</v>
      </c>
    </row>
    <row r="238" spans="1:2">
      <c r="A238" s="4" t="s">
        <v>671</v>
      </c>
      <c r="B238" s="4">
        <v>1300612023</v>
      </c>
    </row>
    <row r="239" spans="1:2">
      <c r="A239" s="4" t="s">
        <v>4004</v>
      </c>
      <c r="B239" s="4">
        <v>1300607033</v>
      </c>
    </row>
    <row r="240" spans="1:2">
      <c r="A240" s="4" t="s">
        <v>4005</v>
      </c>
      <c r="B240" s="4">
        <v>1300201004</v>
      </c>
    </row>
    <row r="241" spans="1:2">
      <c r="A241" s="4" t="s">
        <v>4006</v>
      </c>
      <c r="B241" s="4">
        <v>1300201022</v>
      </c>
    </row>
    <row r="242" spans="1:2">
      <c r="A242" s="4" t="s">
        <v>4007</v>
      </c>
      <c r="B242" s="4">
        <v>1300206128</v>
      </c>
    </row>
    <row r="243" spans="1:2">
      <c r="A243" s="4" t="s">
        <v>4008</v>
      </c>
      <c r="B243" s="4">
        <v>1300226030</v>
      </c>
    </row>
    <row r="244" spans="1:2">
      <c r="A244" s="4" t="s">
        <v>4009</v>
      </c>
      <c r="B244" s="4">
        <v>1300401103</v>
      </c>
    </row>
    <row r="245" spans="1:2">
      <c r="A245" s="4" t="s">
        <v>4010</v>
      </c>
      <c r="B245" s="4">
        <v>1300405096</v>
      </c>
    </row>
    <row r="246" spans="1:2">
      <c r="A246" s="4" t="s">
        <v>4011</v>
      </c>
      <c r="B246" s="4">
        <v>1300411111</v>
      </c>
    </row>
    <row r="247" spans="1:2">
      <c r="A247" s="4" t="s">
        <v>373</v>
      </c>
      <c r="B247" s="4">
        <v>1300501029</v>
      </c>
    </row>
    <row r="248" spans="1:2">
      <c r="A248" s="4" t="s">
        <v>4012</v>
      </c>
      <c r="B248" s="4">
        <v>1300603035</v>
      </c>
    </row>
    <row r="249" spans="1:2">
      <c r="A249" s="4" t="s">
        <v>4013</v>
      </c>
      <c r="B249" s="4">
        <v>1300604012</v>
      </c>
    </row>
    <row r="250" spans="1:2">
      <c r="A250" s="4" t="s">
        <v>4014</v>
      </c>
      <c r="B250" s="4">
        <v>1300604022</v>
      </c>
    </row>
    <row r="251" spans="1:2">
      <c r="A251" s="4" t="s">
        <v>4015</v>
      </c>
      <c r="B251" s="4">
        <v>1300609034</v>
      </c>
    </row>
    <row r="252" spans="1:2">
      <c r="A252" s="4" t="s">
        <v>4016</v>
      </c>
      <c r="B252" s="4">
        <v>1300617001</v>
      </c>
    </row>
    <row r="253" spans="1:2">
      <c r="A253" s="4" t="s">
        <v>4017</v>
      </c>
      <c r="B253" s="4">
        <v>1300901051</v>
      </c>
    </row>
    <row r="254" spans="1:2">
      <c r="A254" s="4" t="s">
        <v>4018</v>
      </c>
      <c r="B254" s="4">
        <v>1300901055</v>
      </c>
    </row>
    <row r="255" spans="1:2">
      <c r="A255" s="4" t="s">
        <v>532</v>
      </c>
      <c r="B255" s="4">
        <v>1300903006</v>
      </c>
    </row>
    <row r="256" spans="1:2">
      <c r="A256" s="4" t="s">
        <v>4019</v>
      </c>
      <c r="B256" s="4">
        <v>1310306002</v>
      </c>
    </row>
    <row r="257" spans="1:2">
      <c r="A257" s="4" t="s">
        <v>4020</v>
      </c>
      <c r="B257" s="4">
        <v>1311001003</v>
      </c>
    </row>
    <row r="258" spans="1:2">
      <c r="A258" s="4" t="s">
        <v>4021</v>
      </c>
      <c r="B258" s="4">
        <v>1311001006</v>
      </c>
    </row>
    <row r="259" spans="1:2">
      <c r="A259" s="4" t="s">
        <v>4022</v>
      </c>
      <c r="B259" s="4">
        <v>1311001012</v>
      </c>
    </row>
    <row r="260" spans="1:2">
      <c r="A260" s="4" t="s">
        <v>4023</v>
      </c>
      <c r="B260" s="4">
        <v>1800102279</v>
      </c>
    </row>
    <row r="261" spans="1:2">
      <c r="A261" s="4" t="s">
        <v>4024</v>
      </c>
      <c r="B261" s="4">
        <v>1300201076</v>
      </c>
    </row>
    <row r="262" spans="1:2">
      <c r="A262" s="4" t="s">
        <v>4025</v>
      </c>
      <c r="B262" s="4">
        <v>1300202028</v>
      </c>
    </row>
    <row r="263" spans="1:2">
      <c r="A263" s="4" t="s">
        <v>4026</v>
      </c>
      <c r="B263" s="4">
        <v>1300205054</v>
      </c>
    </row>
    <row r="264" spans="1:2">
      <c r="A264" s="4" t="s">
        <v>4027</v>
      </c>
      <c r="B264" s="4">
        <v>1300205202</v>
      </c>
    </row>
    <row r="265" spans="1:2">
      <c r="A265" s="4" t="s">
        <v>743</v>
      </c>
      <c r="B265" s="4">
        <v>1300612031</v>
      </c>
    </row>
    <row r="266" spans="1:2">
      <c r="A266" s="4" t="s">
        <v>4028</v>
      </c>
      <c r="B266" s="4">
        <v>1301003008</v>
      </c>
    </row>
    <row r="267" spans="1:2">
      <c r="A267" s="4" t="s">
        <v>1019</v>
      </c>
      <c r="B267" s="4">
        <v>1800108095</v>
      </c>
    </row>
    <row r="268" spans="1:2">
      <c r="A268" s="4" t="s">
        <v>4029</v>
      </c>
      <c r="B268" s="4">
        <v>1300103040</v>
      </c>
    </row>
    <row r="269" spans="1:2">
      <c r="A269" s="4" t="s">
        <v>4030</v>
      </c>
      <c r="B269" s="4">
        <v>1300107010</v>
      </c>
    </row>
    <row r="270" spans="1:2">
      <c r="A270" s="4" t="s">
        <v>4031</v>
      </c>
      <c r="B270" s="4">
        <v>1300201018</v>
      </c>
    </row>
    <row r="271" spans="1:2">
      <c r="A271" s="4" t="s">
        <v>4032</v>
      </c>
      <c r="B271" s="4">
        <v>1300202050</v>
      </c>
    </row>
    <row r="272" spans="1:2">
      <c r="A272" s="4" t="s">
        <v>4033</v>
      </c>
      <c r="B272" s="4">
        <v>1300206106</v>
      </c>
    </row>
    <row r="273" spans="1:2">
      <c r="A273" s="4" t="s">
        <v>4034</v>
      </c>
      <c r="B273" s="4">
        <v>1300206139</v>
      </c>
    </row>
    <row r="274" spans="1:2">
      <c r="A274" s="4" t="s">
        <v>4035</v>
      </c>
      <c r="B274" s="4">
        <v>1300215004</v>
      </c>
    </row>
    <row r="275" spans="1:2">
      <c r="A275" s="4" t="s">
        <v>4036</v>
      </c>
      <c r="B275" s="4">
        <v>1300226013</v>
      </c>
    </row>
    <row r="276" spans="1:2">
      <c r="A276" s="4" t="s">
        <v>4037</v>
      </c>
      <c r="B276" s="4">
        <v>1300401130</v>
      </c>
    </row>
    <row r="277" spans="1:2">
      <c r="A277" s="4" t="s">
        <v>4038</v>
      </c>
      <c r="B277" s="4">
        <v>1300401164</v>
      </c>
    </row>
    <row r="278" spans="1:2">
      <c r="A278" s="4" t="s">
        <v>4039</v>
      </c>
      <c r="B278" s="4">
        <v>1300406061</v>
      </c>
    </row>
    <row r="279" spans="1:2">
      <c r="A279" s="4" t="s">
        <v>4040</v>
      </c>
      <c r="B279" s="4">
        <v>1300414176</v>
      </c>
    </row>
    <row r="280" spans="1:2">
      <c r="A280" s="4" t="s">
        <v>4041</v>
      </c>
      <c r="B280" s="4">
        <v>1300501032</v>
      </c>
    </row>
    <row r="281" spans="1:2">
      <c r="A281" s="4" t="s">
        <v>4042</v>
      </c>
      <c r="B281" s="4">
        <v>1300602032</v>
      </c>
    </row>
    <row r="282" spans="1:2">
      <c r="A282" s="4" t="s">
        <v>4043</v>
      </c>
      <c r="B282" s="4">
        <v>1300603073</v>
      </c>
    </row>
    <row r="283" spans="1:2">
      <c r="A283" s="4" t="s">
        <v>4044</v>
      </c>
      <c r="B283" s="4">
        <v>1300610032</v>
      </c>
    </row>
    <row r="284" spans="1:2">
      <c r="A284" s="4" t="s">
        <v>4045</v>
      </c>
      <c r="B284" s="4">
        <v>1300613021</v>
      </c>
    </row>
    <row r="285" spans="1:2">
      <c r="A285" s="4" t="s">
        <v>4046</v>
      </c>
      <c r="B285" s="4">
        <v>1300801036</v>
      </c>
    </row>
    <row r="286" spans="1:2">
      <c r="A286" s="4" t="s">
        <v>4047</v>
      </c>
      <c r="B286" s="4">
        <v>1300812002</v>
      </c>
    </row>
    <row r="287" spans="1:2">
      <c r="A287" s="4" t="s">
        <v>4048</v>
      </c>
      <c r="B287" s="4">
        <v>1300913001</v>
      </c>
    </row>
    <row r="288" spans="1:2">
      <c r="A288" s="4" t="s">
        <v>4049</v>
      </c>
      <c r="B288" s="4">
        <v>1310301010</v>
      </c>
    </row>
    <row r="289" spans="1:2">
      <c r="A289" s="4" t="s">
        <v>4050</v>
      </c>
      <c r="B289" s="4">
        <v>1310402001</v>
      </c>
    </row>
    <row r="290" spans="1:2">
      <c r="A290" s="4" t="s">
        <v>4051</v>
      </c>
      <c r="B290" s="4">
        <v>1310402002</v>
      </c>
    </row>
    <row r="291" spans="1:2">
      <c r="A291" s="4" t="s">
        <v>4052</v>
      </c>
      <c r="B291" s="4">
        <v>1310701012</v>
      </c>
    </row>
    <row r="292" spans="1:2">
      <c r="A292" s="4" t="s">
        <v>4053</v>
      </c>
      <c r="B292" s="4">
        <v>1311001012</v>
      </c>
    </row>
    <row r="293" spans="1:2">
      <c r="A293" s="4" t="s">
        <v>4054</v>
      </c>
      <c r="B293" s="4">
        <v>1800102277</v>
      </c>
    </row>
    <row r="294" spans="1:2">
      <c r="A294" s="4" t="s">
        <v>4055</v>
      </c>
      <c r="B294" s="4">
        <v>1800102280</v>
      </c>
    </row>
    <row r="295" spans="1:2">
      <c r="A295" s="4" t="s">
        <v>4056</v>
      </c>
      <c r="B295" s="4">
        <v>1800108100</v>
      </c>
    </row>
    <row r="296" spans="1:2">
      <c r="A296" s="4" t="s">
        <v>4057</v>
      </c>
      <c r="B296" s="4">
        <v>1800108101</v>
      </c>
    </row>
    <row r="297" spans="1:2">
      <c r="A297" s="4" t="s">
        <v>4058</v>
      </c>
      <c r="B297" s="4">
        <v>1800201228</v>
      </c>
    </row>
    <row r="298" spans="1:2">
      <c r="A298" s="4" t="s">
        <v>3982</v>
      </c>
      <c r="B298" s="4">
        <v>1800201229</v>
      </c>
    </row>
    <row r="299" spans="1:2">
      <c r="A299" s="7" t="s">
        <v>175</v>
      </c>
      <c r="B299" s="7">
        <v>1300103041</v>
      </c>
    </row>
    <row r="300" spans="1:2">
      <c r="A300" s="7" t="s">
        <v>4059</v>
      </c>
      <c r="B300" s="7">
        <v>1300103042</v>
      </c>
    </row>
    <row r="301" spans="1:2">
      <c r="A301" s="7" t="s">
        <v>489</v>
      </c>
      <c r="B301" s="7">
        <v>1300903010</v>
      </c>
    </row>
    <row r="302" spans="1:2">
      <c r="A302" s="7" t="s">
        <v>3918</v>
      </c>
      <c r="B302" s="7">
        <v>1300903011</v>
      </c>
    </row>
    <row r="303" spans="1:2">
      <c r="A303" s="7" t="s">
        <v>4051</v>
      </c>
      <c r="B303" s="7">
        <v>1310402002</v>
      </c>
    </row>
    <row r="304" spans="1:2">
      <c r="A304" s="7" t="s">
        <v>2390</v>
      </c>
      <c r="B304" s="7">
        <v>1310401001</v>
      </c>
    </row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订单列表</vt:lpstr>
      <vt:lpstr>客戶屬性1</vt:lpstr>
      <vt:lpstr>客戶編碼</vt:lpstr>
      <vt:lpstr>物料編碼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涵涵涵涵涵同学</cp:lastModifiedBy>
  <dcterms:created xsi:type="dcterms:W3CDTF">2026-07-20T02:12:00Z</dcterms:created>
  <dcterms:modified xsi:type="dcterms:W3CDTF">2026-07-20T07:37:54Z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BED8C1F112D9434F9BE00A3CAADF8813_13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