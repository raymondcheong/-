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SHOP\第十七阶段促销\"/>
    </mc:Choice>
  </mc:AlternateContent>
  <bookViews>
    <workbookView xWindow="0" yWindow="0" windowWidth="19200" windowHeight="8090"/>
  </bookViews>
  <sheets>
    <sheet name="product_level_rules" sheetId="1" r:id="rId1"/>
    <sheet name="same_category_product_rules_wit" sheetId="2" r:id="rId2"/>
  </sheets>
  <definedNames>
    <definedName name="_xlnm._FilterDatabase" localSheetId="0" hidden="1">product_level_rules!$A$1:$P$30</definedName>
    <definedName name="_xlnm._FilterDatabase" localSheetId="1" hidden="1">same_category_product_rules_wit!$A$1:$J$14</definedName>
  </definedNames>
  <calcPr calcId="0"/>
</workbook>
</file>

<file path=xl/calcChain.xml><?xml version="1.0" encoding="utf-8"?>
<calcChain xmlns="http://schemas.openxmlformats.org/spreadsheetml/2006/main">
  <c r="R1" i="1" l="1"/>
  <c r="C3" i="2"/>
  <c r="C4" i="2"/>
  <c r="C5" i="2"/>
  <c r="C6" i="2"/>
  <c r="C7" i="2"/>
  <c r="C8" i="2"/>
  <c r="C9" i="2"/>
  <c r="C10" i="2"/>
  <c r="C11" i="2"/>
  <c r="C12" i="2"/>
  <c r="C13" i="2"/>
  <c r="C14" i="2"/>
  <c r="C2" i="2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<sst xmlns="http://schemas.openxmlformats.org/spreadsheetml/2006/main" count="125" uniqueCount="50">
  <si>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</si>
  <si>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</si>
  <si>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</si>
  <si>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</si>
  <si>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</si>
  <si>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</si>
  <si>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</si>
  <si>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</si>
  <si>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</si>
  <si>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</si>
  <si>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</si>
  <si>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</si>
  <si>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</si>
  <si>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</si>
  <si>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frozenset({'帶骨全腿', '鷄腳'})</t>
  </si>
  <si>
    <t>frozenset({'挑骨豬腩'})</t>
  </si>
  <si>
    <t>frozenset({'帶骨全腿', '挑骨豬腩'})</t>
  </si>
  <si>
    <t>frozenset({'鷄腳'})</t>
  </si>
  <si>
    <t>frozenset({'蝦肉'})</t>
  </si>
  <si>
    <t>frozenset({'鯰魚柳'})</t>
  </si>
  <si>
    <t>frozenset({'帶皮腿扒', '面精肉'})</t>
  </si>
  <si>
    <t>frozenset({'煙熏鴨胸'})</t>
  </si>
  <si>
    <t>frozenset({'熟食'})</t>
  </si>
  <si>
    <t>frozenset({'帶骨整腿'})</t>
  </si>
  <si>
    <t>frozenset({'帶皮腿扒', '煙熏鴨胸'})</t>
  </si>
  <si>
    <t>frozenset({'面精肉'})</t>
  </si>
  <si>
    <t>frozenset({'帶皮腿扒', '小胸肉'})</t>
  </si>
  <si>
    <t>frozenset({'翅尖'})</t>
  </si>
  <si>
    <t>frozenset({'挑骨豬腩', '鷄腳'})</t>
  </si>
  <si>
    <t>frozenset({'帶骨全腿'})</t>
  </si>
  <si>
    <t>inf</t>
  </si>
  <si>
    <t>frozenset({'面精肉', '煙熏鴨胸'})</t>
  </si>
  <si>
    <t>frozenset({'帶皮腿扒'})</t>
  </si>
  <si>
    <t>frozenset({'帶皮腿扒', '翅尖'})</t>
  </si>
  <si>
    <t>frozenset({'小胸肉'})</t>
  </si>
  <si>
    <t>frozenset({'生鴨胸'})</t>
  </si>
  <si>
    <t>frozenset({'整鴨'})</t>
  </si>
  <si>
    <t>frozenset({'帶骨全腿', '小胸肉'})</t>
  </si>
  <si>
    <t>frozenset({'小胸肉', '翅尖'})</t>
  </si>
  <si>
    <t>frozenset({'琵琶腿'})</t>
  </si>
  <si>
    <t>frozenset({'帶骨全腿', '面精肉'})</t>
  </si>
  <si>
    <t>frozenset({'帶骨全腿', '去皮上腿肉'})</t>
  </si>
  <si>
    <t>frozenset({'帶皮腿扒', '去皮上腿肉'})</t>
  </si>
  <si>
    <t>common_category</t>
  </si>
  <si>
    <t>category_order_count</t>
  </si>
  <si>
    <t>combination_support_count</t>
  </si>
  <si>
    <t>category_internal_support</t>
  </si>
  <si>
    <t>中國雞肉</t>
  </si>
  <si>
    <t>中國鴨肉</t>
  </si>
  <si>
    <t>組合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</si>
</sst>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9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1" applyNumberFormat="1" applyFont="1">
      <alignment vertical="center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计算" xfId="12" builtinId="22" customBuiltin="1"/>
    <cellStyle name="汇总" xfId="18" builtinId="25" customBuiltin="1"/>
    <cellStyle name="好" xfId="7" builtinId="26" customBuiltin="1"/>
    <cellStyle name="百分比" xfId="1" builtinId="5"/>
    <cellStyle name="注释" xfId="16" builtinId="10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适中" xfId="9" builtinId="28" customBuiltin="1"/>
    <cellStyle name="常规" xfId="0" builtinId="0"/>
    <cellStyle name="检查单元格" xfId="14" builtinId="23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链接单元格" xfId="13" builtinId="24" customBuiltin="1"/>
    <cellStyle name="解释性文本" xfId="17" builtinId="53" customBuiltin="1"/>
    <cellStyle name="输入" xfId="10" builtinId="20" customBuiltin="1"/>
    <cellStyle name="输出" xfId="11" builtinId="21" customBuiltin="1"/>
    <cellStyle name="警告文本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0"/>
  <sheetViews>
    <sheetView tabSelected="1" workbookViewId="0">
      <pane ySplit="1" topLeftCell="A2" activePane="bottomLeft" state="frozen"/>
      <selection pane="bottomLeft" activeCell="R2" sqref="R2"/>
    </sheetView>
  </sheetViews>
  <sheetFormatPr defaultRowHeight="14.5"/>
  <cols>
    <col min="1" max="1" width="37" bestFit="1" customWidth="1"/>
    <col min="2" max="2" width="29.796875" bestFit="1" customWidth="1"/>
    <col min="3" max="3" width="29.796875" customWidth="1"/>
    <col min="4" max="4" width="19.8984375" hidden="1" customWidth="1"/>
    <col min="5" max="5" width="20.296875" hidden="1" customWidth="1"/>
    <col min="6" max="8" width="12.59765625" bestFit="1" customWidth="1"/>
    <col min="9" max="9" width="12.59765625" customWidth="1"/>
    <col min="10" max="10" width="17.09765625" hidden="1" customWidth="1"/>
    <col min="11" max="12" width="12.59765625" hidden="1" customWidth="1"/>
    <col min="13" max="13" width="16.09765625" hidden="1" customWidth="1"/>
    <col min="14" max="15" width="12.59765625" hidden="1" customWidth="1"/>
    <col min="16" max="16" width="12.69921875" hidden="1" customWidth="1"/>
  </cols>
  <sheetData>
    <row r="1" spans="1:18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s="2">
        <f>11525/3851-1</f>
        <v>1.9927291612568165</v>
      </c>
    </row>
    <row r="2" spans="1:18">
      <c r="A2" s="1" t="s">
        <v>27</v>
      </c>
      <c r="B2" s="1" t="s">
        <v>32</v>
      </c>
      <c r="C2" s="1" t="str">
        <f>A2&amp;B2</f>
        <v>frozenset({'翅尖'})frozenset({'帶皮腿扒'})</v>
      </c>
      <c r="D2">
        <v>4.2162162162162099E-2</v>
      </c>
      <c r="E2">
        <v>0.19135135135135101</v>
      </c>
      <c r="F2" s="1">
        <v>1.2972972972972899E-2</v>
      </c>
      <c r="G2" s="1">
        <v>0.30769230769230699</v>
      </c>
      <c r="H2" s="1">
        <v>1.60799652325076</v>
      </c>
      <c r="I2" s="1">
        <v>2.7149321266968299E-2</v>
      </c>
      <c r="J2">
        <v>1</v>
      </c>
      <c r="K2">
        <v>4.9051862673484201E-3</v>
      </c>
      <c r="L2">
        <v>1.16804804804804</v>
      </c>
      <c r="M2">
        <v>0.39475169300225699</v>
      </c>
      <c r="N2">
        <v>5.8823529411764698E-2</v>
      </c>
      <c r="O2">
        <v>0.143870835047305</v>
      </c>
      <c r="P2">
        <v>0.187744458930899</v>
      </c>
    </row>
    <row r="3" spans="1:18">
      <c r="A3" s="1" t="s">
        <v>41</v>
      </c>
      <c r="B3" s="1" t="s">
        <v>32</v>
      </c>
      <c r="C3" s="1" t="str">
        <f t="shared" ref="C3:C12" si="0">A3&amp;B3</f>
        <v>frozenset({'帶骨全腿', '去皮上腿肉'})frozenset({'帶皮腿扒'})</v>
      </c>
      <c r="D3">
        <v>1.4054054054054001E-2</v>
      </c>
      <c r="E3">
        <v>0.19135135135135101</v>
      </c>
      <c r="F3" s="1">
        <v>4.3243243243243201E-3</v>
      </c>
      <c r="G3" s="1">
        <v>0.30769230769230699</v>
      </c>
      <c r="H3" s="1">
        <v>1.60799652325076</v>
      </c>
      <c r="I3" s="1">
        <v>9.0497737556561094E-3</v>
      </c>
      <c r="J3">
        <v>1</v>
      </c>
      <c r="K3">
        <v>1.6350620891161401E-3</v>
      </c>
      <c r="L3">
        <v>1.16804804804804</v>
      </c>
      <c r="M3">
        <v>0.38349780701754299</v>
      </c>
      <c r="N3">
        <v>2.1505376344085999E-2</v>
      </c>
      <c r="O3">
        <v>0.143870835047305</v>
      </c>
      <c r="P3">
        <v>0.16514558887440201</v>
      </c>
    </row>
    <row r="4" spans="1:18">
      <c r="A4" s="1" t="s">
        <v>28</v>
      </c>
      <c r="B4" s="1" t="s">
        <v>29</v>
      </c>
      <c r="C4" s="1" t="str">
        <f t="shared" si="0"/>
        <v>frozenset({'挑骨豬腩', '鷄腳'})frozenset({'帶骨全腿'})</v>
      </c>
      <c r="D4">
        <v>3.24324324324324E-3</v>
      </c>
      <c r="E4">
        <v>0.17081081081081001</v>
      </c>
      <c r="F4" s="1">
        <v>3.24324324324324E-3</v>
      </c>
      <c r="G4" s="1">
        <v>1</v>
      </c>
      <c r="H4" s="1">
        <v>5.8544303797468302</v>
      </c>
      <c r="I4" s="1"/>
      <c r="J4">
        <v>1</v>
      </c>
      <c r="K4">
        <v>2.6892622352081802E-3</v>
      </c>
      <c r="L4" t="s">
        <v>30</v>
      </c>
      <c r="M4">
        <v>0.83188720173535702</v>
      </c>
      <c r="N4">
        <v>1.8987341772151799E-2</v>
      </c>
      <c r="O4">
        <v>1</v>
      </c>
      <c r="P4">
        <v>0.509493670886076</v>
      </c>
    </row>
    <row r="5" spans="1:18">
      <c r="A5" s="1" t="s">
        <v>31</v>
      </c>
      <c r="B5" s="1" t="s">
        <v>32</v>
      </c>
      <c r="C5" s="1" t="str">
        <f t="shared" si="0"/>
        <v>frozenset({'面精肉', '煙熏鴨胸'})frozenset({'帶皮腿扒'})</v>
      </c>
      <c r="D5">
        <v>3.24324324324324E-3</v>
      </c>
      <c r="E5">
        <v>0.19135135135135101</v>
      </c>
      <c r="F5" s="1">
        <v>3.24324324324324E-3</v>
      </c>
      <c r="G5" s="1">
        <v>1</v>
      </c>
      <c r="H5" s="1">
        <v>5.2259887005649697</v>
      </c>
      <c r="I5" s="1"/>
      <c r="J5">
        <v>1</v>
      </c>
      <c r="K5">
        <v>2.6226442658874999E-3</v>
      </c>
      <c r="L5" t="s">
        <v>30</v>
      </c>
      <c r="M5">
        <v>0.81127982646420804</v>
      </c>
      <c r="N5">
        <v>1.6949152542372801E-2</v>
      </c>
      <c r="O5">
        <v>1</v>
      </c>
      <c r="P5">
        <v>0.50847457627118597</v>
      </c>
    </row>
    <row r="6" spans="1:18">
      <c r="A6" s="1" t="s">
        <v>14</v>
      </c>
      <c r="B6" s="1" t="s">
        <v>15</v>
      </c>
      <c r="C6" s="1" t="str">
        <f t="shared" si="0"/>
        <v>frozenset({'帶骨全腿', '鷄腳'})frozenset({'挑骨豬腩'})</v>
      </c>
      <c r="D6">
        <v>4.3243243243243201E-3</v>
      </c>
      <c r="E6">
        <v>1.51351351351351E-2</v>
      </c>
      <c r="F6" s="1">
        <v>3.24324324324324E-3</v>
      </c>
      <c r="G6" s="1">
        <v>0.75</v>
      </c>
      <c r="H6" s="1">
        <v>49.553571428571402</v>
      </c>
      <c r="I6" s="1"/>
      <c r="J6">
        <v>1</v>
      </c>
      <c r="K6">
        <v>3.1777940102264402E-3</v>
      </c>
      <c r="L6">
        <v>3.9394594594594499</v>
      </c>
      <c r="M6">
        <v>0.98407528049221804</v>
      </c>
      <c r="N6">
        <v>0.19999999999999901</v>
      </c>
      <c r="O6">
        <v>0.74615806805707996</v>
      </c>
      <c r="P6">
        <v>0.48214285714285698</v>
      </c>
    </row>
    <row r="7" spans="1:18">
      <c r="A7" s="1" t="s">
        <v>16</v>
      </c>
      <c r="B7" s="1" t="s">
        <v>17</v>
      </c>
      <c r="C7" s="1" t="str">
        <f t="shared" si="0"/>
        <v>frozenset({'帶骨全腿', '挑骨豬腩'})frozenset({'鷄腳'})</v>
      </c>
      <c r="D7">
        <v>4.3243243243243201E-3</v>
      </c>
      <c r="E7">
        <v>1.62162162162162E-2</v>
      </c>
      <c r="F7" s="1">
        <v>3.24324324324324E-3</v>
      </c>
      <c r="G7" s="1">
        <v>0.75</v>
      </c>
      <c r="H7" s="1">
        <v>46.25</v>
      </c>
      <c r="I7" s="1"/>
      <c r="J7">
        <v>1</v>
      </c>
      <c r="K7">
        <v>3.17311906501095E-3</v>
      </c>
      <c r="L7">
        <v>3.93513513513513</v>
      </c>
      <c r="M7">
        <v>0.98262757871878303</v>
      </c>
      <c r="N7">
        <v>0.187499999999999</v>
      </c>
      <c r="O7">
        <v>0.74587912087912001</v>
      </c>
      <c r="P7">
        <v>0.47499999999999998</v>
      </c>
    </row>
    <row r="8" spans="1:18">
      <c r="A8" s="1" t="s">
        <v>24</v>
      </c>
      <c r="B8" s="1" t="s">
        <v>25</v>
      </c>
      <c r="C8" s="1" t="str">
        <f t="shared" si="0"/>
        <v>frozenset({'帶皮腿扒', '煙熏鴨胸'})frozenset({'面精肉'})</v>
      </c>
      <c r="D8">
        <v>4.3243243243243201E-3</v>
      </c>
      <c r="E8">
        <v>9.2972972972972898E-2</v>
      </c>
      <c r="F8" s="1">
        <v>3.24324324324324E-3</v>
      </c>
      <c r="G8" s="1">
        <v>0.75</v>
      </c>
      <c r="H8" s="1">
        <v>8.0668604651162799</v>
      </c>
      <c r="I8" s="1"/>
      <c r="J8">
        <v>1</v>
      </c>
      <c r="K8">
        <v>2.8411979547114598E-3</v>
      </c>
      <c r="L8">
        <v>3.6281081081080999</v>
      </c>
      <c r="M8">
        <v>0.87984075280492202</v>
      </c>
      <c r="N8">
        <v>3.4482758620689599E-2</v>
      </c>
      <c r="O8">
        <v>0.72437425506555397</v>
      </c>
      <c r="P8">
        <v>0.39244186046511598</v>
      </c>
    </row>
    <row r="9" spans="1:18">
      <c r="A9" s="1" t="s">
        <v>37</v>
      </c>
      <c r="B9" s="1" t="s">
        <v>32</v>
      </c>
      <c r="C9" s="1" t="str">
        <f t="shared" si="0"/>
        <v>frozenset({'帶骨全腿', '小胸肉'})frozenset({'帶皮腿扒'})</v>
      </c>
      <c r="D9">
        <v>5.4054054054053996E-3</v>
      </c>
      <c r="E9">
        <v>0.19135135135135101</v>
      </c>
      <c r="F9" s="1">
        <v>3.24324324324324E-3</v>
      </c>
      <c r="G9" s="1">
        <v>0.6</v>
      </c>
      <c r="H9" s="1">
        <v>3.13559322033898</v>
      </c>
      <c r="I9" s="1">
        <v>6.7873303167420799E-3</v>
      </c>
      <c r="J9">
        <v>1</v>
      </c>
      <c r="K9">
        <v>2.2089116143170101E-3</v>
      </c>
      <c r="L9">
        <v>2.0216216216216201</v>
      </c>
      <c r="M9">
        <v>0.684782608695652</v>
      </c>
      <c r="N9">
        <v>1.67597765363128E-2</v>
      </c>
      <c r="O9">
        <v>0.50534759358288694</v>
      </c>
      <c r="P9">
        <v>0.30847457627118602</v>
      </c>
    </row>
    <row r="10" spans="1:18">
      <c r="A10" s="1" t="s">
        <v>18</v>
      </c>
      <c r="B10" s="1" t="s">
        <v>19</v>
      </c>
      <c r="C10" s="1" t="str">
        <f t="shared" si="0"/>
        <v>frozenset({'蝦肉'})frozenset({'鯰魚柳'})</v>
      </c>
      <c r="D10">
        <v>6.4864864864864801E-3</v>
      </c>
      <c r="E10">
        <v>3.5675675675675603E-2</v>
      </c>
      <c r="F10" s="1">
        <v>3.24324324324324E-3</v>
      </c>
      <c r="G10" s="1">
        <v>0.5</v>
      </c>
      <c r="H10" s="1">
        <v>14.0151515151515</v>
      </c>
      <c r="I10" s="1"/>
      <c r="J10">
        <v>1</v>
      </c>
      <c r="K10">
        <v>3.0118334550766901E-3</v>
      </c>
      <c r="L10">
        <v>1.9286486486486401</v>
      </c>
      <c r="M10">
        <v>0.93471164309031496</v>
      </c>
      <c r="N10">
        <v>8.3333333333333301E-2</v>
      </c>
      <c r="O10">
        <v>0.48150224215246601</v>
      </c>
      <c r="P10">
        <v>0.29545454545454503</v>
      </c>
    </row>
    <row r="11" spans="1:18" hidden="1">
      <c r="A11" t="s">
        <v>38</v>
      </c>
      <c r="B11" t="s">
        <v>32</v>
      </c>
      <c r="C11" t="str">
        <f t="shared" si="0"/>
        <v>frozenset({'小胸肉', '翅尖'})frozenset({'帶皮腿扒'})</v>
      </c>
      <c r="D11">
        <v>6.4864864864864801E-3</v>
      </c>
      <c r="E11">
        <v>0.19135135135135101</v>
      </c>
      <c r="F11">
        <v>3.24324324324324E-3</v>
      </c>
      <c r="G11">
        <v>0.5</v>
      </c>
      <c r="H11">
        <v>2.6129943502824799</v>
      </c>
      <c r="I11">
        <v>6.7873303167420799E-3</v>
      </c>
      <c r="J11">
        <v>1</v>
      </c>
      <c r="K11">
        <v>2.0020452885317701E-3</v>
      </c>
      <c r="L11">
        <v>1.6172972972972901</v>
      </c>
      <c r="M11">
        <v>0.62132752992383</v>
      </c>
      <c r="N11">
        <v>1.6666666666666601E-2</v>
      </c>
      <c r="O11">
        <v>0.38168449197860899</v>
      </c>
      <c r="P11">
        <v>0.25847457627118597</v>
      </c>
    </row>
    <row r="12" spans="1:18" hidden="1">
      <c r="A12" t="s">
        <v>40</v>
      </c>
      <c r="B12" t="s">
        <v>32</v>
      </c>
      <c r="C12" t="str">
        <f t="shared" si="0"/>
        <v>frozenset({'帶骨全腿', '面精肉'})frozenset({'帶皮腿扒'})</v>
      </c>
      <c r="D12">
        <v>8.6486486486486401E-3</v>
      </c>
      <c r="E12">
        <v>0.19135135135135101</v>
      </c>
      <c r="F12">
        <v>3.24324324324324E-3</v>
      </c>
      <c r="G12">
        <v>0.375</v>
      </c>
      <c r="H12">
        <v>1.95974576271186</v>
      </c>
      <c r="J12">
        <v>1</v>
      </c>
      <c r="K12">
        <v>1.5883126369612801E-3</v>
      </c>
      <c r="L12">
        <v>1.2938378378378299</v>
      </c>
      <c r="M12">
        <v>0.49400218102508098</v>
      </c>
      <c r="N12">
        <v>1.6483516483516401E-2</v>
      </c>
      <c r="O12">
        <v>0.22710561497326201</v>
      </c>
      <c r="P12">
        <v>0.195974576271186</v>
      </c>
    </row>
    <row r="13" spans="1:18" hidden="1">
      <c r="A13" t="s">
        <v>15</v>
      </c>
      <c r="B13" t="s">
        <v>29</v>
      </c>
      <c r="D13">
        <v>1.51351351351351E-2</v>
      </c>
      <c r="E13">
        <v>0.17081081081081001</v>
      </c>
      <c r="F13">
        <v>4.3243243243243201E-3</v>
      </c>
      <c r="G13">
        <v>0.28571428571428498</v>
      </c>
      <c r="H13">
        <v>1.6726943942133801</v>
      </c>
      <c r="J13">
        <v>1</v>
      </c>
      <c r="K13">
        <v>1.7390796201607001E-3</v>
      </c>
      <c r="L13">
        <v>1.1608648648648601</v>
      </c>
      <c r="M13">
        <v>0.40834248079034002</v>
      </c>
      <c r="N13">
        <v>2.3809523809523801E-2</v>
      </c>
      <c r="O13">
        <v>0.13857329111566299</v>
      </c>
      <c r="P13">
        <v>0.15551537070524399</v>
      </c>
    </row>
    <row r="14" spans="1:18" hidden="1">
      <c r="A14" t="s">
        <v>42</v>
      </c>
      <c r="B14" t="s">
        <v>29</v>
      </c>
      <c r="D14">
        <v>1.62162162162162E-2</v>
      </c>
      <c r="E14">
        <v>0.17081081081081001</v>
      </c>
      <c r="F14">
        <v>4.3243243243243201E-3</v>
      </c>
      <c r="G14">
        <v>0.266666666666666</v>
      </c>
      <c r="H14">
        <v>1.5611814345991499</v>
      </c>
      <c r="J14">
        <v>1</v>
      </c>
      <c r="K14">
        <v>1.5544192841490099E-3</v>
      </c>
      <c r="L14">
        <v>1.1307125307125301</v>
      </c>
      <c r="M14">
        <v>0.36538461538461497</v>
      </c>
      <c r="N14">
        <v>2.3668639053254399E-2</v>
      </c>
      <c r="O14">
        <v>0.11560191221208101</v>
      </c>
      <c r="P14">
        <v>0.145991561181434</v>
      </c>
    </row>
    <row r="15" spans="1:18" hidden="1">
      <c r="A15" t="s">
        <v>17</v>
      </c>
      <c r="B15" t="s">
        <v>29</v>
      </c>
      <c r="D15">
        <v>1.62162162162162E-2</v>
      </c>
      <c r="E15">
        <v>0.17081081081081001</v>
      </c>
      <c r="F15">
        <v>4.3243243243243201E-3</v>
      </c>
      <c r="G15">
        <v>0.266666666666666</v>
      </c>
      <c r="H15">
        <v>1.5611814345991499</v>
      </c>
      <c r="J15">
        <v>1</v>
      </c>
      <c r="K15">
        <v>1.5544192841490099E-3</v>
      </c>
      <c r="L15">
        <v>1.1307125307125301</v>
      </c>
      <c r="M15">
        <v>0.36538461538461497</v>
      </c>
      <c r="N15">
        <v>2.3668639053254399E-2</v>
      </c>
      <c r="O15">
        <v>0.11560191221208101</v>
      </c>
      <c r="P15">
        <v>0.145991561181434</v>
      </c>
    </row>
    <row r="16" spans="1:18" hidden="1">
      <c r="A16" t="s">
        <v>34</v>
      </c>
      <c r="B16" t="s">
        <v>32</v>
      </c>
      <c r="D16">
        <v>4.9729729729729701E-2</v>
      </c>
      <c r="E16">
        <v>0.19135135135135101</v>
      </c>
      <c r="F16">
        <v>1.2972972972972899E-2</v>
      </c>
      <c r="G16">
        <v>0.26086956521739102</v>
      </c>
      <c r="H16">
        <v>1.36330140014738</v>
      </c>
      <c r="J16">
        <v>1</v>
      </c>
      <c r="K16">
        <v>3.4571219868517098E-3</v>
      </c>
      <c r="L16">
        <v>1.09405405405405</v>
      </c>
      <c r="M16">
        <v>0.28043230944254799</v>
      </c>
      <c r="N16">
        <v>5.6872037914691899E-2</v>
      </c>
      <c r="O16">
        <v>8.5968379446640306E-2</v>
      </c>
      <c r="P16">
        <v>0.16433308769344099</v>
      </c>
    </row>
    <row r="17" spans="1:16" hidden="1">
      <c r="A17" t="s">
        <v>20</v>
      </c>
      <c r="B17" t="s">
        <v>21</v>
      </c>
      <c r="D17">
        <v>1.2972972972972899E-2</v>
      </c>
      <c r="E17">
        <v>2.7027027027027001E-2</v>
      </c>
      <c r="F17">
        <v>3.24324324324324E-3</v>
      </c>
      <c r="G17">
        <v>0.25</v>
      </c>
      <c r="H17">
        <v>9.25</v>
      </c>
      <c r="J17">
        <v>1</v>
      </c>
      <c r="K17">
        <v>2.89262235208181E-3</v>
      </c>
      <c r="L17">
        <v>1.29729729729729</v>
      </c>
      <c r="M17">
        <v>0.90361445783132499</v>
      </c>
      <c r="N17">
        <v>8.8235294117646995E-2</v>
      </c>
      <c r="O17">
        <v>0.22916666666666599</v>
      </c>
      <c r="P17">
        <v>0.185</v>
      </c>
    </row>
    <row r="18" spans="1:16" hidden="1">
      <c r="A18" t="s">
        <v>26</v>
      </c>
      <c r="B18" t="s">
        <v>27</v>
      </c>
      <c r="D18">
        <v>1.2972972972972899E-2</v>
      </c>
      <c r="E18">
        <v>4.2162162162162099E-2</v>
      </c>
      <c r="F18">
        <v>3.24324324324324E-3</v>
      </c>
      <c r="G18">
        <v>0.25</v>
      </c>
      <c r="H18">
        <v>5.9294871794871797</v>
      </c>
      <c r="J18">
        <v>1</v>
      </c>
      <c r="K18">
        <v>2.6962746530314E-3</v>
      </c>
      <c r="L18">
        <v>1.2771171171171101</v>
      </c>
      <c r="M18">
        <v>0.84227820372398599</v>
      </c>
      <c r="N18">
        <v>6.25E-2</v>
      </c>
      <c r="O18">
        <v>0.216986455981941</v>
      </c>
      <c r="P18">
        <v>0.16346153846153799</v>
      </c>
    </row>
    <row r="19" spans="1:16" hidden="1">
      <c r="A19" t="s">
        <v>33</v>
      </c>
      <c r="B19" t="s">
        <v>34</v>
      </c>
      <c r="D19">
        <v>1.2972972972972899E-2</v>
      </c>
      <c r="E19">
        <v>4.9729729729729701E-2</v>
      </c>
      <c r="F19">
        <v>3.24324324324324E-3</v>
      </c>
      <c r="G19">
        <v>0.25</v>
      </c>
      <c r="H19">
        <v>5.0271739130434696</v>
      </c>
      <c r="J19">
        <v>1</v>
      </c>
      <c r="K19">
        <v>2.5981008035061998E-3</v>
      </c>
      <c r="L19">
        <v>1.2670270270270201</v>
      </c>
      <c r="M19">
        <v>0.81161007667031704</v>
      </c>
      <c r="N19">
        <v>5.4545454545454501E-2</v>
      </c>
      <c r="O19">
        <v>0.21075085324232001</v>
      </c>
      <c r="P19">
        <v>0.157608695652173</v>
      </c>
    </row>
    <row r="20" spans="1:16" hidden="1">
      <c r="A20" t="s">
        <v>26</v>
      </c>
      <c r="B20" t="s">
        <v>29</v>
      </c>
      <c r="D20">
        <v>1.2972972972972899E-2</v>
      </c>
      <c r="E20">
        <v>0.17081081081081001</v>
      </c>
      <c r="F20">
        <v>3.24324324324324E-3</v>
      </c>
      <c r="G20">
        <v>0.25</v>
      </c>
      <c r="H20">
        <v>1.4636075949367</v>
      </c>
      <c r="J20">
        <v>1</v>
      </c>
      <c r="K20">
        <v>1.02731921110299E-3</v>
      </c>
      <c r="L20">
        <v>1.1055855855855801</v>
      </c>
      <c r="M20">
        <v>0.32092004381160999</v>
      </c>
      <c r="N20">
        <v>1.79640718562874E-2</v>
      </c>
      <c r="O20">
        <v>9.5501955671447106E-2</v>
      </c>
      <c r="P20">
        <v>0.134493670886075</v>
      </c>
    </row>
    <row r="21" spans="1:16" hidden="1">
      <c r="A21" t="s">
        <v>20</v>
      </c>
      <c r="B21" t="s">
        <v>29</v>
      </c>
      <c r="D21">
        <v>1.2972972972972899E-2</v>
      </c>
      <c r="E21">
        <v>0.17081081081081001</v>
      </c>
      <c r="F21">
        <v>3.24324324324324E-3</v>
      </c>
      <c r="G21">
        <v>0.25</v>
      </c>
      <c r="H21">
        <v>1.4636075949367</v>
      </c>
      <c r="J21">
        <v>1</v>
      </c>
      <c r="K21">
        <v>1.02731921110299E-3</v>
      </c>
      <c r="L21">
        <v>1.1055855855855801</v>
      </c>
      <c r="M21">
        <v>0.32092004381160999</v>
      </c>
      <c r="N21">
        <v>1.79640718562874E-2</v>
      </c>
      <c r="O21">
        <v>9.5501955671447106E-2</v>
      </c>
      <c r="P21">
        <v>0.134493670886075</v>
      </c>
    </row>
    <row r="22" spans="1:16" hidden="1">
      <c r="A22" t="s">
        <v>21</v>
      </c>
      <c r="B22" t="s">
        <v>36</v>
      </c>
      <c r="D22">
        <v>2.7027027027027001E-2</v>
      </c>
      <c r="E22">
        <v>5.5135135135135099E-2</v>
      </c>
      <c r="F22">
        <v>6.4864864864864801E-3</v>
      </c>
      <c r="G22">
        <v>0.23999999999999899</v>
      </c>
      <c r="H22">
        <v>4.3529411764705799</v>
      </c>
      <c r="J22">
        <v>1</v>
      </c>
      <c r="K22">
        <v>4.9963476990504E-3</v>
      </c>
      <c r="L22">
        <v>1.2432432432432401</v>
      </c>
      <c r="M22">
        <v>0.79166666666666596</v>
      </c>
      <c r="N22">
        <v>8.5714285714285701E-2</v>
      </c>
      <c r="O22">
        <v>0.19565217391304299</v>
      </c>
      <c r="P22">
        <v>0.17882352941176399</v>
      </c>
    </row>
    <row r="23" spans="1:16" hidden="1">
      <c r="A23" t="s">
        <v>39</v>
      </c>
      <c r="B23" t="s">
        <v>25</v>
      </c>
      <c r="D23">
        <v>1.8378378378378302E-2</v>
      </c>
      <c r="E23">
        <v>9.2972972972972898E-2</v>
      </c>
      <c r="F23">
        <v>4.3243243243243201E-3</v>
      </c>
      <c r="G23">
        <v>0.23529411764705799</v>
      </c>
      <c r="H23">
        <v>2.5307797537619701</v>
      </c>
      <c r="J23">
        <v>1</v>
      </c>
      <c r="K23">
        <v>2.61563184806428E-3</v>
      </c>
      <c r="L23">
        <v>1.1861122661122601</v>
      </c>
      <c r="M23">
        <v>0.61618942731277504</v>
      </c>
      <c r="N23">
        <v>4.0404040404040401E-2</v>
      </c>
      <c r="O23">
        <v>0.156909486082871</v>
      </c>
      <c r="P23">
        <v>0.14090287277701699</v>
      </c>
    </row>
    <row r="24" spans="1:16" hidden="1">
      <c r="A24" t="s">
        <v>39</v>
      </c>
      <c r="B24" t="s">
        <v>32</v>
      </c>
      <c r="D24">
        <v>1.8378378378378302E-2</v>
      </c>
      <c r="E24">
        <v>0.19135135135135101</v>
      </c>
      <c r="F24">
        <v>4.3243243243243201E-3</v>
      </c>
      <c r="G24">
        <v>0.23529411764705799</v>
      </c>
      <c r="H24">
        <v>1.2296444001329301</v>
      </c>
      <c r="J24">
        <v>1</v>
      </c>
      <c r="K24">
        <v>8.0759678597516402E-4</v>
      </c>
      <c r="L24">
        <v>1.0574636174636101</v>
      </c>
      <c r="M24">
        <v>0.19025330396475701</v>
      </c>
      <c r="N24">
        <v>2.1052631578947299E-2</v>
      </c>
      <c r="O24">
        <v>5.4340987731991197E-2</v>
      </c>
      <c r="P24">
        <v>0.128946493851778</v>
      </c>
    </row>
    <row r="25" spans="1:16" hidden="1">
      <c r="A25" t="s">
        <v>22</v>
      </c>
      <c r="B25" t="s">
        <v>23</v>
      </c>
      <c r="D25">
        <v>1.4054054054054001E-2</v>
      </c>
      <c r="E25">
        <v>2.7027027027027001E-2</v>
      </c>
      <c r="F25">
        <v>3.24324324324324E-3</v>
      </c>
      <c r="G25">
        <v>0.23076923076923</v>
      </c>
      <c r="H25">
        <v>8.5384615384615294</v>
      </c>
      <c r="J25">
        <v>1</v>
      </c>
      <c r="K25">
        <v>2.8634039444850202E-3</v>
      </c>
      <c r="L25">
        <v>1.2648648648648599</v>
      </c>
      <c r="M25">
        <v>0.89546783625730997</v>
      </c>
      <c r="N25">
        <v>8.5714285714285701E-2</v>
      </c>
      <c r="O25">
        <v>0.20940170940170899</v>
      </c>
      <c r="P25">
        <v>0.175384615384615</v>
      </c>
    </row>
    <row r="26" spans="1:16" hidden="1">
      <c r="A26" t="s">
        <v>22</v>
      </c>
      <c r="B26" t="s">
        <v>32</v>
      </c>
      <c r="D26">
        <v>1.4054054054054001E-2</v>
      </c>
      <c r="E26">
        <v>0.19135135135135101</v>
      </c>
      <c r="F26">
        <v>3.24324324324324E-3</v>
      </c>
      <c r="G26">
        <v>0.23076923076923</v>
      </c>
      <c r="H26">
        <v>1.20599739243807</v>
      </c>
      <c r="J26">
        <v>1</v>
      </c>
      <c r="K26">
        <v>5.5398100803506203E-4</v>
      </c>
      <c r="L26">
        <v>1.0512432432432399</v>
      </c>
      <c r="M26">
        <v>0.17324561403508701</v>
      </c>
      <c r="N26">
        <v>1.60427807486631E-2</v>
      </c>
      <c r="O26">
        <v>4.8745372274784003E-2</v>
      </c>
      <c r="P26">
        <v>0.123859191655801</v>
      </c>
    </row>
    <row r="27" spans="1:16" hidden="1">
      <c r="A27" t="s">
        <v>15</v>
      </c>
      <c r="B27" t="s">
        <v>14</v>
      </c>
      <c r="D27">
        <v>1.51351351351351E-2</v>
      </c>
      <c r="E27">
        <v>4.3243243243243201E-3</v>
      </c>
      <c r="F27">
        <v>3.24324324324324E-3</v>
      </c>
      <c r="G27">
        <v>0.214285714285714</v>
      </c>
      <c r="H27">
        <v>49.553571428571402</v>
      </c>
      <c r="J27">
        <v>1</v>
      </c>
      <c r="K27">
        <v>3.1777940102264402E-3</v>
      </c>
      <c r="L27">
        <v>1.26722358722358</v>
      </c>
      <c r="M27">
        <v>0.99487742407610602</v>
      </c>
      <c r="N27">
        <v>0.19999999999999901</v>
      </c>
      <c r="O27">
        <v>0.210873274391189</v>
      </c>
      <c r="P27">
        <v>0.48214285714285698</v>
      </c>
    </row>
    <row r="28" spans="1:16" hidden="1">
      <c r="A28" t="s">
        <v>15</v>
      </c>
      <c r="B28" t="s">
        <v>17</v>
      </c>
      <c r="D28">
        <v>1.51351351351351E-2</v>
      </c>
      <c r="E28">
        <v>1.62162162162162E-2</v>
      </c>
      <c r="F28">
        <v>3.24324324324324E-3</v>
      </c>
      <c r="G28">
        <v>0.214285714285714</v>
      </c>
      <c r="H28">
        <v>13.214285714285699</v>
      </c>
      <c r="J28">
        <v>1</v>
      </c>
      <c r="K28">
        <v>2.99780861943024E-3</v>
      </c>
      <c r="L28">
        <v>1.2520884520884501</v>
      </c>
      <c r="M28">
        <v>0.93852908891328202</v>
      </c>
      <c r="N28">
        <v>0.115384615384615</v>
      </c>
      <c r="O28">
        <v>0.20133437990580799</v>
      </c>
      <c r="P28">
        <v>0.20714285714285699</v>
      </c>
    </row>
    <row r="29" spans="1:16" hidden="1">
      <c r="A29" t="s">
        <v>23</v>
      </c>
      <c r="B29" t="s">
        <v>35</v>
      </c>
      <c r="D29">
        <v>2.7027027027027001E-2</v>
      </c>
      <c r="E29">
        <v>4.2162162162162099E-2</v>
      </c>
      <c r="F29">
        <v>5.4054054054053996E-3</v>
      </c>
      <c r="G29">
        <v>0.2</v>
      </c>
      <c r="H29">
        <v>4.7435897435897401</v>
      </c>
      <c r="J29">
        <v>1</v>
      </c>
      <c r="K29">
        <v>4.26588750913075E-3</v>
      </c>
      <c r="L29">
        <v>1.19729729729729</v>
      </c>
      <c r="M29">
        <v>0.81111111111111101</v>
      </c>
      <c r="N29">
        <v>8.4745762711864403E-2</v>
      </c>
      <c r="O29">
        <v>0.164785553047404</v>
      </c>
      <c r="P29">
        <v>0.16410256410256399</v>
      </c>
    </row>
    <row r="30" spans="1:16" hidden="1">
      <c r="A30" t="s">
        <v>23</v>
      </c>
      <c r="B30" t="s">
        <v>36</v>
      </c>
      <c r="D30">
        <v>2.7027027027027001E-2</v>
      </c>
      <c r="E30">
        <v>5.5135135135135099E-2</v>
      </c>
      <c r="F30">
        <v>5.4054054054053996E-3</v>
      </c>
      <c r="G30">
        <v>0.2</v>
      </c>
      <c r="H30">
        <v>3.6274509803921502</v>
      </c>
      <c r="J30">
        <v>1</v>
      </c>
      <c r="K30">
        <v>3.9152666179693204E-3</v>
      </c>
      <c r="L30">
        <v>1.1810810810810799</v>
      </c>
      <c r="M30">
        <v>0.74444444444444402</v>
      </c>
      <c r="N30">
        <v>7.0422535211267595E-2</v>
      </c>
      <c r="O30">
        <v>0.153318077803203</v>
      </c>
      <c r="P30">
        <v>0.149019607843137</v>
      </c>
    </row>
  </sheetData>
  <autoFilter ref="A1:P30">
    <filterColumn colId="6">
      <customFilters>
        <customFilter operator="greaterThan" val="0.3"/>
      </customFilters>
    </filterColumn>
    <sortState ref="A2:P12">
      <sortCondition descending="1" ref="F1:F30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J1" sqref="J1"/>
    </sheetView>
  </sheetViews>
  <sheetFormatPr defaultRowHeight="14.5"/>
  <cols>
    <col min="1" max="1" width="37" bestFit="1" customWidth="1"/>
    <col min="2" max="2" width="22.8984375" bestFit="1" customWidth="1"/>
    <col min="3" max="3" width="22.8984375" customWidth="1"/>
    <col min="4" max="4" width="12.59765625" bestFit="1" customWidth="1"/>
  </cols>
  <sheetData>
    <row r="1" spans="1:10">
      <c r="A1" t="s">
        <v>0</v>
      </c>
      <c r="B1" t="s">
        <v>1</v>
      </c>
      <c r="C1" t="s">
        <v>49</v>
      </c>
      <c r="D1" t="s">
        <v>4</v>
      </c>
      <c r="E1" t="s">
        <v>5</v>
      </c>
      <c r="F1" t="s">
        <v>6</v>
      </c>
      <c r="G1" t="s">
        <v>43</v>
      </c>
      <c r="H1" t="s">
        <v>44</v>
      </c>
      <c r="I1" t="s">
        <v>45</v>
      </c>
      <c r="J1" t="s">
        <v>46</v>
      </c>
    </row>
    <row r="2" spans="1:10">
      <c r="A2" t="s">
        <v>27</v>
      </c>
      <c r="B2" t="s">
        <v>32</v>
      </c>
      <c r="C2" t="str">
        <f>A2&amp;B2</f>
        <v>frozenset({'翅尖'})frozenset({'帶皮腿扒'})</v>
      </c>
      <c r="D2">
        <v>1.2972972972972899E-2</v>
      </c>
      <c r="E2">
        <v>0.30769230769230699</v>
      </c>
      <c r="F2">
        <v>1.60799652325076</v>
      </c>
      <c r="G2" t="s">
        <v>47</v>
      </c>
      <c r="H2">
        <v>442</v>
      </c>
      <c r="I2">
        <v>12</v>
      </c>
      <c r="J2">
        <v>2.7149321266968299E-2</v>
      </c>
    </row>
    <row r="3" spans="1:10">
      <c r="A3" t="s">
        <v>34</v>
      </c>
      <c r="B3" t="s">
        <v>32</v>
      </c>
      <c r="C3" t="str">
        <f t="shared" ref="C3:C14" si="0">A3&amp;B3</f>
        <v>frozenset({'小胸肉'})frozenset({'帶皮腿扒'})</v>
      </c>
      <c r="D3">
        <v>1.2972972972972899E-2</v>
      </c>
      <c r="E3">
        <v>0.26086956521739102</v>
      </c>
      <c r="F3">
        <v>1.36330140014738</v>
      </c>
      <c r="G3" t="s">
        <v>47</v>
      </c>
      <c r="H3">
        <v>442</v>
      </c>
      <c r="I3">
        <v>12</v>
      </c>
      <c r="J3">
        <v>2.7149321266968299E-2</v>
      </c>
    </row>
    <row r="4" spans="1:10">
      <c r="A4" t="s">
        <v>21</v>
      </c>
      <c r="B4" t="s">
        <v>36</v>
      </c>
      <c r="C4" t="str">
        <f t="shared" si="0"/>
        <v>frozenset({'煙熏鴨胸'})frozenset({'整鴨'})</v>
      </c>
      <c r="D4">
        <v>6.4864864864864801E-3</v>
      </c>
      <c r="E4">
        <v>0.23999999999999899</v>
      </c>
      <c r="F4">
        <v>4.3529411764705799</v>
      </c>
      <c r="G4" t="s">
        <v>48</v>
      </c>
      <c r="H4">
        <v>64</v>
      </c>
      <c r="I4">
        <v>6</v>
      </c>
      <c r="J4">
        <v>9.375E-2</v>
      </c>
    </row>
    <row r="5" spans="1:10">
      <c r="A5" t="s">
        <v>23</v>
      </c>
      <c r="B5" t="s">
        <v>35</v>
      </c>
      <c r="C5" t="str">
        <f t="shared" si="0"/>
        <v>frozenset({'帶骨整腿'})frozenset({'生鴨胸'})</v>
      </c>
      <c r="D5">
        <v>5.4054054054053996E-3</v>
      </c>
      <c r="E5">
        <v>0.2</v>
      </c>
      <c r="F5">
        <v>4.7435897435897401</v>
      </c>
      <c r="G5" t="s">
        <v>48</v>
      </c>
      <c r="H5">
        <v>64</v>
      </c>
      <c r="I5">
        <v>5</v>
      </c>
      <c r="J5">
        <v>7.8125E-2</v>
      </c>
    </row>
    <row r="6" spans="1:10">
      <c r="A6" t="s">
        <v>23</v>
      </c>
      <c r="B6" t="s">
        <v>36</v>
      </c>
      <c r="C6" t="str">
        <f t="shared" si="0"/>
        <v>frozenset({'帶骨整腿'})frozenset({'整鴨'})</v>
      </c>
      <c r="D6">
        <v>5.4054054054053996E-3</v>
      </c>
      <c r="E6">
        <v>0.2</v>
      </c>
      <c r="F6">
        <v>3.6274509803921502</v>
      </c>
      <c r="G6" t="s">
        <v>48</v>
      </c>
      <c r="H6">
        <v>64</v>
      </c>
      <c r="I6">
        <v>5</v>
      </c>
      <c r="J6">
        <v>7.8125E-2</v>
      </c>
    </row>
    <row r="7" spans="1:10">
      <c r="A7" t="s">
        <v>41</v>
      </c>
      <c r="B7" t="s">
        <v>32</v>
      </c>
      <c r="C7" t="str">
        <f t="shared" si="0"/>
        <v>frozenset({'帶骨全腿', '去皮上腿肉'})frozenset({'帶皮腿扒'})</v>
      </c>
      <c r="D7">
        <v>4.3243243243243201E-3</v>
      </c>
      <c r="E7">
        <v>0.30769230769230699</v>
      </c>
      <c r="F7">
        <v>1.60799652325076</v>
      </c>
      <c r="G7" t="s">
        <v>47</v>
      </c>
      <c r="H7">
        <v>442</v>
      </c>
      <c r="I7">
        <v>4</v>
      </c>
      <c r="J7">
        <v>9.0497737556561094E-3</v>
      </c>
    </row>
    <row r="8" spans="1:10">
      <c r="A8" t="s">
        <v>42</v>
      </c>
      <c r="B8" t="s">
        <v>29</v>
      </c>
      <c r="C8" t="str">
        <f t="shared" si="0"/>
        <v>frozenset({'帶皮腿扒', '去皮上腿肉'})frozenset({'帶骨全腿'})</v>
      </c>
      <c r="D8">
        <v>4.3243243243243201E-3</v>
      </c>
      <c r="E8">
        <v>0.266666666666666</v>
      </c>
      <c r="F8">
        <v>1.5611814345991499</v>
      </c>
      <c r="G8" t="s">
        <v>47</v>
      </c>
      <c r="H8">
        <v>442</v>
      </c>
      <c r="I8">
        <v>4</v>
      </c>
      <c r="J8">
        <v>9.0497737556561094E-3</v>
      </c>
    </row>
    <row r="9" spans="1:10">
      <c r="A9" t="s">
        <v>39</v>
      </c>
      <c r="B9" t="s">
        <v>32</v>
      </c>
      <c r="C9" t="str">
        <f t="shared" si="0"/>
        <v>frozenset({'琵琶腿'})frozenset({'帶皮腿扒'})</v>
      </c>
      <c r="D9">
        <v>4.3243243243243201E-3</v>
      </c>
      <c r="E9">
        <v>0.23529411764705799</v>
      </c>
      <c r="F9">
        <v>1.2296444001329301</v>
      </c>
      <c r="G9" t="s">
        <v>47</v>
      </c>
      <c r="H9">
        <v>442</v>
      </c>
      <c r="I9">
        <v>4</v>
      </c>
      <c r="J9">
        <v>9.0497737556561094E-3</v>
      </c>
    </row>
    <row r="10" spans="1:10">
      <c r="A10" t="s">
        <v>26</v>
      </c>
      <c r="B10" t="s">
        <v>27</v>
      </c>
      <c r="C10" t="str">
        <f t="shared" si="0"/>
        <v>frozenset({'帶皮腿扒', '小胸肉'})frozenset({'翅尖'})</v>
      </c>
      <c r="D10">
        <v>3.24324324324324E-3</v>
      </c>
      <c r="E10">
        <v>0.25</v>
      </c>
      <c r="F10">
        <v>5.9294871794871797</v>
      </c>
      <c r="G10" t="s">
        <v>47</v>
      </c>
      <c r="H10">
        <v>442</v>
      </c>
      <c r="I10">
        <v>3</v>
      </c>
      <c r="J10">
        <v>6.7873303167420799E-3</v>
      </c>
    </row>
    <row r="11" spans="1:10">
      <c r="A11" t="s">
        <v>33</v>
      </c>
      <c r="B11" t="s">
        <v>34</v>
      </c>
      <c r="C11" t="str">
        <f t="shared" si="0"/>
        <v>frozenset({'帶皮腿扒', '翅尖'})frozenset({'小胸肉'})</v>
      </c>
      <c r="D11">
        <v>3.24324324324324E-3</v>
      </c>
      <c r="E11">
        <v>0.25</v>
      </c>
      <c r="F11">
        <v>5.0271739130434696</v>
      </c>
      <c r="G11" t="s">
        <v>47</v>
      </c>
      <c r="H11">
        <v>442</v>
      </c>
      <c r="I11">
        <v>3</v>
      </c>
      <c r="J11">
        <v>6.7873303167420799E-3</v>
      </c>
    </row>
    <row r="12" spans="1:10">
      <c r="A12" t="s">
        <v>37</v>
      </c>
      <c r="B12" t="s">
        <v>32</v>
      </c>
      <c r="C12" t="str">
        <f t="shared" si="0"/>
        <v>frozenset({'帶骨全腿', '小胸肉'})frozenset({'帶皮腿扒'})</v>
      </c>
      <c r="D12">
        <v>3.24324324324324E-3</v>
      </c>
      <c r="E12">
        <v>0.6</v>
      </c>
      <c r="F12">
        <v>3.13559322033898</v>
      </c>
      <c r="G12" t="s">
        <v>47</v>
      </c>
      <c r="H12">
        <v>442</v>
      </c>
      <c r="I12">
        <v>3</v>
      </c>
      <c r="J12">
        <v>6.7873303167420799E-3</v>
      </c>
    </row>
    <row r="13" spans="1:10">
      <c r="A13" t="s">
        <v>38</v>
      </c>
      <c r="B13" t="s">
        <v>32</v>
      </c>
      <c r="C13" t="str">
        <f t="shared" si="0"/>
        <v>frozenset({'小胸肉', '翅尖'})frozenset({'帶皮腿扒'})</v>
      </c>
      <c r="D13">
        <v>3.24324324324324E-3</v>
      </c>
      <c r="E13">
        <v>0.5</v>
      </c>
      <c r="F13">
        <v>2.6129943502824799</v>
      </c>
      <c r="G13" t="s">
        <v>47</v>
      </c>
      <c r="H13">
        <v>442</v>
      </c>
      <c r="I13">
        <v>3</v>
      </c>
      <c r="J13">
        <v>6.7873303167420799E-3</v>
      </c>
    </row>
    <row r="14" spans="1:10">
      <c r="A14" t="s">
        <v>26</v>
      </c>
      <c r="B14" t="s">
        <v>29</v>
      </c>
      <c r="C14" t="str">
        <f t="shared" si="0"/>
        <v>frozenset({'帶皮腿扒', '小胸肉'})frozenset({'帶骨全腿'})</v>
      </c>
      <c r="D14">
        <v>3.24324324324324E-3</v>
      </c>
      <c r="E14">
        <v>0.25</v>
      </c>
      <c r="F14">
        <v>1.4636075949367</v>
      </c>
      <c r="G14" t="s">
        <v>47</v>
      </c>
      <c r="H14">
        <v>442</v>
      </c>
      <c r="I14">
        <v>3</v>
      </c>
      <c r="J14">
        <v>6.7873303167420799E-3</v>
      </c>
    </row>
  </sheetData>
  <autoFilter ref="A1:J14">
    <sortState ref="A2:J14">
      <sortCondition descending="1" ref="D1:D14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product_level_rules</vt:lpstr>
      <vt:lpstr>same_category_product_rules_wit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2026-07-06T02:36:53Z</dcterms:created>
  <dcterms:modified xsi:type="dcterms:W3CDTF">2026-07-09T01:41:50Z</dcterms:modified>
</cp:coreProperties>
</file>